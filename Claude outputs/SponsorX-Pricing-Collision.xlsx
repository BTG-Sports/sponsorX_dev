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margin collision" sheetId="1" state="visible" r:id="rId1"/>
    <sheet name="Package cost swing" sheetId="2" state="visible" r:id="rId2"/>
    <sheet name="Catalogue and tiers" sheetId="3" state="visible" r:id="rId3"/>
    <sheet name="Dec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0&quot;x&quot;"/>
  </numFmts>
  <fonts count="9">
    <font>
      <name val="Calibri"/>
      <family val="2"/>
      <color theme="1"/>
      <sz val="11"/>
      <scheme val="minor"/>
    </font>
    <font>
      <b val="1"/>
      <sz val="14"/>
    </font>
    <font>
      <color rgb="00555C6B"/>
      <sz val="10"/>
    </font>
    <font>
      <b val="1"/>
      <color rgb="00FFFFFF"/>
      <sz val="10"/>
    </font>
    <font>
      <b val="1"/>
    </font>
    <font/>
    <font>
      <b val="1"/>
      <color rgb="00B00020"/>
    </font>
    <font>
      <b val="1"/>
      <sz val="11"/>
    </font>
    <font>
      <b val="1"/>
      <color rgb="000A7B4B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9" fontId="0" fillId="0" borderId="1" pivotButton="0" quotePrefix="0" xfId="0"/>
    <xf numFmtId="9" fontId="6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6" customWidth="1" min="4" max="4"/>
    <col width="12" customWidth="1" min="5" max="5"/>
    <col width="12" customWidth="1" min="6" max="6"/>
    <col width="11" customWidth="1" min="7" max="7"/>
  </cols>
  <sheetData>
    <row r="1">
      <c r="A1" s="1" t="inlineStr">
        <is>
          <t>Problem 1 — a Premium athlete costs more than the job's sell floor</t>
        </is>
      </c>
    </row>
    <row r="2">
      <c r="A2" s="2" t="inlineStr">
        <is>
          <t>P0-PMO-09 · documentation/SponsorX-NIL-Job-Catalogue-Economics.md · the tier multiplier is applied to athlete pay, nothing protects the sell price</t>
        </is>
      </c>
    </row>
    <row r="4">
      <c r="A4" s="3" t="inlineStr">
        <is>
          <t>Code</t>
        </is>
      </c>
      <c r="B4" s="3" t="inlineStr">
        <is>
          <t>Job</t>
        </is>
      </c>
      <c r="C4" s="3" t="inlineStr">
        <is>
          <t>Base top</t>
        </is>
      </c>
      <c r="D4" s="3" t="inlineStr">
        <is>
          <t>x1.50 Premium</t>
        </is>
      </c>
      <c r="E4" s="3" t="inlineStr">
        <is>
          <t>Sell floor</t>
        </is>
      </c>
      <c r="F4" s="3" t="inlineStr">
        <is>
          <t>Margin</t>
        </is>
      </c>
      <c r="G4" s="3" t="inlineStr">
        <is>
          <t>Margin %</t>
        </is>
      </c>
    </row>
    <row r="5">
      <c r="A5" s="4" t="inlineStr">
        <is>
          <t>SX-01</t>
        </is>
      </c>
      <c r="B5" s="4" t="inlineStr">
        <is>
          <t>Story Drop</t>
        </is>
      </c>
      <c r="C5" s="5" t="n">
        <v>50</v>
      </c>
      <c r="D5" s="5" t="n">
        <v>75</v>
      </c>
      <c r="E5" s="5" t="n">
        <v>75</v>
      </c>
      <c r="F5" s="6" t="n">
        <v>0</v>
      </c>
      <c r="G5" s="7">
        <f>IF(E5=0,"",F5/E5)</f>
        <v/>
      </c>
    </row>
    <row r="6">
      <c r="A6" s="4" t="inlineStr">
        <is>
          <t>SX-02</t>
        </is>
      </c>
      <c r="B6" s="4" t="inlineStr">
        <is>
          <t>Sponsored Post</t>
        </is>
      </c>
      <c r="C6" s="5" t="n">
        <v>100</v>
      </c>
      <c r="D6" s="5" t="n">
        <v>150</v>
      </c>
      <c r="E6" s="5" t="n">
        <v>125</v>
      </c>
      <c r="F6" s="8" t="n">
        <v>-25</v>
      </c>
      <c r="G6" s="9">
        <f>IF(E6=0,"",F6/E6)</f>
        <v/>
      </c>
    </row>
    <row r="7">
      <c r="A7" s="4" t="inlineStr">
        <is>
          <t>SX-03</t>
        </is>
      </c>
      <c r="B7" s="4" t="inlineStr">
        <is>
          <t>Athlete Reel</t>
        </is>
      </c>
      <c r="C7" s="5" t="n">
        <v>150</v>
      </c>
      <c r="D7" s="5" t="n">
        <v>225</v>
      </c>
      <c r="E7" s="5" t="n">
        <v>200</v>
      </c>
      <c r="F7" s="8" t="n">
        <v>-25</v>
      </c>
      <c r="G7" s="9">
        <f>IF(E7=0,"",F7/E7)</f>
        <v/>
      </c>
    </row>
    <row r="8">
      <c r="A8" s="4" t="inlineStr">
        <is>
          <t>SX-04</t>
        </is>
      </c>
      <c r="B8" s="4" t="inlineStr">
        <is>
          <t>Product Experience</t>
        </is>
      </c>
      <c r="C8" s="5" t="n">
        <v>250</v>
      </c>
      <c r="D8" s="5" t="n">
        <v>375</v>
      </c>
      <c r="E8" s="5" t="n">
        <v>350</v>
      </c>
      <c r="F8" s="8" t="n">
        <v>-25</v>
      </c>
      <c r="G8" s="9">
        <f>IF(E8=0,"",F8/E8)</f>
        <v/>
      </c>
    </row>
    <row r="9">
      <c r="A9" s="4" t="inlineStr">
        <is>
          <t>SX-05</t>
        </is>
      </c>
      <c r="B9" s="4" t="inlineStr">
        <is>
          <t>Local Appearance</t>
        </is>
      </c>
      <c r="C9" s="5" t="n">
        <v>300</v>
      </c>
      <c r="D9" s="5" t="n">
        <v>450</v>
      </c>
      <c r="E9" s="5" t="n">
        <v>400</v>
      </c>
      <c r="F9" s="8" t="n">
        <v>-50</v>
      </c>
      <c r="G9" s="9">
        <f>IF(E9=0,"",F9/E9)</f>
        <v/>
      </c>
    </row>
    <row r="10">
      <c r="A10" s="4" t="inlineStr">
        <is>
          <t>SX-06</t>
        </is>
      </c>
      <c r="B10" s="4" t="inlineStr">
        <is>
          <t>Content Day</t>
        </is>
      </c>
      <c r="C10" s="5" t="n">
        <v>350</v>
      </c>
      <c r="D10" s="5" t="n">
        <v>525</v>
      </c>
      <c r="E10" s="5" t="n">
        <v>500</v>
      </c>
      <c r="F10" s="8" t="n">
        <v>-25</v>
      </c>
      <c r="G10" s="9">
        <f>IF(E10=0,"",F10/E10)</f>
        <v/>
      </c>
    </row>
    <row r="11">
      <c r="A11" s="4" t="inlineStr">
        <is>
          <t>SX-07</t>
        </is>
      </c>
      <c r="B11" s="4" t="inlineStr">
        <is>
          <t>Monthly Ambassador</t>
        </is>
      </c>
      <c r="C11" s="5" t="n">
        <v>750</v>
      </c>
      <c r="D11" s="5" t="n">
        <v>1125</v>
      </c>
      <c r="E11" s="5" t="n">
        <v>750</v>
      </c>
      <c r="F11" s="8" t="n">
        <v>-375</v>
      </c>
      <c r="G11" s="9">
        <f>IF(E11=0,"",F11/E11)</f>
        <v/>
      </c>
    </row>
    <row r="13">
      <c r="A13" s="2" t="inlineStr">
        <is>
          <t>Also below the floor at Creator (1.25x): SX-02 breaks even, SX-07 loses $187.50.</t>
        </is>
      </c>
    </row>
    <row r="14">
      <c r="A14" s="2" t="inlineStr">
        <is>
          <t>SX-07 is the sharpest: its base top ($750) equals its sell floor before any multiplier.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1" customWidth="1" min="4" max="4"/>
  </cols>
  <sheetData>
    <row r="1">
      <c r="A1" s="1" t="inlineStr">
        <is>
          <t>Problem 2 — the same package can be delivered at wildly different cost</t>
        </is>
      </c>
    </row>
    <row r="2">
      <c r="A2" s="2" t="inlineStr">
        <is>
          <t>P0-PMO-10 · documentation/SponsorX-Sponsor-Packages-and-Inventory.md · no package names its NIL job codes, so the price is fixed while the content is not</t>
        </is>
      </c>
    </row>
    <row r="4">
      <c r="A4" s="10" t="inlineStr">
        <is>
          <t>Athlete Takeover, list price ~$10,000</t>
        </is>
      </c>
    </row>
    <row r="5">
      <c r="A5" s="3" t="inlineStr">
        <is>
          <t>Delivered as</t>
        </is>
      </c>
      <c r="B5" s="3" t="inlineStr">
        <is>
          <t>Athlete cost</t>
        </is>
      </c>
      <c r="C5" s="3" t="inlineStr">
        <is>
          <t>BTG margin</t>
        </is>
      </c>
      <c r="D5" s="3" t="inlineStr">
        <is>
          <t>Margin %</t>
        </is>
      </c>
    </row>
    <row r="6">
      <c r="A6" s="4" t="inlineStr">
        <is>
          <t>15 x SX-03 Athlete Reel</t>
        </is>
      </c>
      <c r="B6" s="5" t="n">
        <v>1688</v>
      </c>
      <c r="C6" s="5" t="n">
        <v>8312</v>
      </c>
      <c r="D6" s="11" t="n">
        <v>0.83</v>
      </c>
    </row>
    <row r="7">
      <c r="A7" s="4" t="inlineStr">
        <is>
          <t>25 x SX-06 Content Day</t>
        </is>
      </c>
      <c r="B7" s="5" t="n">
        <v>6250</v>
      </c>
      <c r="C7" s="5" t="n">
        <v>3750</v>
      </c>
      <c r="D7" s="11" t="n">
        <v>0.37</v>
      </c>
    </row>
    <row r="8">
      <c r="A8" s="4" t="inlineStr">
        <is>
          <t>25 x SX-07 Monthly Ambassador</t>
        </is>
      </c>
      <c r="B8" s="5" t="n">
        <v>13125</v>
      </c>
      <c r="C8" s="8" t="n">
        <v>-3125</v>
      </c>
      <c r="D8" s="12" t="n">
        <v>-0.31</v>
      </c>
    </row>
    <row r="10">
      <c r="A10" s="2" t="inlineStr">
        <is>
          <t>A 114-point margin swing inside one package, from choices made in good faith after the sale.</t>
        </is>
      </c>
    </row>
    <row r="11">
      <c r="A11" s="2" t="inlineStr">
        <is>
          <t>Community Campaign has the same shape: 15 athletes at Content Day rates is $3,750 against a ~$5,000 price.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</cols>
  <sheetData>
    <row r="1">
      <c r="A1" s="1" t="inlineStr">
        <is>
          <t>The catalogue as written (Sec.5) and the tier multipliers (Sec.6)</t>
        </is>
      </c>
    </row>
    <row r="2">
      <c r="A2" s="2" t="inlineStr">
        <is>
          <t>Priced at the middle of both bands the catalogue is healthy: 60-67% margin on every job.</t>
        </is>
      </c>
    </row>
    <row r="4">
      <c r="A4" s="3" t="inlineStr">
        <is>
          <t>Code</t>
        </is>
      </c>
      <c r="B4" s="3" t="inlineStr">
        <is>
          <t>Job</t>
        </is>
      </c>
      <c r="C4" s="3" t="inlineStr">
        <is>
          <t>Pay low</t>
        </is>
      </c>
      <c r="D4" s="3" t="inlineStr">
        <is>
          <t>Pay high</t>
        </is>
      </c>
      <c r="E4" s="3" t="inlineStr">
        <is>
          <t>Sell low</t>
        </is>
      </c>
      <c r="F4" s="3" t="inlineStr">
        <is>
          <t>Sell high</t>
        </is>
      </c>
      <c r="G4" s="3" t="inlineStr">
        <is>
          <t>Mid pay</t>
        </is>
      </c>
      <c r="H4" s="3" t="inlineStr">
        <is>
          <t>Mid sell</t>
        </is>
      </c>
      <c r="I4" s="3" t="inlineStr">
        <is>
          <t>Mid margin</t>
        </is>
      </c>
      <c r="J4" s="3" t="inlineStr">
        <is>
          <t>Mid %</t>
        </is>
      </c>
    </row>
    <row r="5">
      <c r="A5" s="4" t="inlineStr">
        <is>
          <t>SX-01</t>
        </is>
      </c>
      <c r="B5" s="4" t="inlineStr">
        <is>
          <t>Story Drop</t>
        </is>
      </c>
      <c r="C5" s="5" t="n">
        <v>25</v>
      </c>
      <c r="D5" s="5" t="n">
        <v>50</v>
      </c>
      <c r="E5" s="5" t="n">
        <v>75</v>
      </c>
      <c r="F5" s="5" t="n">
        <v>125</v>
      </c>
      <c r="G5" s="5">
        <f>AVERAGE(C5:D5)</f>
        <v/>
      </c>
      <c r="H5" s="5">
        <f>AVERAGE(E5:F5)</f>
        <v/>
      </c>
      <c r="I5" s="5">
        <f>H5-G5</f>
        <v/>
      </c>
      <c r="J5" s="13">
        <f>I5/H5</f>
        <v/>
      </c>
    </row>
    <row r="6">
      <c r="A6" s="4" t="inlineStr">
        <is>
          <t>SX-02</t>
        </is>
      </c>
      <c r="B6" s="4" t="inlineStr">
        <is>
          <t>Sponsored Post</t>
        </is>
      </c>
      <c r="C6" s="5" t="n">
        <v>50</v>
      </c>
      <c r="D6" s="5" t="n">
        <v>100</v>
      </c>
      <c r="E6" s="5" t="n">
        <v>125</v>
      </c>
      <c r="F6" s="5" t="n">
        <v>250</v>
      </c>
      <c r="G6" s="5">
        <f>AVERAGE(C6:D6)</f>
        <v/>
      </c>
      <c r="H6" s="5">
        <f>AVERAGE(E6:F6)</f>
        <v/>
      </c>
      <c r="I6" s="5">
        <f>H6-G6</f>
        <v/>
      </c>
      <c r="J6" s="13">
        <f>I6/H6</f>
        <v/>
      </c>
    </row>
    <row r="7">
      <c r="A7" s="4" t="inlineStr">
        <is>
          <t>SX-03</t>
        </is>
      </c>
      <c r="B7" s="4" t="inlineStr">
        <is>
          <t>Athlete Reel</t>
        </is>
      </c>
      <c r="C7" s="5" t="n">
        <v>75</v>
      </c>
      <c r="D7" s="5" t="n">
        <v>150</v>
      </c>
      <c r="E7" s="5" t="n">
        <v>200</v>
      </c>
      <c r="F7" s="5" t="n">
        <v>400</v>
      </c>
      <c r="G7" s="5">
        <f>AVERAGE(C7:D7)</f>
        <v/>
      </c>
      <c r="H7" s="5">
        <f>AVERAGE(E7:F7)</f>
        <v/>
      </c>
      <c r="I7" s="5">
        <f>H7-G7</f>
        <v/>
      </c>
      <c r="J7" s="13">
        <f>I7/H7</f>
        <v/>
      </c>
    </row>
    <row r="8">
      <c r="A8" s="4" t="inlineStr">
        <is>
          <t>SX-04</t>
        </is>
      </c>
      <c r="B8" s="4" t="inlineStr">
        <is>
          <t>Product Experience</t>
        </is>
      </c>
      <c r="C8" s="5" t="n">
        <v>125</v>
      </c>
      <c r="D8" s="5" t="n">
        <v>250</v>
      </c>
      <c r="E8" s="5" t="n">
        <v>350</v>
      </c>
      <c r="F8" s="5" t="n">
        <v>650</v>
      </c>
      <c r="G8" s="5">
        <f>AVERAGE(C8:D8)</f>
        <v/>
      </c>
      <c r="H8" s="5">
        <f>AVERAGE(E8:F8)</f>
        <v/>
      </c>
      <c r="I8" s="5">
        <f>H8-G8</f>
        <v/>
      </c>
      <c r="J8" s="13">
        <f>I8/H8</f>
        <v/>
      </c>
    </row>
    <row r="9">
      <c r="A9" s="4" t="inlineStr">
        <is>
          <t>SX-05</t>
        </is>
      </c>
      <c r="B9" s="4" t="inlineStr">
        <is>
          <t>Local Appearance</t>
        </is>
      </c>
      <c r="C9" s="5" t="n">
        <v>150</v>
      </c>
      <c r="D9" s="5" t="n">
        <v>300</v>
      </c>
      <c r="E9" s="5" t="n">
        <v>400</v>
      </c>
      <c r="F9" s="5" t="n">
        <v>750</v>
      </c>
      <c r="G9" s="5">
        <f>AVERAGE(C9:D9)</f>
        <v/>
      </c>
      <c r="H9" s="5">
        <f>AVERAGE(E9:F9)</f>
        <v/>
      </c>
      <c r="I9" s="5">
        <f>H9-G9</f>
        <v/>
      </c>
      <c r="J9" s="13">
        <f>I9/H9</f>
        <v/>
      </c>
    </row>
    <row r="10">
      <c r="A10" s="4" t="inlineStr">
        <is>
          <t>SX-06</t>
        </is>
      </c>
      <c r="B10" s="4" t="inlineStr">
        <is>
          <t>Content Day</t>
        </is>
      </c>
      <c r="C10" s="5" t="n">
        <v>150</v>
      </c>
      <c r="D10" s="5" t="n">
        <v>350</v>
      </c>
      <c r="E10" s="5" t="n">
        <v>500</v>
      </c>
      <c r="F10" s="5" t="n">
        <v>1000</v>
      </c>
      <c r="G10" s="5">
        <f>AVERAGE(C10:D10)</f>
        <v/>
      </c>
      <c r="H10" s="5">
        <f>AVERAGE(E10:F10)</f>
        <v/>
      </c>
      <c r="I10" s="5">
        <f>H10-G10</f>
        <v/>
      </c>
      <c r="J10" s="13">
        <f>I10/H10</f>
        <v/>
      </c>
    </row>
    <row r="11">
      <c r="A11" s="4" t="inlineStr">
        <is>
          <t>SX-07</t>
        </is>
      </c>
      <c r="B11" s="4" t="inlineStr">
        <is>
          <t>Monthly Ambassador</t>
        </is>
      </c>
      <c r="C11" s="5" t="n">
        <v>300</v>
      </c>
      <c r="D11" s="5" t="n">
        <v>750</v>
      </c>
      <c r="E11" s="5" t="n">
        <v>750</v>
      </c>
      <c r="F11" s="5" t="n">
        <v>2000</v>
      </c>
      <c r="G11" s="5">
        <f>AVERAGE(C11:D11)</f>
        <v/>
      </c>
      <c r="H11" s="5">
        <f>AVERAGE(E11:F11)</f>
        <v/>
      </c>
      <c r="I11" s="5">
        <f>H11-G11</f>
        <v/>
      </c>
      <c r="J11" s="13">
        <f>I11/H11</f>
        <v/>
      </c>
    </row>
    <row r="14">
      <c r="A14" s="10" t="inlineStr">
        <is>
          <t>Tier multipliers (Sec.6)</t>
        </is>
      </c>
    </row>
    <row r="15">
      <c r="A15" s="3" t="inlineStr">
        <is>
          <t>Tier</t>
        </is>
      </c>
      <c r="B15" s="3" t="inlineStr">
        <is>
          <t>Profile</t>
        </is>
      </c>
      <c r="C15" s="3" t="inlineStr">
        <is>
          <t>Multiplier</t>
        </is>
      </c>
    </row>
    <row r="16">
      <c r="A16" s="4" t="inlineStr">
        <is>
          <t>Emerging</t>
        </is>
      </c>
      <c r="B16" s="4" t="inlineStr">
        <is>
          <t>Smaller but engaged; typically 1K-5K audience</t>
        </is>
      </c>
      <c r="C16" s="14" t="n">
        <v>1</v>
      </c>
    </row>
    <row r="17">
      <c r="A17" s="4" t="inlineStr">
        <is>
          <t>Creator</t>
        </is>
      </c>
      <c r="B17" s="4" t="inlineStr">
        <is>
          <t>Stronger content and/or 5K-20K audience</t>
        </is>
      </c>
      <c r="C17" s="14" t="n">
        <v>1.25</v>
      </c>
    </row>
    <row r="18">
      <c r="A18" s="4" t="inlineStr">
        <is>
          <t>Premium</t>
        </is>
      </c>
      <c r="B18" s="4" t="inlineStr">
        <is>
          <t>20K-50K, or demonstrated sponsor performance</t>
        </is>
      </c>
      <c r="C18" s="14" t="n">
        <v>1.5</v>
      </c>
    </row>
    <row r="19">
      <c r="A19" s="4" t="inlineStr">
        <is>
          <t>Anchor</t>
        </is>
      </c>
      <c r="B19" s="4" t="inlineStr">
        <is>
          <t>Premium BTG relationship or independently valuable</t>
        </is>
      </c>
      <c r="C19" s="4" t="inlineStr">
        <is>
          <t>Negotiated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18" customWidth="1" min="4" max="4"/>
  </cols>
  <sheetData>
    <row r="1">
      <c r="A1" s="1" t="inlineStr">
        <is>
          <t>What has to be decided</t>
        </is>
      </c>
    </row>
    <row r="2">
      <c r="A2" s="2" t="inlineStr">
        <is>
          <t>Both documents are approved and technically closed. The commercial answer is outstanding.</t>
        </is>
      </c>
    </row>
    <row r="4">
      <c r="A4" s="3" t="inlineStr">
        <is>
          <t>Option</t>
        </is>
      </c>
      <c r="B4" s="3" t="inlineStr">
        <is>
          <t>What it is</t>
        </is>
      </c>
      <c r="C4" s="3" t="inlineStr">
        <is>
          <t>Cost</t>
        </is>
      </c>
      <c r="D4" s="3" t="inlineStr">
        <is>
          <t>Recommended</t>
        </is>
      </c>
    </row>
    <row r="5" ht="30" customHeight="1">
      <c r="A5" s="15" t="inlineStr">
        <is>
          <t>1 - Floor rule</t>
        </is>
      </c>
      <c r="B5" s="15" t="inlineStr">
        <is>
          <t>Sponsor price never below athlete cost x 1.4</t>
        </is>
      </c>
      <c r="C5" s="15" t="inlineStr">
        <is>
          <t>One rule, enforceable in code, fails loudly at quote time</t>
        </is>
      </c>
      <c r="D5" s="16" t="inlineStr">
        <is>
          <t>YES - for Phase 1</t>
        </is>
      </c>
    </row>
    <row r="6" ht="30" customHeight="1">
      <c r="A6" s="15" t="inlineStr">
        <is>
          <t>2 - Tier-aware sell bands</t>
        </is>
      </c>
      <c r="B6" s="15" t="inlineStr">
        <is>
          <t>A Premium athlete's job carries a higher sell floor</t>
        </is>
      </c>
      <c r="C6" s="15" t="inlineStr">
        <is>
          <t>Truest to how pricing works; the most work</t>
        </is>
      </c>
      <c r="D6" s="15" t="inlineStr"/>
    </row>
    <row r="7" ht="30" customHeight="1">
      <c r="A7" s="15" t="inlineStr">
        <is>
          <t>3 - Capped multiplier</t>
        </is>
      </c>
      <c r="B7" s="15" t="inlineStr">
        <is>
          <t>Tier multiplier applies only up to the base band midpoint</t>
        </is>
      </c>
      <c r="C7" s="15" t="inlineStr">
        <is>
          <t>Middling; re-prices nothing but changes athlete pay</t>
        </is>
      </c>
      <c r="D7" s="15" t="inlineStr"/>
    </row>
    <row r="9">
      <c r="A9" s="10" t="inlineStr">
        <is>
          <t>Still open on P0-PMO-10</t>
        </is>
      </c>
    </row>
    <row r="10">
      <c r="A10" s="2" t="inlineStr">
        <is>
          <t>Each package needs its NIL job codes and counts before P3-BE-11 can seed the catalogue.</t>
        </is>
      </c>
    </row>
    <row r="11">
      <c r="A11" s="2" t="inlineStr">
        <is>
          <t>Local Blitz and 10-Athlete Blitz also overlap completely at $2,500 with 10 athletes.</t>
        </is>
      </c>
    </row>
    <row r="12">
      <c r="A12" s="2" t="inlineStr">
        <is>
          <t>"iMC/BTG feature" appears in three packages but is not a NIL job and carries no cost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2026-09-17T12:56:15Z</dcterms:created>
  <dcterms:modified xsi:type="dcterms:W3CDTF">2026-09-17T12:56:15Z</dcterms:modified>
</cp:coreProperties>
</file>