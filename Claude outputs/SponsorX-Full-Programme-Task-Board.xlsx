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3'!$I$5:$I$65,"Ready")</f>
        <v/>
      </c>
      <c r="C7" s="81">
        <f>COUNTIF('Phase 3'!$I$5:$I$65,"In progress")</f>
        <v/>
      </c>
      <c r="D7" s="81">
        <f>COUNTIF('Phase 3'!$I$5:$I$65,"Code review")</f>
        <v/>
      </c>
      <c r="E7" s="81">
        <f>COUNTIF('Phase 3'!$I$5:$I$65,"Blocked")</f>
        <v/>
      </c>
      <c r="F7" s="81">
        <f>COUNTIF('Phase 3'!$I$5:$I$65,"Done")</f>
        <v/>
      </c>
      <c r="G7" s="81">
        <f>COUNTA('Phase 3'!$B$5:$B$65)</f>
        <v/>
      </c>
      <c r="H7" s="81">
        <f>SUMIF('Phase 3'!$I$5:$I$65,"&lt;&gt;Done",'Phase 3'!$J$5:$J$65)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Ready</t>
        </is>
      </c>
      <c r="J65" s="108" t="n">
        <v>0.5</v>
      </c>
      <c r="K65" s="109" t="n"/>
      <c r="L65" s="109" t="n"/>
      <c r="M65" s="110" t="n"/>
      <c r="N65" s="85" t="n">
        <v>0</v>
      </c>
      <c r="O65" s="84" t="inlineStr">
        <is>
          <t>3S1-DATA-05, 3S1-DATA-06, 3S1-DATA-07</t>
        </is>
      </c>
      <c r="P65" s="84" t="inlineStr">
        <is>
          <t>History filled for all tenants in both environments; the check passes; a second run adds nothing</t>
        </is>
      </c>
      <c r="Q65" s="86" t="inlineStr">
        <is>
          <t>Spec §21</t>
        </is>
      </c>
      <c r="R65" s="111" t="n"/>
    </row>
  </sheetData>
  <autoFilter ref="A4:R65"/>
  <mergeCells count="2">
    <mergeCell ref="A2:R2"/>
    <mergeCell ref="A1:R1"/>
  </mergeCells>
  <conditionalFormatting sqref="I5:I6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5">
    <cfRule type="expression" rank="0" priority="7" equalAverage="0" aboveAverage="0" dxfId="32" text="" percent="0" bottom="0">
      <formula>$I5="Done"</formula>
    </cfRule>
  </conditionalFormatting>
  <conditionalFormatting sqref="N5:N65">
    <cfRule type="cellIs" rank="0" priority="8" equalAverage="0" operator="greaterThanOrEqual" aboveAverage="0" dxfId="33" text="" percent="0" bottom="0">
      <formula>50</formula>
    </cfRule>
  </conditionalFormatting>
  <dataValidations count="1">
    <dataValidation sqref="I5:I6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2026-10-13T09:44:53Z</dcterms:modified>
  <cp:revision>0</cp:revision>
</cp:coreProperties>
</file>