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2'!$A$4:$R$75</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2'!$I$5:$I$75,"Ready")</f>
        <v/>
      </c>
      <c r="C6" s="85">
        <f>COUNTIF('Phase 2'!$I$5:$I$75,"In progress")</f>
        <v/>
      </c>
      <c r="D6" s="85">
        <f>COUNTIF('Phase 2'!$I$5:$I$75,"Code review")</f>
        <v/>
      </c>
      <c r="E6" s="85">
        <f>COUNTIF('Phase 2'!$I$5:$I$75,"Blocked")</f>
        <v/>
      </c>
      <c r="F6" s="85">
        <f>COUNTIF('Phase 2'!$I$5:$I$75,"Done")</f>
        <v/>
      </c>
      <c r="G6" s="85">
        <f>COUNTA('Phase 2'!$B$5:$B$75)</f>
        <v/>
      </c>
      <c r="H6" s="85">
        <f>SUMIF('Phase 2'!$I$5:$I$75,"&lt;&gt;Done",'Phase 2'!$J$5:$J$75)</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2'!$F$5:$F$75,"Document")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2'!$F$5:$F$75,"Zoho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2'!$F$5:$F$75,"Vendor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2'!$F$5:$F$75,"Code")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2'!$F$5:$F$75,"Code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2'!$F$5:$F$75,"Design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2'!$F$5:$F$75,"Document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2'!$F$5:$F$75,"External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Ready</t>
        </is>
      </c>
      <c r="J45" s="108" t="n">
        <v>5</v>
      </c>
      <c r="K45" s="109" t="n"/>
      <c r="L45" s="109" t="n"/>
      <c r="M45" s="110" t="n"/>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Ready</t>
        </is>
      </c>
      <c r="J71" s="108" t="n">
        <v>5</v>
      </c>
      <c r="K71" s="109" t="n"/>
      <c r="L71" s="109" t="n"/>
      <c r="M71" s="110" t="n"/>
      <c r="N71" s="85" t="inlineStr">
        <is>
          <t>2S3-FE-02</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Blocked</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Blocked</t>
        </is>
      </c>
      <c r="J73" s="108" t="n">
        <v>4</v>
      </c>
      <c r="K73" s="109" t="n"/>
      <c r="L73" s="109" t="n"/>
      <c r="M73" s="110" t="n"/>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Blocked</t>
        </is>
      </c>
      <c r="J74" s="108" t="n">
        <v>3</v>
      </c>
      <c r="K74" s="109" t="n"/>
      <c r="L74" s="109" t="n"/>
      <c r="M74" s="110" t="n"/>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Blocked</t>
        </is>
      </c>
      <c r="J75" s="108" t="n">
        <v>2</v>
      </c>
      <c r="K75" s="109" t="n"/>
      <c r="L75" s="109" t="n"/>
      <c r="M75" s="110" t="n"/>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t>
        </is>
      </c>
    </row>
  </sheetData>
  <autoFilter ref="A4:R75"/>
  <mergeCells count="2">
    <mergeCell ref="A2:R2"/>
    <mergeCell ref="A1:R1"/>
  </mergeCells>
  <conditionalFormatting sqref="I5:I7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5">
    <cfRule type="expression" rank="0" priority="7" equalAverage="0" aboveAverage="0" dxfId="32" text="" percent="0" bottom="0">
      <formula>$I5="Done"</formula>
    </cfRule>
  </conditionalFormatting>
  <conditionalFormatting sqref="N5:N75">
    <cfRule type="cellIs" rank="0" priority="8" equalAverage="0" operator="greaterThanOrEqual" aboveAverage="0" dxfId="33" text="" percent="0" bottom="0">
      <formula>50</formula>
    </cfRule>
  </conditionalFormatting>
  <dataValidations count="1">
    <dataValidation sqref="I5:I7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2026-09-30T04:08:36Z</dcterms:modified>
  <cp:revision>0</cp:revision>
</cp:coreProperties>
</file>