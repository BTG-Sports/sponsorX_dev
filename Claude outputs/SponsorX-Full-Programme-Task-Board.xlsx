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1'!$A$4:$R$289</definedName>
    <definedName name="_xlnm._FilterDatabase" localSheetId="4" hidden="1">'Phase 2'!$A$4:$R$141</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2'!$I$5:$I$141,"Ready")</f>
        <v/>
      </c>
      <c r="C6" s="85">
        <f>COUNTIF('Phase 2'!$I$5:$I$141,"In progress")</f>
        <v/>
      </c>
      <c r="D6" s="85">
        <f>COUNTIF('Phase 2'!$I$5:$I$141,"Code review")</f>
        <v/>
      </c>
      <c r="E6" s="85">
        <f>COUNTIF('Phase 2'!$I$5:$I$141,"Blocked")</f>
        <v/>
      </c>
      <c r="F6" s="85">
        <f>COUNTIF('Phase 2'!$I$5:$I$141,"Done")</f>
        <v/>
      </c>
      <c r="G6" s="85">
        <f>COUNTA('Phase 2'!$B$5:$B$141)</f>
        <v/>
      </c>
      <c r="H6" s="85">
        <f>SUMIF('Phase 2'!$I$5:$I$141,"&lt;&gt;Done",'Phase 2'!$J$5:$J$141)</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2'!$F$5:$F$141,"Document")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2'!$F$5:$F$141,"Zoho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2'!$F$5:$F$141,"Vendor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2'!$F$5:$F$141,"Code")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2'!$F$5:$F$141,"Code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2'!$F$5:$F$141,"Design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2'!$F$5:$F$141,"Document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2'!$F$5:$F$141,"External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9"/>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8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sheetData>
  <autoFilter ref="A4:R289"/>
  <mergeCells count="2">
    <mergeCell ref="A2:R2"/>
    <mergeCell ref="A1:R1"/>
  </mergeCells>
  <conditionalFormatting sqref="I5:I28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89">
    <cfRule type="expression" rank="0" priority="7" equalAverage="0" aboveAverage="0" dxfId="32" text="" percent="0" bottom="0">
      <formula>$I5="Done"</formula>
    </cfRule>
  </conditionalFormatting>
  <conditionalFormatting sqref="N5:N289">
    <cfRule type="cellIs" rank="0" priority="8" equalAverage="0" operator="greaterThanOrEqual" aboveAverage="0" dxfId="33" text="" percent="0" bottom="0">
      <formula>50</formula>
    </cfRule>
  </conditionalFormatting>
  <dataValidations count="1">
    <dataValidation sqref="I5:I28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Ready</t>
        </is>
      </c>
      <c r="J131" s="108" t="n">
        <v>1</v>
      </c>
      <c r="K131" s="109" t="n"/>
      <c r="L131" s="109" t="n"/>
      <c r="M131" s="110" t="n"/>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Ready</t>
        </is>
      </c>
      <c r="J132" s="108" t="n">
        <v>1</v>
      </c>
      <c r="K132" s="109" t="n"/>
      <c r="L132" s="109" t="n"/>
      <c r="M132" s="110" t="n"/>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Ready</t>
        </is>
      </c>
      <c r="J133" s="108" t="n">
        <v>2</v>
      </c>
      <c r="K133" s="109" t="n"/>
      <c r="L133" s="109" t="n"/>
      <c r="M133" s="110" t="n"/>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Ready</t>
        </is>
      </c>
      <c r="J134" s="108" t="n">
        <v>1</v>
      </c>
      <c r="K134" s="109" t="n"/>
      <c r="L134" s="109" t="n"/>
      <c r="M134" s="110" t="n"/>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Ready</t>
        </is>
      </c>
      <c r="J135" s="108" t="n">
        <v>1</v>
      </c>
      <c r="K135" s="109" t="n"/>
      <c r="L135" s="109" t="n"/>
      <c r="M135" s="110" t="n"/>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Ready</t>
        </is>
      </c>
      <c r="J136" s="108" t="n">
        <v>1</v>
      </c>
      <c r="K136" s="109" t="n"/>
      <c r="L136" s="109" t="n"/>
      <c r="M136" s="110" t="n"/>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Ready</t>
        </is>
      </c>
      <c r="J137" s="108" t="n">
        <v>1</v>
      </c>
      <c r="K137" s="109" t="n"/>
      <c r="L137" s="109" t="n"/>
      <c r="M137" s="110" t="n"/>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Ready</t>
        </is>
      </c>
      <c r="J140" s="108" t="n">
        <v>1</v>
      </c>
      <c r="K140" s="109" t="n"/>
      <c r="L140" s="109" t="n"/>
      <c r="M140" s="110" t="n"/>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sheetData>
  <autoFilter ref="A4:R141"/>
  <mergeCells count="2">
    <mergeCell ref="A2:R2"/>
    <mergeCell ref="A1:R1"/>
  </mergeCells>
  <conditionalFormatting sqref="I5:I14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1">
    <cfRule type="expression" rank="0" priority="7" equalAverage="0" aboveAverage="0" dxfId="32" text="" percent="0" bottom="0">
      <formula>$I5="Done"</formula>
    </cfRule>
  </conditionalFormatting>
  <conditionalFormatting sqref="N5:N141">
    <cfRule type="cellIs" rank="0" priority="8" equalAverage="0" operator="greaterThanOrEqual" aboveAverage="0" dxfId="33" text="" percent="0" bottom="0">
      <formula>50</formula>
    </cfRule>
  </conditionalFormatting>
  <dataValidations count="1">
    <dataValidation sqref="I5:I14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2026-10-06T10:24:54Z</dcterms:modified>
  <cp:revision>0</cp:revision>
</cp:coreProperties>
</file>