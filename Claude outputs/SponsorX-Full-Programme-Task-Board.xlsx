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1'!$A$4:$R$251</definedName>
    <definedName name="_xlnm._FilterDatabase" localSheetId="4" hidden="1">'Phase 2'!$A$4:$R$68</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247</t>
        </is>
      </c>
      <c r="D5" s="81" t="inlineStr">
        <is>
          <t>595</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1'!$I$5:$I$237,"Ready")</f>
        <v/>
      </c>
      <c r="C5" s="81">
        <f>COUNTIF('Phase 1'!$I$5:$I$237,"In progress")</f>
        <v/>
      </c>
      <c r="D5" s="81">
        <f>COUNTIF('Phase 1'!$I$5:$I$237,"Code review")</f>
        <v/>
      </c>
      <c r="E5" s="81">
        <f>COUNTIF('Phase 1'!$I$5:$I$237,"Blocked")</f>
        <v/>
      </c>
      <c r="F5" s="81">
        <f>COUNTIF('Phase 1'!$I$5:$I$237,"Done")</f>
        <v/>
      </c>
      <c r="G5" s="81">
        <f>COUNTA('Phase 1'!$B$5:$B$237)</f>
        <v/>
      </c>
      <c r="H5" s="81">
        <f>SUMIF('Phase 1'!$I$5:$I$237,"&lt;&gt;Done",'Phase 1'!$J$5:$J$237)</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1'!$F$5:$F$237,"Document")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1'!$F$5:$F$237,"Zoho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1'!$F$5:$F$237,"Vendor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1'!$F$5:$F$237,"Code")</f>
        <v/>
      </c>
      <c r="C16" s="81">
        <f>COUNTIF('Phase 2'!$F$5:$F$68,"Code")</f>
        <v/>
      </c>
      <c r="D16" s="81">
        <f>COUNTIF('Phase 3'!$F$5:$F$48,"Code")</f>
        <v/>
      </c>
      <c r="E16" s="81">
        <f>COUNTIF('Phase 4'!$F$5:$F$55,"Code")</f>
        <v/>
      </c>
      <c r="F16" s="81">
        <f>SUM(B16:E16)</f>
        <v/>
      </c>
    </row>
    <row r="17" ht="15" customHeight="1" s="75">
      <c r="A17" s="99" t="inlineStr">
        <is>
          <t>Code + console</t>
        </is>
      </c>
      <c r="B17" s="81">
        <f>COUNTIF('Phase 1'!$F$5:$F$237,"Code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1'!$F$5:$F$237,"Design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1'!$F$5:$F$237,"Document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1'!$F$5:$F$237,"External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0"/>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1'!$C$5:$C$237,$A5,'Phase 1'!$I$5:$I$237,"Done")</f>
        <v/>
      </c>
      <c r="D5" s="74">
        <f>COUNTIF('Phase 1'!$C$5:$C$237,$A5)</f>
        <v/>
      </c>
      <c r="E5" s="156">
        <f>IF($D5=0,0,$C5/$D5)</f>
        <v/>
      </c>
      <c r="F5" s="74">
        <f>SUMIFS('Phase 1'!$J$5:$J$237,'Phase 1'!$C$5:$C$237,$A5,'Phase 1'!$I$5:$I$237,"&lt;&gt;Done")</f>
        <v/>
      </c>
      <c r="G5" s="74">
        <f>COUNTIFS('Phase 1'!$C$5:$C$237,$A5,'Phase 1'!$I$5:$I$237,"In progress")+COUNTIFS('Phase 1'!$C$5:$C$237,$A5,'Phase 1'!$I$5:$I$237,"Code review")</f>
        <v/>
      </c>
      <c r="H5" s="74">
        <f>COUNTIFS('Phase 1'!$C$5:$C$237,$A5,'Phase 1'!$I$5:$I$237,"Blocked")</f>
        <v/>
      </c>
    </row>
    <row r="6">
      <c r="A6" s="155" t="n">
        <v>1</v>
      </c>
      <c r="B6" s="74" t="inlineStr">
        <is>
          <t>UI Scaffold on Fixtures</t>
        </is>
      </c>
      <c r="C6" s="74">
        <f>COUNTIFS('Phase 1'!$C$5:$C$237,$A6,'Phase 1'!$I$5:$I$237,"Done")</f>
        <v/>
      </c>
      <c r="D6" s="74">
        <f>COUNTIF('Phase 1'!$C$5:$C$237,$A6)</f>
        <v/>
      </c>
      <c r="E6" s="156">
        <f>IF($D6=0,0,$C6/$D6)</f>
        <v/>
      </c>
      <c r="F6" s="74">
        <f>SUMIFS('Phase 1'!$J$5:$J$237,'Phase 1'!$C$5:$C$237,$A6,'Phase 1'!$I$5:$I$237,"&lt;&gt;Done")</f>
        <v/>
      </c>
      <c r="G6" s="74">
        <f>COUNTIFS('Phase 1'!$C$5:$C$237,$A6,'Phase 1'!$I$5:$I$237,"In progress")+COUNTIFS('Phase 1'!$C$5:$C$237,$A6,'Phase 1'!$I$5:$I$237,"Code review")</f>
        <v/>
      </c>
      <c r="H6" s="74">
        <f>COUNTIFS('Phase 1'!$C$5:$C$237,$A6,'Phase 1'!$I$5:$I$237,"Blocked")</f>
        <v/>
      </c>
    </row>
    <row r="7">
      <c r="A7" s="155" t="n">
        <v>2</v>
      </c>
      <c r="B7" s="74" t="inlineStr">
        <is>
          <t>Platform Foundations</t>
        </is>
      </c>
      <c r="C7" s="74">
        <f>COUNTIFS('Phase 1'!$C$5:$C$237,$A7,'Phase 1'!$I$5:$I$237,"Done")</f>
        <v/>
      </c>
      <c r="D7" s="74">
        <f>COUNTIF('Phase 1'!$C$5:$C$237,$A7)</f>
        <v/>
      </c>
      <c r="E7" s="156">
        <f>IF($D7=0,0,$C7/$D7)</f>
        <v/>
      </c>
      <c r="F7" s="74">
        <f>SUMIFS('Phase 1'!$J$5:$J$237,'Phase 1'!$C$5:$C$237,$A7,'Phase 1'!$I$5:$I$237,"&lt;&gt;Done")</f>
        <v/>
      </c>
      <c r="G7" s="74">
        <f>COUNTIFS('Phase 1'!$C$5:$C$237,$A7,'Phase 1'!$I$5:$I$237,"In progress")+COUNTIFS('Phase 1'!$C$5:$C$237,$A7,'Phase 1'!$I$5:$I$237,"Code review")</f>
        <v/>
      </c>
      <c r="H7" s="74">
        <f>COUNTIFS('Phase 1'!$C$5:$C$237,$A7,'Phase 1'!$I$5:$I$237,"Blocked")</f>
        <v/>
      </c>
    </row>
    <row r="8">
      <c r="A8" s="155" t="n">
        <v>3</v>
      </c>
      <c r="B8" s="74" t="inlineStr">
        <is>
          <t>Athlete Network</t>
        </is>
      </c>
      <c r="C8" s="74">
        <f>COUNTIFS('Phase 1'!$C$5:$C$237,$A8,'Phase 1'!$I$5:$I$237,"Done")</f>
        <v/>
      </c>
      <c r="D8" s="74">
        <f>COUNTIF('Phase 1'!$C$5:$C$237,$A8)</f>
        <v/>
      </c>
      <c r="E8" s="156">
        <f>IF($D8=0,0,$C8/$D8)</f>
        <v/>
      </c>
      <c r="F8" s="74">
        <f>SUMIFS('Phase 1'!$J$5:$J$237,'Phase 1'!$C$5:$C$237,$A8,'Phase 1'!$I$5:$I$237,"&lt;&gt;Done")</f>
        <v/>
      </c>
      <c r="G8" s="74">
        <f>COUNTIFS('Phase 1'!$C$5:$C$237,$A8,'Phase 1'!$I$5:$I$237,"In progress")+COUNTIFS('Phase 1'!$C$5:$C$237,$A8,'Phase 1'!$I$5:$I$237,"Code review")</f>
        <v/>
      </c>
      <c r="H8" s="74">
        <f>COUNTIFS('Phase 1'!$C$5:$C$237,$A8,'Phase 1'!$I$5:$I$237,"Blocked")</f>
        <v/>
      </c>
    </row>
    <row r="9">
      <c r="A9" s="155" t="n">
        <v>4</v>
      </c>
      <c r="B9" s="74" t="inlineStr">
        <is>
          <t>Sponsor Demand &amp; Matching</t>
        </is>
      </c>
      <c r="C9" s="74">
        <f>COUNTIFS('Phase 1'!$C$5:$C$237,$A9,'Phase 1'!$I$5:$I$237,"Done")</f>
        <v/>
      </c>
      <c r="D9" s="74">
        <f>COUNTIF('Phase 1'!$C$5:$C$237,$A9)</f>
        <v/>
      </c>
      <c r="E9" s="156">
        <f>IF($D9=0,0,$C9/$D9)</f>
        <v/>
      </c>
      <c r="F9" s="74">
        <f>SUMIFS('Phase 1'!$J$5:$J$237,'Phase 1'!$C$5:$C$237,$A9,'Phase 1'!$I$5:$I$237,"&lt;&gt;Done")</f>
        <v/>
      </c>
      <c r="G9" s="74">
        <f>COUNTIFS('Phase 1'!$C$5:$C$237,$A9,'Phase 1'!$I$5:$I$237,"In progress")+COUNTIFS('Phase 1'!$C$5:$C$237,$A9,'Phase 1'!$I$5:$I$237,"Code review")</f>
        <v/>
      </c>
      <c r="H9" s="74">
        <f>COUNTIFS('Phase 1'!$C$5:$C$237,$A9,'Phase 1'!$I$5:$I$237,"Blocked")</f>
        <v/>
      </c>
    </row>
    <row r="10">
      <c r="A10" s="155" t="n">
        <v>5</v>
      </c>
      <c r="B10" s="74" t="inlineStr">
        <is>
          <t>Campaign Execution</t>
        </is>
      </c>
      <c r="C10" s="74">
        <f>COUNTIFS('Phase 1'!$C$5:$C$237,$A10,'Phase 1'!$I$5:$I$237,"Done")</f>
        <v/>
      </c>
      <c r="D10" s="74">
        <f>COUNTIF('Phase 1'!$C$5:$C$237,$A10)</f>
        <v/>
      </c>
      <c r="E10" s="156">
        <f>IF($D10=0,0,$C10/$D10)</f>
        <v/>
      </c>
      <c r="F10" s="74">
        <f>SUMIFS('Phase 1'!$J$5:$J$237,'Phase 1'!$C$5:$C$237,$A10,'Phase 1'!$I$5:$I$237,"&lt;&gt;Done")</f>
        <v/>
      </c>
      <c r="G10" s="74">
        <f>COUNTIFS('Phase 1'!$C$5:$C$237,$A10,'Phase 1'!$I$5:$I$237,"In progress")+COUNTIFS('Phase 1'!$C$5:$C$237,$A10,'Phase 1'!$I$5:$I$237,"Code review")</f>
        <v/>
      </c>
      <c r="H10" s="74">
        <f>COUNTIFS('Phase 1'!$C$5:$C$237,$A10,'Phase 1'!$I$5:$I$237,"Blocked")</f>
        <v/>
      </c>
    </row>
    <row r="11">
      <c r="A11" s="155" t="n">
        <v>6</v>
      </c>
      <c r="B11" s="74" t="inlineStr">
        <is>
          <t>Measurement &amp; Reward</t>
        </is>
      </c>
      <c r="C11" s="74">
        <f>COUNTIFS('Phase 1'!$C$5:$C$237,$A11,'Phase 1'!$I$5:$I$237,"Done")</f>
        <v/>
      </c>
      <c r="D11" s="74">
        <f>COUNTIF('Phase 1'!$C$5:$C$237,$A11)</f>
        <v/>
      </c>
      <c r="E11" s="156">
        <f>IF($D11=0,0,$C11/$D11)</f>
        <v/>
      </c>
      <c r="F11" s="74">
        <f>SUMIFS('Phase 1'!$J$5:$J$237,'Phase 1'!$C$5:$C$237,$A11,'Phase 1'!$I$5:$I$237,"&lt;&gt;Done")</f>
        <v/>
      </c>
      <c r="G11" s="74">
        <f>COUNTIFS('Phase 1'!$C$5:$C$237,$A11,'Phase 1'!$I$5:$I$237,"In progress")+COUNTIFS('Phase 1'!$C$5:$C$237,$A11,'Phase 1'!$I$5:$I$237,"Code review")</f>
        <v/>
      </c>
      <c r="H11" s="74">
        <f>COUNTIFS('Phase 1'!$C$5:$C$237,$A11,'Phase 1'!$I$5:$I$237,"Blocked")</f>
        <v/>
      </c>
    </row>
    <row r="12">
      <c r="A12" s="155" t="n">
        <v>7</v>
      </c>
      <c r="B12" s="74" t="inlineStr">
        <is>
          <t>Money &amp; Reporting</t>
        </is>
      </c>
      <c r="C12" s="74">
        <f>COUNTIFS('Phase 1'!$C$5:$C$237,$A12,'Phase 1'!$I$5:$I$237,"Done")</f>
        <v/>
      </c>
      <c r="D12" s="74">
        <f>COUNTIF('Phase 1'!$C$5:$C$237,$A12)</f>
        <v/>
      </c>
      <c r="E12" s="156">
        <f>IF($D12=0,0,$C12/$D12)</f>
        <v/>
      </c>
      <c r="F12" s="74">
        <f>SUMIFS('Phase 1'!$J$5:$J$237,'Phase 1'!$C$5:$C$237,$A12,'Phase 1'!$I$5:$I$237,"&lt;&gt;Done")</f>
        <v/>
      </c>
      <c r="G12" s="74">
        <f>COUNTIFS('Phase 1'!$C$5:$C$237,$A12,'Phase 1'!$I$5:$I$237,"In progress")+COUNTIFS('Phase 1'!$C$5:$C$237,$A12,'Phase 1'!$I$5:$I$237,"Code review")</f>
        <v/>
      </c>
      <c r="H12" s="74">
        <f>COUNTIFS('Phase 1'!$C$5:$C$237,$A12,'Phase 1'!$I$5:$I$237,"Blocked")</f>
        <v/>
      </c>
    </row>
    <row r="13">
      <c r="A13" s="155" t="n">
        <v>8</v>
      </c>
      <c r="B13" s="74" t="inlineStr">
        <is>
          <t>Integration, Hardening &amp; Launch</t>
        </is>
      </c>
      <c r="C13" s="74">
        <f>COUNTIFS('Phase 1'!$C$5:$C$237,$A13,'Phase 1'!$I$5:$I$237,"Done")</f>
        <v/>
      </c>
      <c r="D13" s="74">
        <f>COUNTIF('Phase 1'!$C$5:$C$237,$A13)</f>
        <v/>
      </c>
      <c r="E13" s="156">
        <f>IF($D13=0,0,$C13/$D13)</f>
        <v/>
      </c>
      <c r="F13" s="74">
        <f>SUMIFS('Phase 1'!$J$5:$J$237,'Phase 1'!$C$5:$C$237,$A13,'Phase 1'!$I$5:$I$237,"&lt;&gt;Done")</f>
        <v/>
      </c>
      <c r="G13" s="74">
        <f>COUNTIFS('Phase 1'!$C$5:$C$237,$A13,'Phase 1'!$I$5:$I$237,"In progress")+COUNTIFS('Phase 1'!$C$5:$C$237,$A13,'Phase 1'!$I$5:$I$237,"Code review")</f>
        <v/>
      </c>
      <c r="H13" s="74">
        <f>COUNTIFS('Phase 1'!$C$5:$C$237,$A13,'Phase 1'!$I$5:$I$237,"Blocked")</f>
        <v/>
      </c>
    </row>
    <row r="14">
      <c r="A14" s="155" t="n">
        <v>9</v>
      </c>
      <c r="B14" s="74" t="inlineStr">
        <is>
          <t>SponsorX NEXT (gated)</t>
        </is>
      </c>
      <c r="C14" s="74">
        <f>COUNTIFS('Phase 1'!$C$5:$C$237,$A14,'Phase 1'!$I$5:$I$237,"Done")</f>
        <v/>
      </c>
      <c r="D14" s="74">
        <f>COUNTIF('Phase 1'!$C$5:$C$237,$A14)</f>
        <v/>
      </c>
      <c r="E14" s="156">
        <f>IF($D14=0,0,$C14/$D14)</f>
        <v/>
      </c>
      <c r="F14" s="74">
        <f>SUMIFS('Phase 1'!$J$5:$J$237,'Phase 1'!$C$5:$C$237,$A14,'Phase 1'!$I$5:$I$237,"&lt;&gt;Done")</f>
        <v/>
      </c>
      <c r="G14" s="74">
        <f>COUNTIFS('Phase 1'!$C$5:$C$237,$A14,'Phase 1'!$I$5:$I$237,"In progress")+COUNTIFS('Phase 1'!$C$5:$C$237,$A14,'Phase 1'!$I$5:$I$237,"Code review")</f>
        <v/>
      </c>
      <c r="H14" s="74">
        <f>COUNTIFS('Phase 1'!$C$5:$C$237,$A14,'Phase 1'!$I$5:$I$237,"Blocked")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20</v>
      </c>
      <c r="C20" s="155" t="n">
        <v>21</v>
      </c>
      <c r="D20" s="155" t="n">
        <v>10</v>
      </c>
      <c r="E20" s="155" t="n">
        <v>5</v>
      </c>
      <c r="F20" s="155" t="n">
        <v>1</v>
      </c>
      <c r="G20" s="155" t="n">
        <v>1</v>
      </c>
      <c r="H20" s="155" t="n">
        <v>0</v>
      </c>
      <c r="I20" s="155" t="n">
        <v>0</v>
      </c>
      <c r="J20" s="155" t="n">
        <v>0</v>
      </c>
      <c r="K20" s="155" t="n">
        <v>0</v>
      </c>
      <c r="L20" s="155" t="n">
        <v>58</v>
      </c>
      <c r="M20" s="155" t="n">
        <v>494</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1"/>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247 tasks · 595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In progress</t>
        </is>
      </c>
      <c r="J12" s="108" t="n">
        <v>1</v>
      </c>
      <c r="K12" s="109" t="inlineStr">
        <is>
          <t>2026-09-18</t>
        </is>
      </c>
      <c r="L12" s="109" t="inlineStr">
        <is>
          <t>2026-09-18</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In progress</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In progress</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In progress</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In progress</t>
        </is>
      </c>
      <c r="J54" s="108" t="n">
        <v>1</v>
      </c>
      <c r="K54" s="109" t="inlineStr">
        <is>
          <t>2026-09-15</t>
        </is>
      </c>
      <c r="L54" s="109" t="inlineStr">
        <is>
          <t>2026-09-16</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In progress</t>
        </is>
      </c>
      <c r="J56" s="108" t="n">
        <v>3</v>
      </c>
      <c r="K56" s="109" t="inlineStr">
        <is>
          <t>2026-09-18</t>
        </is>
      </c>
      <c r="L56" s="109" t="n"/>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In progress</t>
        </is>
      </c>
      <c r="J58" s="108" t="n">
        <v>3</v>
      </c>
      <c r="K58" s="109" t="inlineStr">
        <is>
          <t>2026-09-18</t>
        </is>
      </c>
      <c r="L58" s="109" t="n"/>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In progress</t>
        </is>
      </c>
      <c r="J61" s="108" t="n">
        <v>3</v>
      </c>
      <c r="K61" s="109" t="inlineStr">
        <is>
          <t>2026-09-18</t>
        </is>
      </c>
      <c r="L61" s="109" t="n"/>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In progress</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In progress</t>
        </is>
      </c>
      <c r="J71" s="108" t="n">
        <v>3</v>
      </c>
      <c r="K71" s="109" t="inlineStr">
        <is>
          <t>2026-09-18</t>
        </is>
      </c>
      <c r="L71" s="109" t="n"/>
      <c r="M71" s="110" t="inlineStr">
        <is>
          <t>rcfworks</t>
        </is>
      </c>
      <c r="N71" s="85" t="n"/>
      <c r="O71" s="84" t="inlineStr">
        <is>
          <t>P2-OPS-09</t>
        </is>
      </c>
      <c r="P71" s="84" t="inlineStr">
        <is>
          <t>Deploy, rollback, migration-failure and restore procedures written down and tested once</t>
        </is>
      </c>
      <c r="Q71" s="86" t="inlineStr">
        <is>
          <t>§38</t>
        </is>
      </c>
      <c r="R71" s="111" t="n"/>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In progress</t>
        </is>
      </c>
      <c r="J72" s="108" t="n">
        <v>1</v>
      </c>
      <c r="K72" s="109" t="inlineStr">
        <is>
          <t>2026-09-18</t>
        </is>
      </c>
      <c r="L72" s="109" t="n"/>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7</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Ready</t>
        </is>
      </c>
      <c r="J74" s="108" t="n">
        <v>1</v>
      </c>
      <c r="K74" s="109" t="n"/>
      <c r="L74" s="109" t="n"/>
      <c r="M74" s="110" t="n"/>
      <c r="N74" s="81" t="n">
        <v>1</v>
      </c>
      <c r="O74" s="80" t="inlineStr">
        <is>
          <t>P3-BE-01</t>
        </is>
      </c>
      <c r="P74" s="80" t="inlineStr">
        <is>
          <t>All three §11 sections stored; restrictions are queryable for the conflict check in Phase 4</t>
        </is>
      </c>
      <c r="Q74" s="82" t="inlineStr">
        <is>
          <t>§11, §26</t>
        </is>
      </c>
      <c r="R74" s="111" t="n"/>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1</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Ready</t>
        </is>
      </c>
      <c r="J78" s="108" t="n">
        <v>1</v>
      </c>
      <c r="K78" s="109" t="n"/>
      <c r="L78" s="109" t="n"/>
      <c r="M78" s="110" t="n"/>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Updated 2026-09-18 by P0-PMO-13 (margin floor rule at 1.4x with tier-derived sell floors) - see documentation/SponsorX-Pricing-Floor-Decision.md. SX-07's old sell floor ($750) equalled its base-band top and was underwater before any tier multiplier; it is corrected here, not worked around. Per-tier floors are computed as base-band top x tier multiplier x 1.4, never hand-entered.</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1</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Ready</t>
        </is>
      </c>
      <c r="J80" s="108" t="n">
        <v>1</v>
      </c>
      <c r="K80" s="109" t="n"/>
      <c r="L80" s="109" t="n"/>
      <c r="M80" s="110" t="n"/>
      <c r="N80" s="81" t="n">
        <v>1</v>
      </c>
      <c r="O80" s="80" t="inlineStr">
        <is>
          <t>P3-BE-01</t>
        </is>
      </c>
      <c r="P80" s="80" t="inlineStr">
        <is>
          <t>AthleteSocial records platform, handle, followers, avgViews and a MetricSource label — defaulting to SELF_REPORTED</t>
        </is>
      </c>
      <c r="Q80" s="82" t="inlineStr">
        <is>
          <t>§11, §22</t>
        </is>
      </c>
      <c r="R80" s="111" t="n"/>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Blocked</t>
        </is>
      </c>
      <c r="J81" s="108" t="n">
        <v>3</v>
      </c>
      <c r="K81" s="109" t="n"/>
      <c r="L81" s="109" t="n"/>
      <c r="M81" s="110" t="n"/>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Updated 2026-09-18 by P0-PMO-13 (margin floor rule at 1.4x with tier-derived sell floors) - see documentation/SponsorX-Pricing-Floor-Decision.md. The floor is computed from the agreed rate at runtime, not from the band. The published per-tier table is the conservative rate-card view of the same formula.</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Ready</t>
        </is>
      </c>
      <c r="J82" s="108" t="n">
        <v>1</v>
      </c>
      <c r="K82" s="109" t="n"/>
      <c r="L82" s="109" t="n"/>
      <c r="M82" s="110" t="n"/>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Updated 2026-09-18 by P0-PMO-13 (margin floor rule at 1.4x with tier-derived sell floors) - see documentation/SponsorX-Pricing-Floor-Decision.md. Unblocked commercially on 2026-09-18: the line items that were missing are now decided. Every package clears the 1.4x floor across its whole range; tightest is Local Blitz at 2.2x.</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Blocked</t>
        </is>
      </c>
      <c r="J83" s="108" t="n">
        <v>3</v>
      </c>
      <c r="K83" s="109" t="n"/>
      <c r="L83" s="109" t="n"/>
      <c r="M83" s="110" t="n"/>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Raised 2026-09-18 with P0-PMO-13. Hard block, not a warning. Floor = agreed athlete rate x 1.4 at runtime; the published per-tier table in the decision document is the rate-card view of the same formula. Block A fixtures already satisfy it (tightest pair 1.67x), so no fixture churn.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Blocked</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Ready</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Blocked</t>
        </is>
      </c>
      <c r="J86" s="108" t="n">
        <v>1</v>
      </c>
      <c r="K86" s="109" t="n"/>
      <c r="L86" s="109" t="n"/>
      <c r="M86" s="110" t="n"/>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Ready</t>
        </is>
      </c>
      <c r="J87" s="108" t="n">
        <v>3</v>
      </c>
      <c r="K87" s="109" t="n"/>
      <c r="L87" s="109" t="n"/>
      <c r="M87" s="110" t="n"/>
      <c r="N87" s="81" t="n"/>
      <c r="O87" s="80" t="inlineStr">
        <is>
          <t>P0-DATA-03, P3-BE-01</t>
        </is>
      </c>
      <c r="P87" s="80" t="inlineStr">
        <is>
          <t>AthleteScore stores the score, the full factor JSON and method: "rules-v1" — a number without its factors is not acceptable</t>
        </is>
      </c>
      <c r="Q87" s="82" t="inlineStr">
        <is>
          <t>§14</t>
        </is>
      </c>
      <c r="R87" s="111" t="n"/>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Ready</t>
        </is>
      </c>
      <c r="J88" s="108" t="n">
        <v>3</v>
      </c>
      <c r="K88" s="109" t="n"/>
      <c r="L88" s="109" t="n"/>
      <c r="M88" s="110" t="n"/>
      <c r="N88" s="85" t="n"/>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Blocked</t>
        </is>
      </c>
      <c r="J89" s="108" t="n">
        <v>3</v>
      </c>
      <c r="K89" s="109" t="n"/>
      <c r="L89" s="109" t="n"/>
      <c r="M89" s="110" t="n"/>
      <c r="N89" s="81" t="n"/>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Blocked</t>
        </is>
      </c>
      <c r="J90" s="108" t="n">
        <v>1</v>
      </c>
      <c r="K90" s="109" t="n"/>
      <c r="L90" s="109" t="n"/>
      <c r="M90" s="110" t="n"/>
      <c r="N90" s="85" t="n"/>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Blocked</t>
        </is>
      </c>
      <c r="J91" s="108" t="n">
        <v>1</v>
      </c>
      <c r="K91" s="109" t="n"/>
      <c r="L91" s="109" t="n"/>
      <c r="M91" s="110" t="n"/>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Ready</t>
        </is>
      </c>
      <c r="J92" s="108" t="n">
        <v>1</v>
      </c>
      <c r="K92" s="109" t="n"/>
      <c r="L92" s="109" t="n"/>
      <c r="M92" s="110" t="n"/>
      <c r="N92" s="85" t="n"/>
      <c r="O92" s="84" t="inlineStr">
        <is>
          <t>P3-INT-01, P3-BE-07</t>
        </is>
      </c>
      <c r="P92" s="84" t="inlineStr">
        <is>
          <t>Submission acknowledgement, changes-requested and approval emails all send as worker jobs</t>
        </is>
      </c>
      <c r="Q92" s="86" t="inlineStr">
        <is>
          <t>§39</t>
        </is>
      </c>
      <c r="R92" s="111" t="n"/>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Ready</t>
        </is>
      </c>
      <c r="J94" s="108" t="n">
        <v>1</v>
      </c>
      <c r="K94" s="109" t="n"/>
      <c r="L94" s="109" t="n"/>
      <c r="M94" s="110" t="n"/>
      <c r="N94" s="85" t="n"/>
      <c r="O94" s="84" t="inlineStr">
        <is>
          <t>P3-BE-03</t>
        </is>
      </c>
      <c r="P94" s="84" t="inlineStr">
        <is>
          <t>Date of birth handling, guardian PII and the constraints from P0-LEG-06 are enforced in code, not just documented</t>
        </is>
      </c>
      <c r="Q94" s="86" t="inlineStr">
        <is>
          <t>§4, §26</t>
        </is>
      </c>
      <c r="R94" s="111" t="inlineStr">
        <is>
          <t>2026-09-15: legal dependency removed (P0-LEG-06) — legal approvals no longer gate development.</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Blocked</t>
        </is>
      </c>
      <c r="J95" s="108" t="n">
        <v>3</v>
      </c>
      <c r="K95" s="109" t="n"/>
      <c r="L95" s="109" t="n"/>
      <c r="M95" s="110" t="n"/>
      <c r="N95" s="81" t="n">
        <v>1</v>
      </c>
      <c r="O95" s="80" t="inlineStr">
        <is>
          <t>P2-BE-04</t>
        </is>
      </c>
      <c r="P95" s="80" t="inlineStr">
        <is>
          <t>Sponsor and contact records exist with Zoho external IDs and sync markers; sponsor scope restricts to own records</t>
        </is>
      </c>
      <c r="Q95" s="82" t="inlineStr">
        <is>
          <t>§20, §18</t>
        </is>
      </c>
      <c r="R95" s="111" t="n"/>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Blocked</t>
        </is>
      </c>
      <c r="J96" s="108" t="n">
        <v>3</v>
      </c>
      <c r="K96" s="109" t="n"/>
      <c r="L96" s="109" t="n"/>
      <c r="M96" s="110" t="n"/>
      <c r="N96" s="85" t="n">
        <v>3</v>
      </c>
      <c r="O96" s="84" t="inlineStr">
        <is>
          <t>P4-BE-01</t>
        </is>
      </c>
      <c r="P96" s="84" t="inlineStr">
        <is>
          <t>DRAFT→QUALIFIED→APPROVED→CAMPAIGN_CREATED→CLOSED enforced; objective, budget, package, dates, targeting and category captured</t>
        </is>
      </c>
      <c r="Q96" s="86" t="inlineStr">
        <is>
          <t>§13, §21</t>
        </is>
      </c>
      <c r="R96" s="111" t="n"/>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Blocked</t>
        </is>
      </c>
      <c r="J97" s="108" t="n">
        <v>5</v>
      </c>
      <c r="K97" s="109" t="n"/>
      <c r="L97" s="109" t="n"/>
      <c r="M97" s="110" t="n"/>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n"/>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Blocked</t>
        </is>
      </c>
      <c r="J98" s="108" t="n">
        <v>3</v>
      </c>
      <c r="K98" s="109" t="n"/>
      <c r="L98" s="109" t="n"/>
      <c r="M98" s="110" t="n"/>
      <c r="N98" s="85" t="n">
        <v>5</v>
      </c>
      <c r="O98" s="84" t="inlineStr">
        <is>
          <t>P4-BE-03</t>
        </is>
      </c>
      <c r="P98" s="84" t="inlineStr">
        <is>
          <t>INVITED→VIEWED→ACCEPTED/DECLINED/EXPIRED enforced; every transition audited</t>
        </is>
      </c>
      <c r="Q98" s="86" t="inlineStr">
        <is>
          <t>§21</t>
        </is>
      </c>
      <c r="R98" s="111" t="n"/>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Blocked</t>
        </is>
      </c>
      <c r="J99" s="108" t="n">
        <v>3</v>
      </c>
      <c r="K99" s="109" t="n"/>
      <c r="L99" s="109" t="n"/>
      <c r="M99" s="110" t="n"/>
      <c r="N99" s="81" t="n">
        <v>2</v>
      </c>
      <c r="O99" s="80" t="inlineStr">
        <is>
          <t>P4-BE-02</t>
        </is>
      </c>
      <c r="P99" s="80" t="inlineStr">
        <is>
          <t>DRAFT→STAFFING→APPROVAL→ACTIVE→REPORTING→COMPLETED/CANCELLED enforced; Campaign.budget never reachable from an athlete-scoped query</t>
        </is>
      </c>
      <c r="Q99" s="82" t="inlineStr">
        <is>
          <t>§21, Guide §04</t>
        </is>
      </c>
      <c r="R99" s="111" t="n"/>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Blocked</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Blocked</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Blocked</t>
        </is>
      </c>
      <c r="J103" s="108" t="n">
        <v>1</v>
      </c>
      <c r="K103" s="109" t="n"/>
      <c r="L103" s="109" t="n"/>
      <c r="M103" s="110" t="n"/>
      <c r="N103" s="81" t="n"/>
      <c r="O103" s="80" t="inlineStr">
        <is>
          <t>P4-BE-04, P2-BE-05</t>
        </is>
      </c>
      <c r="P103" s="80" t="inlineStr">
        <is>
          <t>Invitations past their window move to EXPIRED automatically and cannot be accepted afterwards</t>
        </is>
      </c>
      <c r="Q103" s="82" t="inlineStr">
        <is>
          <t>§21</t>
        </is>
      </c>
      <c r="R103" s="111" t="n"/>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Blocked</t>
        </is>
      </c>
      <c r="J104" s="108" t="n">
        <v>5</v>
      </c>
      <c r="K104" s="109" t="n"/>
      <c r="L104" s="109" t="n"/>
      <c r="M104" s="110" t="n"/>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Blocked</t>
        </is>
      </c>
      <c r="J105" s="108" t="n">
        <v>3</v>
      </c>
      <c r="K105" s="109" t="n"/>
      <c r="L105" s="109" t="n"/>
      <c r="M105" s="110" t="n"/>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Blocked</t>
        </is>
      </c>
      <c r="J106" s="108" t="n">
        <v>3</v>
      </c>
      <c r="K106" s="109" t="n"/>
      <c r="L106" s="109" t="n"/>
      <c r="M106" s="110" t="n"/>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Blocked</t>
        </is>
      </c>
      <c r="J107" s="108" t="n">
        <v>1</v>
      </c>
      <c r="K107" s="109" t="n"/>
      <c r="L107" s="109" t="n"/>
      <c r="M107" s="110" t="n"/>
      <c r="N107" s="81" t="n"/>
      <c r="O107" s="80" t="inlineStr">
        <is>
          <t>P3-INT-01, P4-BE-04</t>
        </is>
      </c>
      <c r="P107" s="80" t="inlineStr">
        <is>
          <t>Invitation, reminder and expiry-warning emails all send as queued jobs</t>
        </is>
      </c>
      <c r="Q107" s="82" t="inlineStr">
        <is>
          <t>§39</t>
        </is>
      </c>
      <c r="R107" s="111" t="n"/>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Blocked</t>
        </is>
      </c>
      <c r="J109" s="108" t="n">
        <v>3</v>
      </c>
      <c r="K109" s="109" t="n"/>
      <c r="L109" s="109" t="n"/>
      <c r="M109" s="110" t="n"/>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Blocked</t>
        </is>
      </c>
      <c r="J111" s="108" t="n">
        <v>5</v>
      </c>
      <c r="K111" s="109" t="n"/>
      <c r="L111" s="109" t="n"/>
      <c r="M111" s="110" t="n"/>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2026-09-15: legal dependency removed (P0-LEG-02) — legal approvals no longer gate development.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Blocked</t>
        </is>
      </c>
      <c r="J112" s="108" t="n">
        <v>3</v>
      </c>
      <c r="K112" s="109" t="n"/>
      <c r="L112" s="109" t="n"/>
      <c r="M112" s="110" t="n"/>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Blocked</t>
        </is>
      </c>
      <c r="J113" s="108" t="n">
        <v>3</v>
      </c>
      <c r="K113" s="109" t="n"/>
      <c r="L113" s="109" t="n"/>
      <c r="M113" s="110" t="n"/>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Blocked</t>
        </is>
      </c>
      <c r="J114" s="108" t="n">
        <v>3</v>
      </c>
      <c r="K114" s="109" t="n"/>
      <c r="L114" s="109" t="n"/>
      <c r="M114" s="110" t="n"/>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Blocked</t>
        </is>
      </c>
      <c r="J115" s="108" t="n">
        <v>3</v>
      </c>
      <c r="K115" s="109" t="n"/>
      <c r="L115" s="109" t="n"/>
      <c r="M115" s="110" t="n"/>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Blocked</t>
        </is>
      </c>
      <c r="J116" s="108" t="n">
        <v>3</v>
      </c>
      <c r="K116" s="109" t="n"/>
      <c r="L116" s="109" t="n"/>
      <c r="M116" s="110" t="n"/>
      <c r="N116" s="85" t="n">
        <v>1</v>
      </c>
      <c r="O116" s="84" t="inlineStr">
        <is>
          <t>P4-BE-06</t>
        </is>
      </c>
      <c r="P116" s="84" t="inlineStr">
        <is>
          <t>DRAFT→SENT→ACCEPTED/REJECTED→ACTIVE→COMPLETED/CANCELLED enforced; commercial terms snapshotted at send time, not read live</t>
        </is>
      </c>
      <c r="Q116" s="86" t="inlineStr">
        <is>
          <t>§21</t>
        </is>
      </c>
      <c r="R116" s="111" t="n"/>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Blocked</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Blocked</t>
        </is>
      </c>
      <c r="J119" s="108" t="n">
        <v>3</v>
      </c>
      <c r="K119" s="109" t="n"/>
      <c r="L119" s="109" t="n"/>
      <c r="M119" s="110" t="n"/>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Blocked</t>
        </is>
      </c>
      <c r="J120" s="108" t="n">
        <v>3</v>
      </c>
      <c r="K120" s="109" t="n"/>
      <c r="L120" s="109" t="n"/>
      <c r="M120" s="110" t="n"/>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Blocked</t>
        </is>
      </c>
      <c r="J121" s="108" t="n">
        <v>3</v>
      </c>
      <c r="K121" s="109" t="n"/>
      <c r="L121" s="109" t="n"/>
      <c r="M121" s="110" t="n"/>
      <c r="N121" s="81" t="n"/>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Blocked</t>
        </is>
      </c>
      <c r="J122" s="108" t="n">
        <v>3</v>
      </c>
      <c r="K122" s="109" t="n"/>
      <c r="L122" s="109" t="n"/>
      <c r="M122" s="110" t="n"/>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Blocked</t>
        </is>
      </c>
      <c r="J123" s="108" t="n">
        <v>3</v>
      </c>
      <c r="K123" s="109" t="n"/>
      <c r="L123" s="109" t="n"/>
      <c r="M123" s="110" t="n"/>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Blocked</t>
        </is>
      </c>
      <c r="J124" s="108" t="n">
        <v>5</v>
      </c>
      <c r="K124" s="109" t="n"/>
      <c r="L124" s="109" t="n"/>
      <c r="M124" s="110" t="n"/>
      <c r="N124" s="85" t="n"/>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Blocked</t>
        </is>
      </c>
      <c r="J125" s="108" t="n">
        <v>1</v>
      </c>
      <c r="K125" s="109" t="n"/>
      <c r="L125" s="109" t="n"/>
      <c r="M125" s="110" t="n"/>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Blocked</t>
        </is>
      </c>
      <c r="J127" s="108" t="n">
        <v>1</v>
      </c>
      <c r="K127" s="109" t="n"/>
      <c r="L127" s="109" t="n"/>
      <c r="M127" s="110" t="n"/>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Ready</t>
        </is>
      </c>
      <c r="J128" s="108" t="n">
        <v>3</v>
      </c>
      <c r="K128" s="109" t="n"/>
      <c r="L128" s="109" t="n"/>
      <c r="M128" s="110" t="n"/>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Blocked</t>
        </is>
      </c>
      <c r="J129" s="108" t="n">
        <v>3</v>
      </c>
      <c r="K129" s="109" t="n"/>
      <c r="L129" s="109" t="n"/>
      <c r="M129" s="110" t="n"/>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Blocked</t>
        </is>
      </c>
      <c r="J130" s="108" t="n">
        <v>3</v>
      </c>
      <c r="K130" s="109" t="n"/>
      <c r="L130" s="109" t="n"/>
      <c r="M130" s="110" t="n"/>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Blocked</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Blocked</t>
        </is>
      </c>
      <c r="J132" s="108" t="n">
        <v>3</v>
      </c>
      <c r="K132" s="109" t="n"/>
      <c r="L132" s="109" t="n"/>
      <c r="M132" s="110" t="n"/>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Blocked</t>
        </is>
      </c>
      <c r="J133" s="108" t="n">
        <v>3</v>
      </c>
      <c r="K133" s="109" t="n"/>
      <c r="L133" s="109" t="n"/>
      <c r="M133" s="110" t="n"/>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Blocked</t>
        </is>
      </c>
      <c r="J134" s="108" t="n">
        <v>1</v>
      </c>
      <c r="K134" s="109" t="n"/>
      <c r="L134" s="109" t="n"/>
      <c r="M134" s="110" t="n"/>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Blocked</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Blocked</t>
        </is>
      </c>
      <c r="J136" s="108" t="n">
        <v>3</v>
      </c>
      <c r="K136" s="109" t="n"/>
      <c r="L136" s="109" t="n"/>
      <c r="M136" s="110" t="n"/>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n"/>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Blocked</t>
        </is>
      </c>
      <c r="J137" s="108" t="n">
        <v>1</v>
      </c>
      <c r="K137" s="109" t="n"/>
      <c r="L137" s="109" t="n"/>
      <c r="M137" s="110" t="n"/>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Blocked</t>
        </is>
      </c>
      <c r="J138" s="108" t="n">
        <v>5</v>
      </c>
      <c r="K138" s="109" t="n"/>
      <c r="L138" s="109" t="n"/>
      <c r="M138" s="110" t="n"/>
      <c r="N138" s="85" t="n"/>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Blocked</t>
        </is>
      </c>
      <c r="J139" s="108" t="n">
        <v>3</v>
      </c>
      <c r="K139" s="109" t="n"/>
      <c r="L139" s="109" t="n"/>
      <c r="M139" s="110" t="n"/>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Blocked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Blocked</t>
        </is>
      </c>
      <c r="J143" s="108" t="n">
        <v>3</v>
      </c>
      <c r="K143" s="109" t="n"/>
      <c r="L143" s="109" t="n"/>
      <c r="M143" s="110" t="n"/>
      <c r="N143" s="81" t="n"/>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Blocked</t>
        </is>
      </c>
      <c r="J144" s="108" t="n">
        <v>3</v>
      </c>
      <c r="K144" s="109" t="n"/>
      <c r="L144" s="109" t="n"/>
      <c r="M144" s="110" t="n"/>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Blocked</t>
        </is>
      </c>
      <c r="J145" s="108" t="n">
        <v>3</v>
      </c>
      <c r="K145" s="109" t="n"/>
      <c r="L145" s="109" t="n"/>
      <c r="M145" s="110" t="n"/>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Ready</t>
        </is>
      </c>
      <c r="J146" s="108" t="n">
        <v>3</v>
      </c>
      <c r="K146" s="109" t="n"/>
      <c r="L146" s="109" t="n"/>
      <c r="M146" s="110" t="n"/>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Blocked</t>
        </is>
      </c>
      <c r="J147" s="108" t="n">
        <v>5</v>
      </c>
      <c r="K147" s="109" t="n"/>
      <c r="L147" s="109" t="n"/>
      <c r="M147" s="110" t="n"/>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Blocked</t>
        </is>
      </c>
      <c r="J148" s="108" t="n">
        <v>3</v>
      </c>
      <c r="K148" s="109" t="n"/>
      <c r="L148" s="109" t="n"/>
      <c r="M148" s="110" t="n"/>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Blocked</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Blocked</t>
        </is>
      </c>
      <c r="J150" s="108" t="n">
        <v>3</v>
      </c>
      <c r="K150" s="109" t="n"/>
      <c r="L150" s="109" t="n"/>
      <c r="M150" s="110" t="n"/>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Blocked</t>
        </is>
      </c>
      <c r="J151" s="108" t="n">
        <v>3</v>
      </c>
      <c r="K151" s="109" t="n"/>
      <c r="L151" s="109" t="n"/>
      <c r="M151" s="110" t="n"/>
      <c r="N151" s="81" t="n"/>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Ready</t>
        </is>
      </c>
      <c r="J152" s="108" t="n">
        <v>3</v>
      </c>
      <c r="K152" s="109" t="n"/>
      <c r="L152" s="109" t="n"/>
      <c r="M152" s="110" t="n"/>
      <c r="N152" s="85" t="n"/>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Blocked</t>
        </is>
      </c>
      <c r="J154" s="108" t="n">
        <v>3</v>
      </c>
      <c r="K154" s="109" t="n"/>
      <c r="L154" s="109" t="n"/>
      <c r="M154" s="110" t="n"/>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Blocked</t>
        </is>
      </c>
      <c r="J155" s="108" t="n">
        <v>1</v>
      </c>
      <c r="K155" s="109" t="n"/>
      <c r="L155" s="109" t="n"/>
      <c r="M155" s="110" t="n"/>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Blocked</t>
        </is>
      </c>
      <c r="J156" s="108" t="n">
        <v>3</v>
      </c>
      <c r="K156" s="109" t="n"/>
      <c r="L156" s="109" t="n"/>
      <c r="M156" s="110" t="n"/>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Blocked</t>
        </is>
      </c>
      <c r="J157" s="108" t="n">
        <v>5</v>
      </c>
      <c r="K157" s="109" t="n"/>
      <c r="L157" s="109" t="n"/>
      <c r="M157" s="110" t="n"/>
      <c r="N157" s="81" t="n"/>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Blocked</t>
        </is>
      </c>
      <c r="J158" s="108" t="n">
        <v>5</v>
      </c>
      <c r="K158" s="109" t="n"/>
      <c r="L158" s="109" t="n"/>
      <c r="M158" s="110" t="n"/>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Blocked</t>
        </is>
      </c>
      <c r="J159" s="108" t="n">
        <v>3</v>
      </c>
      <c r="K159" s="109" t="n"/>
      <c r="L159" s="109" t="n"/>
      <c r="M159" s="110" t="n"/>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Blocked</t>
        </is>
      </c>
      <c r="J162" s="108" t="n">
        <v>1</v>
      </c>
      <c r="K162" s="109" t="n"/>
      <c r="L162" s="109" t="n"/>
      <c r="M162" s="110" t="n"/>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Blocked</t>
        </is>
      </c>
      <c r="J163" s="108" t="n">
        <v>1</v>
      </c>
      <c r="K163" s="109" t="n"/>
      <c r="L163" s="109" t="n"/>
      <c r="M163" s="110" t="n"/>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Ready</t>
        </is>
      </c>
      <c r="J164" s="108" t="n">
        <v>5</v>
      </c>
      <c r="K164" s="109" t="n"/>
      <c r="L164" s="109" t="n"/>
      <c r="M164" s="110" t="n"/>
      <c r="N164" s="85" t="n">
        <v>4</v>
      </c>
      <c r="O164" s="84" t="inlineStr">
        <is>
          <t>P0-PMO-08, P2-BE-05</t>
        </is>
      </c>
      <c r="P164" s="84" t="inlineStr">
        <is>
          <t>Accounts, Contacts, Deals and Tasks push from the worker with External_Id as the dedupe key</t>
        </is>
      </c>
      <c r="Q164" s="86" t="inlineStr">
        <is>
          <t>§18</t>
        </is>
      </c>
      <c r="R164" s="111" t="n"/>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1</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1</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n"/>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Blocked</t>
        </is>
      </c>
      <c r="J198" s="108" t="n">
        <v>1</v>
      </c>
      <c r="K198" s="109" t="n"/>
      <c r="L198" s="109" t="n"/>
      <c r="M198" s="110" t="n"/>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Blocked</t>
        </is>
      </c>
      <c r="J199" s="108" t="n">
        <v>1</v>
      </c>
      <c r="K199" s="109" t="n"/>
      <c r="L199" s="109" t="n"/>
      <c r="M199" s="110" t="n"/>
      <c r="N199" s="81" t="n"/>
      <c r="O199" s="80" t="inlineStr">
        <is>
          <t>P6-SEC-01, P3-INT-01</t>
        </is>
      </c>
      <c r="P199" s="80" t="inlineStr">
        <is>
          <t>An unsubscribe link in every fan email works without login and in one tap; withdrawal is recorded against the same consent record with a timestamp; a withdrawn fan is excluded from P6-INT-01's lead push at query level, not in the UI</t>
        </is>
      </c>
      <c r="Q199" s="82" t="inlineStr">
        <is>
          <t>§16, §26</t>
        </is>
      </c>
      <c r="R199" s="111" t="inlineStr">
        <is>
          <t>Raised 2026-09-16 from the P1-ART-05 fan landing design. Blocks nothing today, but the consent copy cannot ship as written until this exists - the alternative is narrowing the promise.</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Code review</t>
        </is>
      </c>
      <c r="J203" s="108" t="n">
        <v>2</v>
      </c>
      <c r="K203" s="109" t="inlineStr">
        <is>
          <t>2026-09-18</t>
        </is>
      </c>
      <c r="L203" s="109" t="n"/>
      <c r="M203" s="110" t="inlineStr">
        <is>
          <t>infinex</t>
        </is>
      </c>
      <c r="N203" s="85" t="n"/>
      <c r="O203" s="84" t="n"/>
      <c r="P203" s="84" t="inlineStr">
        <is>
          <t>npm install (workspaces) clean; `docker compose up` brings Postgres/Redis/MinIO/migrate/worker healthy with both buckets created; backend tsc + Express /health and /health/ready (db/redis/storage) green; frontend next build; tests pass; `prisma generate` produces backend + frontend clients from one schema.</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Code review</t>
        </is>
      </c>
      <c r="J205" s="108" t="n">
        <v>1</v>
      </c>
      <c r="K205" s="109" t="inlineStr">
        <is>
          <t>2026-09-22</t>
        </is>
      </c>
      <c r="L205" s="109" t="n"/>
      <c r="M205" s="110" t="n"/>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Ready</t>
        </is>
      </c>
      <c r="J206" s="108" t="n">
        <v>2</v>
      </c>
      <c r="K206" s="109" t="n"/>
      <c r="L206" s="109" t="n"/>
      <c r="M206" s="110" t="n"/>
      <c r="N206" s="81" t="n">
        <v>2</v>
      </c>
      <c r="O206" s="80" t="n"/>
      <c r="P206" s="80" t="inlineStr">
        <is>
          <t>Slot prices and the four-way split signed off as numbers, not ranges; the back cover and presenting sponsor recorded as quantity one</t>
        </is>
      </c>
      <c r="Q206" s="82" t="inlineStr">
        <is>
          <t>Spec §5.2, §5.3, §12</t>
        </is>
      </c>
      <c r="R206" s="111" t="n"/>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Ready</t>
        </is>
      </c>
      <c r="J207" s="108" t="n">
        <v>3</v>
      </c>
      <c r="K207" s="109" t="n"/>
      <c r="L207" s="109" t="n"/>
      <c r="M207" s="110" t="n"/>
      <c r="N207" s="81" t="n">
        <v>1</v>
      </c>
      <c r="O207" s="80" t="n"/>
      <c r="P207" s="80" t="inlineStr">
        <is>
          <t>A school can sign one document and start; editorial approval authority named explicitly</t>
        </is>
      </c>
      <c r="Q207" s="82" t="inlineStr">
        <is>
          <t>Spec §7, §12</t>
        </is>
      </c>
      <c r="R207" s="111" t="n"/>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Blocked</t>
        </is>
      </c>
      <c r="J208" s="108" t="n">
        <v>2</v>
      </c>
      <c r="K208" s="109" t="n"/>
      <c r="L208" s="109" t="n"/>
      <c r="M208" s="110" t="n"/>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CORRECTED 2026-09-22 against spec v2.0. Previously said 'NIL jobs in lineItems' - that followed from v1.0's wrong reading that the package contains four SX-02 NIL jobs. It does not.</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Blocked</t>
        </is>
      </c>
      <c r="J209" s="108" t="n">
        <v>1</v>
      </c>
      <c r="K209" s="109" t="n"/>
      <c r="L209" s="109" t="n"/>
      <c r="M209" s="110" t="n"/>
      <c r="N209" s="81" t="n">
        <v>1</v>
      </c>
      <c r="O209" s="80" t="inlineStr">
        <is>
          <t>P9-PMO-02</t>
        </is>
      </c>
      <c r="P209" s="80" t="inlineStr">
        <is>
          <t>The pilot school exists as a Property, its advisor has a login, and it appears in the property portal</t>
        </is>
      </c>
      <c r="Q209" s="82" t="inlineStr">
        <is>
          <t>Spec §3</t>
        </is>
      </c>
      <c r="R209" s="111" t="n"/>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n"/>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Blocked</t>
        </is>
      </c>
      <c r="J212" s="108" t="n">
        <v>3</v>
      </c>
      <c r="K212" s="109" t="n"/>
      <c r="L212" s="109" t="n"/>
      <c r="M212" s="110" t="n"/>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n"/>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Blocked</t>
        </is>
      </c>
      <c r="J213" s="108" t="n">
        <v>5</v>
      </c>
      <c r="K213" s="109" t="n"/>
      <c r="L213" s="109" t="n"/>
      <c r="M213" s="110" t="n"/>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n"/>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Blocked</t>
        </is>
      </c>
      <c r="J214" s="108" t="n">
        <v>5</v>
      </c>
      <c r="K214" s="109" t="n"/>
      <c r="L214" s="109" t="n"/>
      <c r="M214" s="110" t="n"/>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n"/>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Blocked</t>
        </is>
      </c>
      <c r="J215" s="108" t="n">
        <v>3</v>
      </c>
      <c r="K215" s="109" t="n"/>
      <c r="L215" s="109" t="n"/>
      <c r="M215" s="110" t="n"/>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n"/>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Blocked</t>
        </is>
      </c>
      <c r="J216" s="108" t="n">
        <v>3</v>
      </c>
      <c r="K216" s="109" t="n"/>
      <c r="L216" s="109" t="n"/>
      <c r="M216" s="110" t="n"/>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n"/>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Blocked</t>
        </is>
      </c>
      <c r="J217" s="108" t="n">
        <v>3</v>
      </c>
      <c r="K217" s="109" t="n"/>
      <c r="L217" s="109" t="n"/>
      <c r="M217" s="110" t="n"/>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n"/>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Blocked</t>
        </is>
      </c>
      <c r="J219" s="108" t="n">
        <v>3</v>
      </c>
      <c r="K219" s="109" t="n"/>
      <c r="L219" s="109" t="n"/>
      <c r="M219" s="110" t="n"/>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Was an OPEN QUESTION under spec v1.0; answered by V3's definition of a Campaign as a real object. Resolved 2026-09-22.</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Ready</t>
        </is>
      </c>
      <c r="J221" s="108" t="n">
        <v>2</v>
      </c>
      <c r="K221" s="109" t="n"/>
      <c r="L221" s="109" t="n"/>
      <c r="M221" s="110" t="n"/>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Blocked</t>
        </is>
      </c>
      <c r="J222" s="108" t="n">
        <v>5</v>
      </c>
      <c r="K222" s="109" t="n"/>
      <c r="L222" s="109" t="n"/>
      <c r="M222" s="110" t="n"/>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Blocked</t>
        </is>
      </c>
      <c r="J223" s="108" t="n">
        <v>3</v>
      </c>
      <c r="K223" s="109" t="n"/>
      <c r="L223" s="109" t="n"/>
      <c r="M223" s="110" t="n"/>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Blocked</t>
        </is>
      </c>
      <c r="J224" s="108" t="n">
        <v>5</v>
      </c>
      <c r="K224" s="109" t="n"/>
      <c r="L224" s="109" t="n"/>
      <c r="M224" s="110" t="n"/>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Blocked</t>
        </is>
      </c>
      <c r="J225" s="108" t="n">
        <v>3</v>
      </c>
      <c r="K225" s="109" t="n"/>
      <c r="L225" s="109" t="n"/>
      <c r="M225" s="110" t="n"/>
      <c r="N225" s="81" t="n">
        <v>1</v>
      </c>
      <c r="O225" s="80" t="inlineStr">
        <is>
          <t>P1-FE-18</t>
        </is>
      </c>
      <c r="P225" s="80" t="inlineStr">
        <is>
          <t>Every slot's state and buyer readable in one list; filter-kit reused rather than rebuilt</t>
        </is>
      </c>
      <c r="Q225" s="82" t="inlineStr">
        <is>
          <t>Spec §8</t>
        </is>
      </c>
      <c r="R225" s="111" t="n"/>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Blocked</t>
        </is>
      </c>
      <c r="J226" s="108" t="n">
        <v>3</v>
      </c>
      <c r="K226" s="109" t="n"/>
      <c r="L226" s="109" t="n"/>
      <c r="M226" s="110" t="n"/>
      <c r="N226" s="81" t="n">
        <v>1</v>
      </c>
      <c r="O226" s="80" t="inlineStr">
        <is>
          <t>P1-FE-18</t>
        </is>
      </c>
      <c r="P226" s="80" t="inlineStr">
        <is>
          <t>A split reads per edition and is visibly distinct from the athlete earnings surface</t>
        </is>
      </c>
      <c r="Q226" s="82" t="inlineStr">
        <is>
          <t>Spec §5.3, §8</t>
        </is>
      </c>
      <c r="R226" s="111" t="n"/>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Blocked</t>
        </is>
      </c>
      <c r="J230" s="108" t="n">
        <v>3</v>
      </c>
      <c r="K230" s="109" t="n"/>
      <c r="L230" s="109" t="n"/>
      <c r="M230" s="110" t="n"/>
      <c r="N230" s="81" t="n"/>
      <c r="O230" s="80" t="inlineStr">
        <is>
          <t>P9-BE-04, P9-BE-07, P1-FE-19</t>
        </is>
      </c>
      <c r="P230" s="80" t="inlineStr">
        <is>
          <t>Assignments, sales and codes come from the API; no fixture import remains in the student routes</t>
        </is>
      </c>
      <c r="Q230" s="82" t="inlineStr">
        <is>
          <t>Spec §8</t>
        </is>
      </c>
      <c r="R230" s="111" t="n"/>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Blocked</t>
        </is>
      </c>
      <c r="J231" s="108" t="n">
        <v>2</v>
      </c>
      <c r="K231" s="109" t="n"/>
      <c r="L231" s="109" t="n"/>
      <c r="M231" s="110" t="n"/>
      <c r="N231" s="81" t="n"/>
      <c r="O231" s="80" t="inlineStr">
        <is>
          <t>P9-BE-05, P1-FE-20</t>
        </is>
      </c>
      <c r="P231" s="80" t="inlineStr">
        <is>
          <t>An advisor reviews and approves real records, scoped to one school and refused for any other</t>
        </is>
      </c>
      <c r="Q231" s="82" t="inlineStr">
        <is>
          <t>Spec §7, §8</t>
        </is>
      </c>
      <c r="R231" s="111" t="n"/>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Blocked</t>
        </is>
      </c>
      <c r="J232" s="108" t="n">
        <v>3</v>
      </c>
      <c r="K232" s="109" t="n"/>
      <c r="L232" s="109" t="n"/>
      <c r="M232" s="110" t="n"/>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Blocked</t>
        </is>
      </c>
      <c r="J233" s="108" t="n">
        <v>2</v>
      </c>
      <c r="K233" s="109" t="n"/>
      <c r="L233" s="109" t="n"/>
      <c r="M233" s="110" t="n"/>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Blocked</t>
        </is>
      </c>
      <c r="J234" s="108" t="n">
        <v>2</v>
      </c>
      <c r="K234" s="109" t="n"/>
      <c r="L234" s="109" t="n"/>
      <c r="M234" s="110" t="n"/>
      <c r="N234" s="81" t="n"/>
      <c r="O234" s="80" t="inlineStr">
        <is>
          <t>P9-BE-06, P1-FE-23</t>
        </is>
      </c>
      <c r="P234" s="80" t="inlineStr">
        <is>
          <t>A real split resolves to four payees on screen with no read of Earning</t>
        </is>
      </c>
      <c r="Q234" s="82" t="inlineStr">
        <is>
          <t>Spec §5.3</t>
        </is>
      </c>
      <c r="R234" s="111" t="n"/>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Blocked</t>
        </is>
      </c>
      <c r="J236" s="108" t="n">
        <v>3</v>
      </c>
      <c r="K236" s="109" t="n"/>
      <c r="L236" s="109" t="n"/>
      <c r="M236" s="110" t="n"/>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n"/>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Blocked</t>
        </is>
      </c>
      <c r="J238" s="108" t="n">
        <v>4</v>
      </c>
      <c r="K238" s="109" t="n"/>
      <c r="L238" s="109" t="n"/>
      <c r="M238" s="110" t="n"/>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RAISED 2026-09-22 with spec v2.0. ENGINEERING DECISION §6.1: this diverges from the concept's V3, which wanted BTG kept separate from student rights and athlete consent. The capture differs; the record must not.</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Blocked</t>
        </is>
      </c>
      <c r="J239" s="108" t="n">
        <v>4</v>
      </c>
      <c r="K239" s="109" t="n"/>
      <c r="L239" s="109" t="n"/>
      <c r="M239" s="110" t="n"/>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RAISED 2026-09-22. ALSO BLOCKED BY A THING THAT DOES NOT EXIST: claim verification runs on school roster match, and there is no roster - Athlete.school is free text. A school handing a private company a list of its minors is its own data-sharing question. Spec §14 gate 1. Legal dependency removed 2026-09-22: consent and minors' compensation are tracked on the Legal sheet and gate no build row. The three-part consent model is DECIDED in spec v2.0 §5.4 and is buildable today; what counsel answers is the payout, not the record.</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Blocked</t>
        </is>
      </c>
      <c r="J240" s="108" t="n">
        <v>2</v>
      </c>
      <c r="K240" s="109" t="n"/>
      <c r="L240" s="109" t="n"/>
      <c r="M240" s="110" t="n"/>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RAISED 2026-09-22. ENGINEERING DECISION §6.4.</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Blocked</t>
        </is>
      </c>
      <c r="J241" s="108" t="n">
        <v>3</v>
      </c>
      <c r="K241" s="109" t="n"/>
      <c r="L241" s="109" t="n"/>
      <c r="M241" s="110" t="n"/>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RAISED 2026-09-22. The no-loss-of-credit rule is a requirement, not a courtesy: if a student develops a prospect for three weeks and SponsorX refuses it over an exclusivity they could not have known about, the rejection must not cost them standing.</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Blocked</t>
        </is>
      </c>
      <c r="J242" s="108" t="n">
        <v>2</v>
      </c>
      <c r="K242" s="109" t="n"/>
      <c r="L242" s="109" t="n"/>
      <c r="M242" s="110" t="n"/>
      <c r="N242" s="81" t="n"/>
      <c r="O242" s="80" t="inlineStr">
        <is>
          <t>P9-BE-06, P9-BE-13</t>
        </is>
      </c>
      <c r="P242" s="80" t="inlineStr">
        <is>
          <t>A DMV edition draws from several schools and both pools resolve by formula with no manual adjudication</t>
        </is>
      </c>
      <c r="Q242" s="82" t="inlineStr">
        <is>
          <t>Spec v2.0 §5.7</t>
        </is>
      </c>
      <c r="R242" s="111" t="inlineStr">
        <is>
          <t>RAISED 2026-09-22.</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Blocked</t>
        </is>
      </c>
      <c r="J243" s="108" t="n">
        <v>3</v>
      </c>
      <c r="K243" s="109" t="n"/>
      <c r="L243" s="109" t="n"/>
      <c r="M243" s="110" t="n"/>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n"/>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Blocked</t>
        </is>
      </c>
      <c r="J244" s="108" t="n">
        <v>5</v>
      </c>
      <c r="K244" s="109" t="n"/>
      <c r="L244" s="109" t="n"/>
      <c r="M244" s="110" t="n"/>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Blocked</t>
        </is>
      </c>
      <c r="J245" s="108" t="n">
        <v>3</v>
      </c>
      <c r="K245" s="109" t="n"/>
      <c r="L245" s="109" t="n"/>
      <c r="M245" s="110" t="n"/>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n"/>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Blocked</t>
        </is>
      </c>
      <c r="J246" s="108" t="n">
        <v>5</v>
      </c>
      <c r="K246" s="109" t="n"/>
      <c r="L246" s="109" t="n"/>
      <c r="M246" s="110" t="n"/>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n"/>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Blocked</t>
        </is>
      </c>
      <c r="J247" s="108" t="n">
        <v>3</v>
      </c>
      <c r="K247" s="109" t="n"/>
      <c r="L247" s="109" t="n"/>
      <c r="M247" s="110" t="n"/>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Blocked</t>
        </is>
      </c>
      <c r="J248" s="108" t="n">
        <v>2</v>
      </c>
      <c r="K248" s="109" t="n"/>
      <c r="L248" s="109" t="n"/>
      <c r="M248" s="110" t="n"/>
      <c r="N248" s="81" t="n"/>
      <c r="O248" s="80" t="inlineStr">
        <is>
          <t>P9-BE-02, P1-FE-27</t>
        </is>
      </c>
      <c r="P248" s="80" t="inlineStr">
        <is>
          <t>A published edition reads from the API; an unpublished one is unreachable</t>
        </is>
      </c>
      <c r="Q248" s="82" t="inlineStr">
        <is>
          <t>Spec v2.0 §8</t>
        </is>
      </c>
      <c r="R248" s="111" t="n"/>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Blocked</t>
        </is>
      </c>
      <c r="J249" s="108" t="n">
        <v>3</v>
      </c>
      <c r="K249" s="109" t="n"/>
      <c r="L249" s="109" t="n"/>
      <c r="M249" s="110" t="n"/>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n"/>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Blocked</t>
        </is>
      </c>
      <c r="J250" s="108" t="n">
        <v>2</v>
      </c>
      <c r="K250" s="109" t="n"/>
      <c r="L250" s="109" t="n"/>
      <c r="M250" s="110" t="n"/>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Blocked</t>
        </is>
      </c>
      <c r="J251" s="108" t="n">
        <v>2</v>
      </c>
      <c r="K251" s="109" t="n"/>
      <c r="L251" s="109" t="n"/>
      <c r="M251" s="110" t="n"/>
      <c r="N251" s="81" t="n"/>
      <c r="O251" s="80" t="inlineStr">
        <is>
          <t>P9-BE-15, P1-FE-30</t>
        </is>
      </c>
      <c r="P251" s="80" t="inlineStr">
        <is>
          <t>Balances come from StudentPointAccrual; no read touches Earning</t>
        </is>
      </c>
      <c r="Q251" s="82" t="inlineStr">
        <is>
          <t>Spec v2.0 §5.5</t>
        </is>
      </c>
      <c r="R251" s="111" t="n"/>
    </row>
  </sheetData>
  <autoFilter ref="A4:R251"/>
  <mergeCells count="2">
    <mergeCell ref="A2:R2"/>
    <mergeCell ref="A1:R1"/>
  </mergeCells>
  <conditionalFormatting sqref="I5:I23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7">
    <cfRule type="expression" rank="0" priority="7" equalAverage="0" aboveAverage="0" dxfId="32" text="" percent="0" bottom="0">
      <formula>$I5="Done"</formula>
    </cfRule>
  </conditionalFormatting>
  <conditionalFormatting sqref="N5:N237">
    <cfRule type="cellIs" rank="0" priority="8" equalAverage="0" operator="greaterThanOrEqual" aboveAverage="0" dxfId="33" text="" percent="0" bottom="0">
      <formula>50</formula>
    </cfRule>
  </conditionalFormatting>
  <dataValidations count="1">
    <dataValidation sqref="I5:I237"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2026-09-22T05:04:04Z</dcterms:modified>
  <cp:revision>0</cp:revision>
</cp:coreProperties>
</file>