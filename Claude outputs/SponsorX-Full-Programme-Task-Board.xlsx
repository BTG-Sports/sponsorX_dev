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2'!$A$4:$R$107</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2'!$I$5:$I$107,"Ready")</f>
        <v/>
      </c>
      <c r="C6" s="85">
        <f>COUNTIF('Phase 2'!$I$5:$I$107,"In progress")</f>
        <v/>
      </c>
      <c r="D6" s="85">
        <f>COUNTIF('Phase 2'!$I$5:$I$107,"Code review")</f>
        <v/>
      </c>
      <c r="E6" s="85">
        <f>COUNTIF('Phase 2'!$I$5:$I$107,"Blocked")</f>
        <v/>
      </c>
      <c r="F6" s="85">
        <f>COUNTIF('Phase 2'!$I$5:$I$107,"Done")</f>
        <v/>
      </c>
      <c r="G6" s="85">
        <f>COUNTA('Phase 2'!$B$5:$B$107)</f>
        <v/>
      </c>
      <c r="H6" s="85">
        <f>SUMIF('Phase 2'!$I$5:$I$107,"&lt;&gt;Done",'Phase 2'!$J$5:$J$107)</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2'!$F$5:$F$107,"Document")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2'!$F$5:$F$107,"Zoho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2'!$F$5:$F$107,"Vendor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2'!$F$5:$F$107,"Code")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2'!$F$5:$F$107,"Code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2'!$F$5:$F$107,"Design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2'!$F$5:$F$107,"Document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2'!$F$5:$F$107,"External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Blocked</t>
        </is>
      </c>
      <c r="J89" s="108" t="n">
        <v>3</v>
      </c>
      <c r="K89" s="109" t="n"/>
      <c r="L89" s="109" t="n"/>
      <c r="M89" s="110" t="n"/>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Ready</t>
        </is>
      </c>
      <c r="J94" s="108" t="n">
        <v>4</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Blocked</t>
        </is>
      </c>
      <c r="J96" s="108" t="n">
        <v>4</v>
      </c>
      <c r="K96" s="109" t="n"/>
      <c r="L96" s="109" t="n"/>
      <c r="M96" s="110" t="n"/>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Blocked</t>
        </is>
      </c>
      <c r="J97" s="108" t="n">
        <v>3</v>
      </c>
      <c r="K97" s="109" t="n"/>
      <c r="L97" s="109" t="n"/>
      <c r="M97" s="110" t="n"/>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Blocked</t>
        </is>
      </c>
      <c r="J98" s="108" t="n">
        <v>4</v>
      </c>
      <c r="K98" s="109" t="n"/>
      <c r="L98" s="109" t="n"/>
      <c r="M98" s="110" t="n"/>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Ready</t>
        </is>
      </c>
      <c r="J99" s="108" t="n">
        <v>3</v>
      </c>
      <c r="K99" s="109" t="n"/>
      <c r="L99" s="109" t="n"/>
      <c r="M99" s="110" t="n"/>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Blocked</t>
        </is>
      </c>
      <c r="J100" s="108" t="n">
        <v>2</v>
      </c>
      <c r="K100" s="109" t="n"/>
      <c r="L100" s="109" t="n"/>
      <c r="M100" s="110" t="n"/>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Ready</t>
        </is>
      </c>
      <c r="J101" s="108" t="n">
        <v>3</v>
      </c>
      <c r="K101" s="109" t="n"/>
      <c r="L101" s="109" t="n"/>
      <c r="M101" s="110" t="n"/>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Ready</t>
        </is>
      </c>
      <c r="J102" s="108" t="n">
        <v>2</v>
      </c>
      <c r="K102" s="109" t="n"/>
      <c r="L102" s="109" t="n"/>
      <c r="M102" s="110" t="n"/>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Blocked</t>
        </is>
      </c>
      <c r="J104" s="108" t="n">
        <v>3</v>
      </c>
      <c r="K104" s="109" t="n"/>
      <c r="L104" s="109" t="n"/>
      <c r="M104" s="110" t="n"/>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Ready</t>
        </is>
      </c>
      <c r="J105" s="108" t="n">
        <v>4</v>
      </c>
      <c r="K105" s="109" t="n"/>
      <c r="L105" s="109" t="n"/>
      <c r="M105" s="110" t="n"/>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Ready</t>
        </is>
      </c>
      <c r="J106" s="108" t="n">
        <v>3</v>
      </c>
      <c r="K106" s="109" t="n"/>
      <c r="L106" s="109" t="n"/>
      <c r="M106" s="110" t="n"/>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Blocked</t>
        </is>
      </c>
      <c r="J107" s="108" t="n">
        <v>3</v>
      </c>
      <c r="K107" s="109" t="n"/>
      <c r="L107" s="109" t="n"/>
      <c r="M107" s="110" t="n"/>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t>
        </is>
      </c>
    </row>
  </sheetData>
  <autoFilter ref="A4:R107"/>
  <mergeCells count="2">
    <mergeCell ref="A2:R2"/>
    <mergeCell ref="A1:R1"/>
  </mergeCells>
  <conditionalFormatting sqref="I5:I10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7">
    <cfRule type="expression" rank="0" priority="7" equalAverage="0" aboveAverage="0" dxfId="32" text="" percent="0" bottom="0">
      <formula>$I5="Done"</formula>
    </cfRule>
  </conditionalFormatting>
  <conditionalFormatting sqref="N5:N107">
    <cfRule type="cellIs" rank="0" priority="8" equalAverage="0" operator="greaterThanOrEqual" aboveAverage="0" dxfId="33" text="" percent="0" bottom="0">
      <formula>50</formula>
    </cfRule>
  </conditionalFormatting>
  <dataValidations count="1">
    <dataValidation sqref="I5:I10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2026-10-01T04:36:15Z</dcterms:modified>
  <cp:revision>0</cp:revision>
</cp:coreProperties>
</file>