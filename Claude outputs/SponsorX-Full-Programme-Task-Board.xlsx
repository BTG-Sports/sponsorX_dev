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1'!$A$4:$R$253</definedName>
    <definedName name="_xlnm._FilterDatabase" localSheetId="4" hidden="1">'Phase 2'!$A$4:$R$69</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2'!$I$5:$I$69,"Ready")</f>
        <v/>
      </c>
      <c r="C6" s="85">
        <f>COUNTIF('Phase 2'!$I$5:$I$69,"In progress")</f>
        <v/>
      </c>
      <c r="D6" s="85">
        <f>COUNTIF('Phase 2'!$I$5:$I$69,"Code review")</f>
        <v/>
      </c>
      <c r="E6" s="85">
        <f>COUNTIF('Phase 2'!$I$5:$I$69,"Blocked")</f>
        <v/>
      </c>
      <c r="F6" s="85">
        <f>COUNTIF('Phase 2'!$I$5:$I$69,"Done")</f>
        <v/>
      </c>
      <c r="G6" s="85">
        <f>COUNTA('Phase 2'!$B$5:$B$69)</f>
        <v/>
      </c>
      <c r="H6" s="85">
        <f>SUMIF('Phase 2'!$I$5:$I$69,"&lt;&gt;Done",'Phase 2'!$J$5:$J$69)</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2'!$F$5:$F$69,"Document")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2'!$F$5:$F$69,"Zoho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2'!$F$5:$F$69,"Vendor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2'!$F$5:$F$69,"Code")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2'!$F$5:$F$69,"Code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2'!$F$5:$F$69,"Design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2'!$F$5:$F$69,"Document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2'!$F$5:$F$69,"External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3"/>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5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249 tasks · 601 person-days · the loop that must work before anything else is built · Stage 9 (SponsorX NEXT, spec v2.0) is gated, not queued</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In progress</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In progress</t>
        </is>
      </c>
      <c r="J63" s="108" t="n">
        <v>3</v>
      </c>
      <c r="K63" s="109" t="inlineStr">
        <is>
          <t>2026-09-18</t>
        </is>
      </c>
      <c r="L63" s="109" t="n"/>
      <c r="M63" s="110" t="inlineStr">
        <is>
          <t>rcfworks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In progress</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Ready</t>
        </is>
      </c>
      <c r="J85" s="108" t="n">
        <v>3</v>
      </c>
      <c r="K85" s="109" t="n"/>
      <c r="L85" s="109" t="n"/>
      <c r="M85" s="110" t="n"/>
      <c r="N85" s="81" t="n">
        <v>1</v>
      </c>
      <c r="O85" s="80" t="inlineStr">
        <is>
          <t>P3-BE-07</t>
        </is>
      </c>
      <c r="P85" s="80" t="inlineStr">
        <is>
          <t>Real applications appear; approve / request-changes / reject all work; the score factor snapshot renders</t>
        </is>
      </c>
      <c r="Q85" s="82" t="inlineStr">
        <is>
          <t>§23</t>
        </is>
      </c>
      <c r="R85" s="111" t="n"/>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Code review</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Ready</t>
        </is>
      </c>
      <c r="J89" s="108" t="n">
        <v>3</v>
      </c>
      <c r="K89" s="109" t="n"/>
      <c r="L89" s="109" t="n"/>
      <c r="M89" s="110" t="n"/>
      <c r="N89" s="81" t="n"/>
      <c r="O89" s="80" t="inlineStr">
        <is>
          <t>P3-BE-04</t>
        </is>
      </c>
      <c r="P89" s="80" t="inlineStr">
        <is>
          <t>Real profile data renders; the completion meter reflects actual §11 section state</t>
        </is>
      </c>
      <c r="Q89" s="82" t="inlineStr">
        <is>
          <t>§24</t>
        </is>
      </c>
      <c r="R89" s="111" t="n"/>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Ready</t>
        </is>
      </c>
      <c r="J90" s="108" t="n">
        <v>1</v>
      </c>
      <c r="K90" s="109" t="n"/>
      <c r="L90" s="109" t="n"/>
      <c r="M90" s="110" t="n"/>
      <c r="N90" s="85" t="n"/>
      <c r="O90" s="84" t="inlineStr">
        <is>
          <t>P3-BE-09</t>
        </is>
      </c>
      <c r="P90" s="84" t="inlineStr">
        <is>
          <t>An athlete sees their own rates; no other athlete's rates are reachable</t>
        </is>
      </c>
      <c r="Q90" s="86" t="inlineStr">
        <is>
          <t>§24, Guide §04</t>
        </is>
      </c>
      <c r="R90" s="111" t="n"/>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Ready</t>
        </is>
      </c>
      <c r="J91" s="108" t="n">
        <v>1</v>
      </c>
      <c r="K91" s="109" t="n"/>
      <c r="L91" s="109" t="n"/>
      <c r="M91" s="110" t="n"/>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Updated 2026-09-18 by P0-PMO-13 (margin floor rule at 1.4x with tier-derived sell floors) - see documentation/SponsorX-Pricing-Floor-Decision.md. Packages are a bill of materials after P0-PMO-13, so the public page can state what is included instead of 'deliverables not yet defined'.</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Blocked</t>
        </is>
      </c>
      <c r="J93" s="108" t="n">
        <v>3</v>
      </c>
      <c r="K93" s="109" t="n"/>
      <c r="L93" s="109" t="n"/>
      <c r="M93" s="110" t="n"/>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Code review</t>
        </is>
      </c>
      <c r="J100" s="108" t="n">
        <v>3</v>
      </c>
      <c r="K100" s="109" t="inlineStr">
        <is>
          <t>2026-09-24</t>
        </is>
      </c>
      <c r="L100" s="109" t="n"/>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Ready</t>
        </is>
      </c>
      <c r="J101" s="108" t="n">
        <v>3</v>
      </c>
      <c r="K101" s="109" t="n"/>
      <c r="L101" s="109" t="n"/>
      <c r="M101" s="110" t="n"/>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Ready</t>
        </is>
      </c>
      <c r="J104" s="108" t="n">
        <v>5</v>
      </c>
      <c r="K104" s="109" t="n"/>
      <c r="L104" s="109" t="n"/>
      <c r="M104" s="110" t="n"/>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Ready</t>
        </is>
      </c>
      <c r="J105" s="108" t="n">
        <v>3</v>
      </c>
      <c r="K105" s="109" t="n"/>
      <c r="L105" s="109" t="n"/>
      <c r="M105" s="110" t="n"/>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Ready</t>
        </is>
      </c>
      <c r="J106" s="108" t="n">
        <v>3</v>
      </c>
      <c r="K106" s="109" t="n"/>
      <c r="L106" s="109" t="n"/>
      <c r="M106" s="110" t="n"/>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Blocked</t>
        </is>
      </c>
      <c r="J108" s="108" t="n">
        <v>3</v>
      </c>
      <c r="K108" s="109" t="n"/>
      <c r="L108" s="109" t="n"/>
      <c r="M108" s="110" t="n"/>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Ready</t>
        </is>
      </c>
      <c r="J117" s="108" t="n">
        <v>5</v>
      </c>
      <c r="K117" s="109" t="n"/>
      <c r="L117" s="109" t="n"/>
      <c r="M117" s="110" t="n"/>
      <c r="N117" s="81" t="n">
        <v>1</v>
      </c>
      <c r="O117" s="80" t="inlineStr">
        <is>
          <t>P5-BE-08</t>
        </is>
      </c>
      <c r="P117" s="80" t="inlineStr">
        <is>
          <t>The full review board works — draft review, revision request, sponsor routing, approval, publication proof</t>
        </is>
      </c>
      <c r="Q117" s="82" t="inlineStr">
        <is>
          <t>§10, §23</t>
        </is>
      </c>
      <c r="R117" s="111" t="n"/>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Ready</t>
        </is>
      </c>
      <c r="J121" s="108" t="n">
        <v>3</v>
      </c>
      <c r="K121" s="109" t="n"/>
      <c r="L121" s="109" t="n"/>
      <c r="M121" s="110" t="n"/>
      <c r="N121" s="81" t="n"/>
      <c r="O121" s="80" t="inlineStr">
        <is>
          <t>P5-BE-01</t>
        </is>
      </c>
      <c r="P121" s="80" t="inlineStr">
        <is>
          <t>An athlete reads the real order terms and accepts; the guardian branch renders for minors; the exact text shown is what gets hashed</t>
        </is>
      </c>
      <c r="Q121" s="82" t="inlineStr">
        <is>
          <t>§24</t>
        </is>
      </c>
      <c r="R121" s="111" t="n"/>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Ready</t>
        </is>
      </c>
      <c r="J122" s="108" t="n">
        <v>3</v>
      </c>
      <c r="K122" s="109" t="n"/>
      <c r="L122" s="109" t="n"/>
      <c r="M122" s="110" t="n"/>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Ready</t>
        </is>
      </c>
      <c r="J123" s="108" t="n">
        <v>3</v>
      </c>
      <c r="K123" s="109" t="n"/>
      <c r="L123" s="109" t="n"/>
      <c r="M123" s="110" t="n"/>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Ready</t>
        </is>
      </c>
      <c r="J124" s="108" t="n">
        <v>5</v>
      </c>
      <c r="K124" s="109" t="n"/>
      <c r="L124" s="109" t="n"/>
      <c r="M124" s="110" t="n"/>
      <c r="N124" s="85" t="n"/>
      <c r="O124" s="84" t="inlineStr">
        <is>
          <t>P5-BE-05</t>
        </is>
      </c>
      <c r="P124" s="84" t="inlineStr">
        <is>
          <t>Per-athlete acceptance, due dates, approval state, under-delivery and issue flags all render from real data</t>
        </is>
      </c>
      <c r="Q124" s="86" t="inlineStr">
        <is>
          <t>§9 screen 9</t>
        </is>
      </c>
      <c r="R124" s="111" t="n"/>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Blocked</t>
        </is>
      </c>
      <c r="J126" s="108" t="n">
        <v>3</v>
      </c>
      <c r="K126" s="109" t="n"/>
      <c r="L126" s="109" t="n"/>
      <c r="M126" s="110" t="n"/>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Code review</t>
        </is>
      </c>
      <c r="J131" s="108" t="n">
        <v>3</v>
      </c>
      <c r="K131" s="109" t="inlineStr">
        <is>
          <t>2026-09-24</t>
        </is>
      </c>
      <c r="L131" s="109" t="n"/>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Ready</t>
        </is>
      </c>
      <c r="J135" s="108" t="n">
        <v>1</v>
      </c>
      <c r="K135" s="109" t="n"/>
      <c r="L135" s="109" t="n"/>
      <c r="M135" s="110" t="n"/>
      <c r="N135" s="81" t="n"/>
      <c r="O135" s="80" t="inlineStr">
        <is>
          <t>P6-BE-06</t>
        </is>
      </c>
      <c r="P135" s="80" t="inlineStr">
        <is>
          <t>QR assets usable at venue print sizes with adequate quiet zone and contrast</t>
        </is>
      </c>
      <c r="Q135" s="82" t="inlineStr">
        <is>
          <t>§16</t>
        </is>
      </c>
      <c r="R135" s="111" t="n"/>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Ready</t>
        </is>
      </c>
      <c r="J138" s="108" t="n">
        <v>5</v>
      </c>
      <c r="K138" s="109" t="n"/>
      <c r="L138" s="109" t="n"/>
      <c r="M138" s="110" t="n"/>
      <c r="N138" s="85" t="n"/>
      <c r="O138" s="84" t="inlineStr">
        <is>
          <t>P6-BE-02</t>
        </is>
      </c>
      <c r="P138" s="84" t="inlineStr">
        <is>
          <t>Reward, eligibility, landing page, consent copy, limits and expiration are all configurable and persist</t>
        </is>
      </c>
      <c r="Q138" s="86" t="inlineStr">
        <is>
          <t>§9 screen 10</t>
        </is>
      </c>
      <c r="R138" s="111" t="n"/>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Ready</t>
        </is>
      </c>
      <c r="J139" s="108" t="n">
        <v>3</v>
      </c>
      <c r="K139" s="109" t="n"/>
      <c r="L139" s="109" t="n"/>
      <c r="M139" s="110" t="n"/>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Ready</t>
        </is>
      </c>
      <c r="J149" s="108" t="n">
        <v>5</v>
      </c>
      <c r="K149" s="109" t="n"/>
      <c r="L149" s="109" t="n"/>
      <c r="M149" s="110" t="n"/>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Ready</t>
        </is>
      </c>
      <c r="J156" s="108" t="n">
        <v>3</v>
      </c>
      <c r="K156" s="109" t="n"/>
      <c r="L156" s="109" t="n"/>
      <c r="M156" s="110" t="n"/>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Ready</t>
        </is>
      </c>
      <c r="J157" s="108" t="n">
        <v>5</v>
      </c>
      <c r="K157" s="109" t="n"/>
      <c r="L157" s="109" t="n"/>
      <c r="M157" s="110" t="n"/>
      <c r="N157" s="81" t="n"/>
      <c r="O157" s="80" t="inlineStr">
        <is>
          <t>P7-BE-03</t>
        </is>
      </c>
      <c r="P157" s="80" t="inlineStr">
        <is>
          <t>Earnings states, commission calculation, Zoho invoice references and reconciliation view all render from real data</t>
        </is>
      </c>
      <c r="Q157" s="82" t="inlineStr">
        <is>
          <t>§10, §23</t>
        </is>
      </c>
      <c r="R157" s="111" t="n"/>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Ready</t>
        </is>
      </c>
      <c r="J158" s="108" t="n">
        <v>5</v>
      </c>
      <c r="K158" s="109" t="n"/>
      <c r="L158" s="109" t="n"/>
      <c r="M158" s="110" t="n"/>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Ready</t>
        </is>
      </c>
      <c r="J159" s="108" t="n">
        <v>3</v>
      </c>
      <c r="K159" s="109" t="n"/>
      <c r="L159" s="109" t="n"/>
      <c r="M159" s="110" t="n"/>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Blocked</t>
        </is>
      </c>
      <c r="J160" s="108" t="n">
        <v>3</v>
      </c>
      <c r="K160" s="109" t="n"/>
      <c r="L160" s="109" t="n"/>
      <c r="M160" s="110" t="n"/>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Blocked</t>
        </is>
      </c>
      <c r="J161" s="108" t="n">
        <v>3</v>
      </c>
      <c r="K161" s="109" t="n"/>
      <c r="L161" s="109" t="n"/>
      <c r="M161" s="110" t="n"/>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Ready</t>
        </is>
      </c>
      <c r="J168" s="108" t="n">
        <v>3</v>
      </c>
      <c r="K168" s="109" t="n"/>
      <c r="L168" s="109" t="n"/>
      <c r="M168" s="110" t="n"/>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Ready</t>
        </is>
      </c>
      <c r="J174" s="108" t="n">
        <v>3</v>
      </c>
      <c r="K174" s="109" t="n"/>
      <c r="L174" s="109" t="n"/>
      <c r="M174" s="110" t="n"/>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Blocked</t>
        </is>
      </c>
      <c r="J180" s="108" t="n">
        <v>3</v>
      </c>
      <c r="K180" s="109" t="n"/>
      <c r="L180" s="109" t="n"/>
      <c r="M180" s="110" t="n"/>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Ready</t>
        </is>
      </c>
      <c r="J181" s="108" t="n">
        <v>3</v>
      </c>
      <c r="K181" s="109" t="n"/>
      <c r="L181" s="109" t="n"/>
      <c r="M181" s="110" t="n"/>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Ready</t>
        </is>
      </c>
      <c r="J182" s="108" t="n">
        <v>3</v>
      </c>
      <c r="K182" s="109" t="n"/>
      <c r="L182" s="109" t="n"/>
      <c r="M182" s="110" t="n"/>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Code review</t>
        </is>
      </c>
      <c r="J191" s="108" t="n">
        <v>1</v>
      </c>
      <c r="K191" s="109" t="inlineStr">
        <is>
          <t>2026-09-16</t>
        </is>
      </c>
      <c r="L191" s="109" t="n"/>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Code review</t>
        </is>
      </c>
      <c r="J192" s="108" t="n">
        <v>1</v>
      </c>
      <c r="K192" s="109" t="inlineStr">
        <is>
          <t>2026-09-16</t>
        </is>
      </c>
      <c r="L192" s="109" t="n"/>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Code review</t>
        </is>
      </c>
      <c r="J193" s="108" t="n">
        <v>1</v>
      </c>
      <c r="K193" s="109" t="inlineStr">
        <is>
          <t>2026-09-16</t>
        </is>
      </c>
      <c r="L193" s="109" t="n"/>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Code review</t>
        </is>
      </c>
      <c r="J194" s="108" t="n">
        <v>1</v>
      </c>
      <c r="K194" s="109" t="inlineStr">
        <is>
          <t>2026-09-16</t>
        </is>
      </c>
      <c r="L194" s="109" t="n"/>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Code review</t>
        </is>
      </c>
      <c r="J195" s="108" t="n">
        <v>1</v>
      </c>
      <c r="K195" s="109" t="inlineStr">
        <is>
          <t>2026-09-16</t>
        </is>
      </c>
      <c r="L195" s="109" t="n"/>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Code review</t>
        </is>
      </c>
      <c r="J196" s="108" t="n">
        <v>1</v>
      </c>
      <c r="K196" s="109" t="inlineStr">
        <is>
          <t>2026-09-17</t>
        </is>
      </c>
      <c r="L196" s="109" t="n"/>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Code review</t>
        </is>
      </c>
      <c r="J197" s="108" t="n">
        <v>1</v>
      </c>
      <c r="K197" s="109" t="inlineStr">
        <is>
          <t>2026-09-17</t>
        </is>
      </c>
      <c r="L197" s="109" t="n"/>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Code review</t>
        </is>
      </c>
      <c r="J202" s="108" t="n">
        <v>3</v>
      </c>
      <c r="K202" s="109" t="inlineStr">
        <is>
          <t>2026-09-18</t>
        </is>
      </c>
      <c r="L202" s="109" t="n"/>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In progress</t>
        </is>
      </c>
      <c r="J209" s="108" t="n">
        <v>1</v>
      </c>
      <c r="K209" s="109" t="inlineStr">
        <is>
          <t>2026-09-25</t>
        </is>
      </c>
      <c r="L209" s="109" t="n"/>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n"/>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Blocked</t>
        </is>
      </c>
      <c r="J212" s="108" t="n">
        <v>3</v>
      </c>
      <c r="K212" s="109" t="n"/>
      <c r="L212" s="109" t="n"/>
      <c r="M212" s="110" t="n"/>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n"/>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Blocked</t>
        </is>
      </c>
      <c r="J213" s="108" t="n">
        <v>5</v>
      </c>
      <c r="K213" s="109" t="n"/>
      <c r="L213" s="109" t="n"/>
      <c r="M213" s="110" t="n"/>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n"/>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Blocked</t>
        </is>
      </c>
      <c r="J214" s="108" t="n">
        <v>5</v>
      </c>
      <c r="K214" s="109" t="n"/>
      <c r="L214" s="109" t="n"/>
      <c r="M214" s="110" t="n"/>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n"/>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Blocked</t>
        </is>
      </c>
      <c r="J215" s="108" t="n">
        <v>3</v>
      </c>
      <c r="K215" s="109" t="n"/>
      <c r="L215" s="109" t="n"/>
      <c r="M215" s="110" t="n"/>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The cell-by-cell policy is written: RBAC Matrix §15, added 2026-09-22 and marked provisional — this task transcribes it into authz-policy.ts and the matrix then becomes authoritative like every other resource. TWO CONCRETE PREREQUISITES: User.propertyId already exists so ADVISOR's own-property has a column, but User has NO studentId — add it, or every student-scoped row falls through to matching nothing and the portal renders empty rather than erroring. Also add STUDENT and ADVISOR to the athleteRate.amount and revenueSplit.amount denials, and move the matrix digest in authz.matrix.test.ts deliberately.</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Blocked</t>
        </is>
      </c>
      <c r="J216" s="108" t="n">
        <v>3</v>
      </c>
      <c r="K216" s="109" t="n"/>
      <c r="L216" s="109" t="n"/>
      <c r="M216" s="110" t="n"/>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n"/>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Blocked</t>
        </is>
      </c>
      <c r="J217" s="108" t="n">
        <v>3</v>
      </c>
      <c r="K217" s="109" t="n"/>
      <c r="L217" s="109" t="n"/>
      <c r="M217" s="110" t="n"/>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n"/>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Blocked</t>
        </is>
      </c>
      <c r="J219" s="108" t="n">
        <v>3</v>
      </c>
      <c r="K219" s="109" t="n"/>
      <c r="L219" s="109" t="n"/>
      <c r="M219" s="110" t="n"/>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Was an OPEN QUESTION under spec v1.0; answered by V3's definition of a Campaign as a real object. Resolved 2026-09-22. The Phase 1 campaign state machine was built 2026-09-22 (P4-BE-06) with DRAFT -&gt; STAFFING -&gt; APPROVAL and no DRAFT -&gt; APPROVAL edge, because Phase 1 campaigns always have athletes to staff. v2.0 settled that a NEXT sale IS an ordinary Campaign carrying no CampaignOrder, so it must skip STAFFING — this task adds that edge and the guard deciding when it applies. The edge was deliberately NOT added in advance: Stage 9 is gated and bending a shipped machine for unbuilt work is how a state table stops meaning anything.</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Ready</t>
        </is>
      </c>
      <c r="J220" s="108" t="n">
        <v>5</v>
      </c>
      <c r="K220" s="109" t="n"/>
      <c r="L220" s="109" t="n"/>
      <c r="M220" s="110" t="n"/>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Code review</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Code review</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Code review</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Code review</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Code review</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Code review</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Blocked</t>
        </is>
      </c>
      <c r="J227" s="108" t="n">
        <v>3</v>
      </c>
      <c r="K227" s="109" t="n"/>
      <c r="L227" s="109" t="n"/>
      <c r="M227" s="110" t="n"/>
      <c r="N227" s="81" t="n"/>
      <c r="O227" s="80" t="inlineStr">
        <is>
          <t>P1-ART-08</t>
        </is>
      </c>
      <c r="P227" s="80" t="inlineStr">
        <is>
          <t>Both audiences have a clear next step; works at 390px</t>
        </is>
      </c>
      <c r="Q227" s="82" t="inlineStr">
        <is>
          <t>Spec §8, §9.5</t>
        </is>
      </c>
      <c r="R227" s="111" t="n"/>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Blocked</t>
        </is>
      </c>
      <c r="J228" s="108" t="n">
        <v>3</v>
      </c>
      <c r="K228" s="109" t="n"/>
      <c r="L228" s="109" t="n"/>
      <c r="M228" s="110" t="n"/>
      <c r="N228" s="81" t="n">
        <v>1</v>
      </c>
      <c r="O228" s="80" t="inlineStr">
        <is>
          <t>P1-ART-08</t>
        </is>
      </c>
      <c r="P228" s="80" t="inlineStr">
        <is>
          <t>A student completes the wizard on a phone against fixtures; the guardian step appears on the existing minor rule</t>
        </is>
      </c>
      <c r="Q228" s="82" t="inlineStr">
        <is>
          <t>Spec §8, §5.1</t>
        </is>
      </c>
      <c r="R228" s="111" t="n"/>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Blocked</t>
        </is>
      </c>
      <c r="J229" s="108" t="n">
        <v>2</v>
      </c>
      <c r="K229" s="109" t="n"/>
      <c r="L229" s="109" t="n"/>
      <c r="M229" s="110" t="n"/>
      <c r="N229" s="81" t="n"/>
      <c r="O229" s="80" t="inlineStr">
        <is>
          <t>P1-ART-08</t>
        </is>
      </c>
      <c r="P229" s="80" t="inlineStr">
        <is>
          <t>An administrator can read what the school commits to and receives, and forward the page</t>
        </is>
      </c>
      <c r="Q229" s="82" t="inlineStr">
        <is>
          <t>Spec §8, §9.5</t>
        </is>
      </c>
      <c r="R229" s="111" t="n"/>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Blocked</t>
        </is>
      </c>
      <c r="J230" s="108" t="n">
        <v>3</v>
      </c>
      <c r="K230" s="109" t="n"/>
      <c r="L230" s="109" t="n"/>
      <c r="M230" s="110" t="n"/>
      <c r="N230" s="81" t="n"/>
      <c r="O230" s="80" t="inlineStr">
        <is>
          <t>P9-BE-04, P9-BE-07, P1-FE-19</t>
        </is>
      </c>
      <c r="P230" s="80" t="inlineStr">
        <is>
          <t>Assignments, sales and codes come from the API; no fixture import remains in the student routes</t>
        </is>
      </c>
      <c r="Q230" s="82" t="inlineStr">
        <is>
          <t>Spec §8</t>
        </is>
      </c>
      <c r="R230" s="111" t="n"/>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Blocked</t>
        </is>
      </c>
      <c r="J231" s="108" t="n">
        <v>2</v>
      </c>
      <c r="K231" s="109" t="n"/>
      <c r="L231" s="109" t="n"/>
      <c r="M231" s="110" t="n"/>
      <c r="N231" s="81" t="n"/>
      <c r="O231" s="80" t="inlineStr">
        <is>
          <t>P9-BE-05, P1-FE-20</t>
        </is>
      </c>
      <c r="P231" s="80" t="inlineStr">
        <is>
          <t>An advisor reviews and approves real records, scoped to one school and refused for any other</t>
        </is>
      </c>
      <c r="Q231" s="82" t="inlineStr">
        <is>
          <t>Spec §7, §8</t>
        </is>
      </c>
      <c r="R231" s="111" t="n"/>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Blocked</t>
        </is>
      </c>
      <c r="J232" s="108" t="n">
        <v>3</v>
      </c>
      <c r="K232" s="109" t="n"/>
      <c r="L232" s="109" t="n"/>
      <c r="M232" s="110" t="n"/>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Blocked</t>
        </is>
      </c>
      <c r="J233" s="108" t="n">
        <v>2</v>
      </c>
      <c r="K233" s="109" t="n"/>
      <c r="L233" s="109" t="n"/>
      <c r="M233" s="110" t="n"/>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Blocked</t>
        </is>
      </c>
      <c r="J234" s="108" t="n">
        <v>2</v>
      </c>
      <c r="K234" s="109" t="n"/>
      <c r="L234" s="109" t="n"/>
      <c r="M234" s="110" t="n"/>
      <c r="N234" s="81" t="n"/>
      <c r="O234" s="80" t="inlineStr">
        <is>
          <t>P9-BE-06, P1-FE-23</t>
        </is>
      </c>
      <c r="P234" s="80" t="inlineStr">
        <is>
          <t>A real split resolves to four payees on screen with no read of Earning</t>
        </is>
      </c>
      <c r="Q234" s="82" t="inlineStr">
        <is>
          <t>Spec §5.3</t>
        </is>
      </c>
      <c r="R234" s="111" t="n"/>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Blocked</t>
        </is>
      </c>
      <c r="J235" s="108" t="n">
        <v>2</v>
      </c>
      <c r="K235" s="109" t="n"/>
      <c r="L235" s="109" t="n"/>
      <c r="M235" s="110" t="n"/>
      <c r="N235" s="81" t="n"/>
      <c r="O235" s="80" t="inlineStr">
        <is>
          <t>P9-BE-04, P1-FE-25</t>
        </is>
      </c>
      <c r="P235" s="80" t="inlineStr">
        <is>
          <t>A real student application is created and reaches the advisor desk; a minor's guardian is captured on the existing rule</t>
        </is>
      </c>
      <c r="Q235" s="82" t="inlineStr">
        <is>
          <t>Spec §5.1, §8</t>
        </is>
      </c>
      <c r="R235" s="111" t="n"/>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Blocked</t>
        </is>
      </c>
      <c r="J236" s="108" t="n">
        <v>3</v>
      </c>
      <c r="K236" s="109" t="n"/>
      <c r="L236" s="109" t="n"/>
      <c r="M236" s="110" t="n"/>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n"/>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Blocked</t>
        </is>
      </c>
      <c r="J237" s="108" t="n">
        <v>3</v>
      </c>
      <c r="K237" s="109" t="n"/>
      <c r="L237" s="109" t="n"/>
      <c r="M237" s="110" t="n"/>
      <c r="N237" s="81" t="n"/>
      <c r="O237" s="80" t="inlineStr">
        <is>
          <t>P9-FE-03, P9-BE-07</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n"/>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Blocked</t>
        </is>
      </c>
      <c r="J238" s="108" t="n">
        <v>4</v>
      </c>
      <c r="K238" s="109" t="n"/>
      <c r="L238" s="109" t="n"/>
      <c r="M238" s="110" t="n"/>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RAISED 2026-09-22 with spec v2.0. ENGINEERING DECISION §6.1: this diverges from the concept's V3, which wanted BTG kept separate from student rights and athlete consent. The capture differs; the record must not.</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Blocked</t>
        </is>
      </c>
      <c r="J239" s="108" t="n">
        <v>4</v>
      </c>
      <c r="K239" s="109" t="n"/>
      <c r="L239" s="109" t="n"/>
      <c r="M239" s="110" t="n"/>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RAISED 2026-09-22. ALSO BLOCKED BY A THING THAT DOES NOT EXIST: claim verification runs on school roster match, and there is no roster - Athlete.school is free text. A school handing a private company a list of its minors is its own data-sharing question. Spec §14 gate 1. Legal dependency removed 2026-09-22: consent and minors' compensation are tracked on the Legal sheet and gate no build row. The three-part consent model is DECIDED in spec v2.0 §5.4 and is buildable today; what counsel answers is the payout, not the record.</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Blocked</t>
        </is>
      </c>
      <c r="J240" s="108" t="n">
        <v>2</v>
      </c>
      <c r="K240" s="109" t="n"/>
      <c r="L240" s="109" t="n"/>
      <c r="M240" s="110" t="n"/>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RAISED 2026-09-22. ENGINEERING DECISION §6.4.</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Blocked</t>
        </is>
      </c>
      <c r="J241" s="108" t="n">
        <v>3</v>
      </c>
      <c r="K241" s="109" t="n"/>
      <c r="L241" s="109" t="n"/>
      <c r="M241" s="110" t="n"/>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RAISED 2026-09-22. The no-loss-of-credit rule is a requirement, not a courtesy: if a student develops a prospect for three weeks and SponsorX refuses it over an exclusivity they could not have known about, the rejection must not cost them standing.</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Blocked</t>
        </is>
      </c>
      <c r="J242" s="108" t="n">
        <v>2</v>
      </c>
      <c r="K242" s="109" t="n"/>
      <c r="L242" s="109" t="n"/>
      <c r="M242" s="110" t="n"/>
      <c r="N242" s="81" t="n"/>
      <c r="O242" s="80" t="inlineStr">
        <is>
          <t>P9-BE-06, P9-BE-13</t>
        </is>
      </c>
      <c r="P242" s="80" t="inlineStr">
        <is>
          <t>A DMV edition draws from several schools and both pools resolve by formula with no manual adjudication</t>
        </is>
      </c>
      <c r="Q242" s="82" t="inlineStr">
        <is>
          <t>Spec v2.0 §5.7</t>
        </is>
      </c>
      <c r="R242" s="111" t="inlineStr">
        <is>
          <t>RAISED 2026-09-22.</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Blocked</t>
        </is>
      </c>
      <c r="J243" s="108" t="n">
        <v>3</v>
      </c>
      <c r="K243" s="109" t="n"/>
      <c r="L243" s="109" t="n"/>
      <c r="M243" s="110" t="n"/>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n"/>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Code review</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Blocked</t>
        </is>
      </c>
      <c r="J245" s="108" t="n">
        <v>3</v>
      </c>
      <c r="K245" s="109" t="n"/>
      <c r="L245" s="109" t="n"/>
      <c r="M245" s="110" t="n"/>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n"/>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Code review</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Code review</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Blocked</t>
        </is>
      </c>
      <c r="J248" s="108" t="n">
        <v>2</v>
      </c>
      <c r="K248" s="109" t="n"/>
      <c r="L248" s="109" t="n"/>
      <c r="M248" s="110" t="n"/>
      <c r="N248" s="81" t="n"/>
      <c r="O248" s="80" t="inlineStr">
        <is>
          <t>P9-BE-02, P1-FE-27</t>
        </is>
      </c>
      <c r="P248" s="80" t="inlineStr">
        <is>
          <t>A published edition reads from the API; an unpublished one is unreachable</t>
        </is>
      </c>
      <c r="Q248" s="82" t="inlineStr">
        <is>
          <t>Spec v2.0 §8</t>
        </is>
      </c>
      <c r="R248" s="111" t="n"/>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Blocked</t>
        </is>
      </c>
      <c r="J249" s="108" t="n">
        <v>3</v>
      </c>
      <c r="K249" s="109" t="n"/>
      <c r="L249" s="109" t="n"/>
      <c r="M249" s="110" t="n"/>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n"/>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Blocked</t>
        </is>
      </c>
      <c r="J250" s="108" t="n">
        <v>2</v>
      </c>
      <c r="K250" s="109" t="n"/>
      <c r="L250" s="109" t="n"/>
      <c r="M250" s="110" t="n"/>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Blocked</t>
        </is>
      </c>
      <c r="J251" s="108" t="n">
        <v>2</v>
      </c>
      <c r="K251" s="109" t="n"/>
      <c r="L251" s="109" t="n"/>
      <c r="M251" s="110" t="n"/>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sheetData>
  <autoFilter ref="A4:R253"/>
  <mergeCells count="2">
    <mergeCell ref="A2:R2"/>
    <mergeCell ref="A1:R1"/>
  </mergeCells>
  <conditionalFormatting sqref="I5:I25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53">
    <cfRule type="expression" rank="0" priority="7" equalAverage="0" aboveAverage="0" dxfId="32" text="" percent="0" bottom="0">
      <formula>$I5="Done"</formula>
    </cfRule>
  </conditionalFormatting>
  <conditionalFormatting sqref="N5:N253">
    <cfRule type="cellIs" rank="0" priority="8" equalAverage="0" operator="greaterThanOrEqual" aboveAverage="0" dxfId="33" text="" percent="0" bottom="0">
      <formula>50</formula>
    </cfRule>
  </conditionalFormatting>
  <dataValidations count="1">
    <dataValidation sqref="I5:I25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69"/>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65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Blocked</t>
        </is>
      </c>
      <c r="J5" s="108" t="n">
        <v>3</v>
      </c>
      <c r="K5" s="109" t="n"/>
      <c r="L5" s="109" t="n"/>
      <c r="M5" s="110" t="n"/>
      <c r="N5" s="81" t="n">
        <v>0</v>
      </c>
      <c r="O5" s="80" t="inlineStr">
        <is>
          <t>Phase 1 complete</t>
        </is>
      </c>
      <c r="P5" s="80" t="inlineStr">
        <is>
          <t>All Phase 2 state machines diagrammed and agreed, with the illegal transitions named explicitly</t>
        </is>
      </c>
      <c r="Q5" s="82" t="inlineStr">
        <is>
          <t>Spec §7, §12</t>
        </is>
      </c>
      <c r="R5" s="111" t="n"/>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n"/>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Blocked</t>
        </is>
      </c>
      <c r="J9" s="108" t="n">
        <v>5</v>
      </c>
      <c r="K9" s="109" t="n"/>
      <c r="L9" s="109" t="n"/>
      <c r="M9" s="110" t="n"/>
      <c r="N9" s="81" t="n">
        <v>0</v>
      </c>
      <c r="O9" s="80" t="inlineStr">
        <is>
          <t>2S0-PMO-01</t>
        </is>
      </c>
      <c r="P9" s="80" t="inlineStr">
        <is>
          <t>All 14 Phase 2 screens designed, with the onboarding wizard and checkout flows walked end to end</t>
        </is>
      </c>
      <c r="Q9" s="82" t="inlineStr">
        <is>
          <t>Spec §6</t>
        </is>
      </c>
      <c r="R9" s="111" t="n"/>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n"/>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Blocked</t>
        </is>
      </c>
      <c r="J11" s="108" t="n">
        <v>5</v>
      </c>
      <c r="K11" s="109" t="n"/>
      <c r="L11" s="109" t="n"/>
      <c r="M11" s="110" t="n"/>
      <c r="N11" s="81" t="n">
        <v>0</v>
      </c>
      <c r="O11" s="80" t="inlineStr">
        <is>
          <t>2S0-PMO-01</t>
        </is>
      </c>
      <c r="P11" s="80" t="inlineStr">
        <is>
          <t>An external organisation can complete and submit onboarding through the API without database intervention</t>
        </is>
      </c>
      <c r="Q11" s="82" t="inlineStr">
        <is>
          <t>Spec §7.1, §9</t>
        </is>
      </c>
      <c r="R11" s="111" t="n"/>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Blocked</t>
        </is>
      </c>
      <c r="J12" s="108" t="n">
        <v>3</v>
      </c>
      <c r="K12" s="109" t="n"/>
      <c r="L12" s="109" t="n"/>
      <c r="M12" s="110" t="n"/>
      <c r="N12" s="85" t="n">
        <v>0</v>
      </c>
      <c r="O12" s="84" t="inlineStr">
        <is>
          <t>2S1-BE-01</t>
        </is>
      </c>
      <c r="P12" s="84" t="inlineStr">
        <is>
          <t>Documents upload to the private bucket, are reviewable by an admin, and are never publicly reachable</t>
        </is>
      </c>
      <c r="Q12" s="86" t="inlineStr">
        <is>
          <t>Spec §9</t>
        </is>
      </c>
      <c r="R12" s="111" t="n"/>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Blocked</t>
        </is>
      </c>
      <c r="J13" s="108" t="n">
        <v>3</v>
      </c>
      <c r="K13" s="109" t="n"/>
      <c r="L13" s="109" t="n"/>
      <c r="M13" s="110" t="n"/>
      <c r="N13" s="81" t="n">
        <v>0</v>
      </c>
      <c r="O13" s="80" t="inlineStr">
        <is>
          <t>2S1-BE-01</t>
        </is>
      </c>
      <c r="P13" s="80" t="inlineStr">
        <is>
          <t>A reviewer can action every decision type; PENDING_REVIEW to APPROVED grants listing access and is audited</t>
        </is>
      </c>
      <c r="Q13" s="82" t="inlineStr">
        <is>
          <t>Spec §7.1</t>
        </is>
      </c>
      <c r="R13" s="111" t="n"/>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Blocked</t>
        </is>
      </c>
      <c r="J14" s="108" t="n">
        <v>5</v>
      </c>
      <c r="K14" s="109" t="n"/>
      <c r="L14" s="109" t="n"/>
      <c r="M14" s="110" t="n"/>
      <c r="N14" s="85" t="n">
        <v>0</v>
      </c>
      <c r="O14" s="84" t="inlineStr">
        <is>
          <t>2S1-BE-03</t>
        </is>
      </c>
      <c r="P14" s="84" t="inlineStr">
        <is>
          <t>An approved property's users see only their own tenant's data; cross-tenant tests pass</t>
        </is>
      </c>
      <c r="Q14" s="86" t="inlineStr">
        <is>
          <t>Spec §3, §12</t>
        </is>
      </c>
      <c r="R14" s="111" t="n"/>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Blocked</t>
        </is>
      </c>
      <c r="J17" s="108" t="n">
        <v>1</v>
      </c>
      <c r="K17" s="109" t="n"/>
      <c r="L17" s="109" t="n"/>
      <c r="M17" s="110" t="n"/>
      <c r="N17" s="81" t="n">
        <v>0</v>
      </c>
      <c r="O17" s="80" t="inlineStr">
        <is>
          <t>2S1-BE-03</t>
        </is>
      </c>
      <c r="P17" s="80" t="inlineStr">
        <is>
          <t>All five notifications send as queued jobs and retry on failure</t>
        </is>
      </c>
      <c r="Q17" s="82" t="inlineStr">
        <is>
          <t>Spec §10</t>
        </is>
      </c>
      <c r="R17" s="111" t="n"/>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Blocked</t>
        </is>
      </c>
      <c r="J18" s="108" t="n">
        <v>5</v>
      </c>
      <c r="K18" s="109" t="n"/>
      <c r="L18" s="109" t="n"/>
      <c r="M18" s="110" t="n"/>
      <c r="N18" s="85" t="n">
        <v>0</v>
      </c>
      <c r="O18" s="84" t="inlineStr">
        <is>
          <t>2S1-BE-04</t>
        </is>
      </c>
      <c r="P18" s="84" t="inlineStr">
        <is>
          <t>An athlete can create, edit and price inventory items scoped to their own account</t>
        </is>
      </c>
      <c r="Q18" s="86" t="inlineStr">
        <is>
          <t>Spec §6 P2-04</t>
        </is>
      </c>
      <c r="R18" s="111" t="n"/>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Blocked</t>
        </is>
      </c>
      <c r="J19" s="108" t="n">
        <v>3</v>
      </c>
      <c r="K19" s="109" t="n"/>
      <c r="L19" s="109" t="n"/>
      <c r="M19" s="110" t="n"/>
      <c r="N19" s="81" t="n">
        <v>0</v>
      </c>
      <c r="O19" s="80" t="inlineStr">
        <is>
          <t>2S2-BE-01</t>
        </is>
      </c>
      <c r="P19" s="80" t="inlineStr">
        <is>
          <t>A restricted category blocks listing purchase and campaign offer for the overlapping date range</t>
        </is>
      </c>
      <c r="Q19" s="82" t="inlineStr">
        <is>
          <t>Spec §9</t>
        </is>
      </c>
      <c r="R19" s="111" t="n"/>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Blocked</t>
        </is>
      </c>
      <c r="J20" s="108" t="n">
        <v>5</v>
      </c>
      <c r="K20" s="109" t="n"/>
      <c r="L20" s="109" t="n"/>
      <c r="M20" s="110" t="n"/>
      <c r="N20" s="85" t="n">
        <v>0</v>
      </c>
      <c r="O20" s="84" t="inlineStr">
        <is>
          <t>2S2-BE-01</t>
        </is>
      </c>
      <c r="P20" s="84" t="inlineStr">
        <is>
          <t>Accepting an offer freezes commercial terms and schedules deliverables; later rate-card edits do not alter it</t>
        </is>
      </c>
      <c r="Q20" s="86" t="inlineStr">
        <is>
          <t>Spec §7.3</t>
        </is>
      </c>
      <c r="R20" s="111" t="n"/>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Blocked</t>
        </is>
      </c>
      <c r="J21" s="108" t="n">
        <v>3</v>
      </c>
      <c r="K21" s="109" t="n"/>
      <c r="L21" s="109" t="n"/>
      <c r="M21" s="110" t="n"/>
      <c r="N21" s="81" t="n">
        <v>0</v>
      </c>
      <c r="O21" s="80" t="inlineStr">
        <is>
          <t>2S1-BE-04</t>
        </is>
      </c>
      <c r="P21" s="80" t="inlineStr">
        <is>
          <t>A team manager can see their roster and the inventory belonging to it, and nobody else's</t>
        </is>
      </c>
      <c r="Q21" s="82" t="inlineStr">
        <is>
          <t>Spec §6 P2-06</t>
        </is>
      </c>
      <c r="R21" s="111" t="n"/>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Blocked</t>
        </is>
      </c>
      <c r="J26" s="108" t="n">
        <v>5</v>
      </c>
      <c r="K26" s="109" t="n"/>
      <c r="L26" s="109" t="n"/>
      <c r="M26" s="110" t="n"/>
      <c r="N26" s="85" t="n">
        <v>0</v>
      </c>
      <c r="O26" s="84" t="inlineStr">
        <is>
          <t>2S2-BE-01</t>
        </is>
      </c>
      <c r="P26" s="84" t="inlineStr">
        <is>
          <t>A verified property can create a listing but cannot publish it until governance rules are satisfied</t>
        </is>
      </c>
      <c r="Q26" s="86" t="inlineStr">
        <is>
          <t>Spec §9, §12</t>
        </is>
      </c>
      <c r="R26" s="111" t="n"/>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Blocked</t>
        </is>
      </c>
      <c r="J27" s="108" t="n">
        <v>3</v>
      </c>
      <c r="K27" s="109" t="n"/>
      <c r="L27" s="109" t="n"/>
      <c r="M27" s="110" t="n"/>
      <c r="N27" s="81" t="n">
        <v>0</v>
      </c>
      <c r="O27" s="80" t="inlineStr">
        <is>
          <t>2S3-BE-01</t>
        </is>
      </c>
      <c r="P27" s="80" t="inlineStr">
        <is>
          <t>A package can be created, priced and purchased as a single line</t>
        </is>
      </c>
      <c r="Q27" s="82" t="inlineStr">
        <is>
          <t>Spec §9</t>
        </is>
      </c>
      <c r="R27" s="111" t="n"/>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Blocked</t>
        </is>
      </c>
      <c r="J28" s="108" t="n">
        <v>5</v>
      </c>
      <c r="K28" s="109" t="n"/>
      <c r="L28" s="109" t="n"/>
      <c r="M28" s="110" t="n"/>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Blocked</t>
        </is>
      </c>
      <c r="J29" s="108" t="n">
        <v>5</v>
      </c>
      <c r="K29" s="109" t="n"/>
      <c r="L29" s="109" t="n"/>
      <c r="M29" s="110" t="n"/>
      <c r="N29" s="81" t="n">
        <v>0</v>
      </c>
      <c r="O29" s="80" t="inlineStr">
        <is>
          <t>2S3-BE-01</t>
        </is>
      </c>
      <c r="P29" s="80" t="inlineStr">
        <is>
          <t>Search returns only inventory visible to the requesting sponsor and tenant</t>
        </is>
      </c>
      <c r="Q29" s="82" t="inlineStr">
        <is>
          <t>Spec §12</t>
        </is>
      </c>
      <c r="R29" s="111" t="n"/>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Blocked</t>
        </is>
      </c>
      <c r="J31" s="108" t="n">
        <v>3</v>
      </c>
      <c r="K31" s="109" t="n"/>
      <c r="L31" s="109" t="n"/>
      <c r="M31" s="110" t="n"/>
      <c r="N31" s="81" t="n">
        <v>0</v>
      </c>
      <c r="O31" s="80" t="inlineStr">
        <is>
          <t>2S3-BE-04</t>
        </is>
      </c>
      <c r="P31" s="80" t="inlineStr">
        <is>
          <t>Cross-tenant marketplace search tests pass</t>
        </is>
      </c>
      <c r="Q31" s="82" t="inlineStr">
        <is>
          <t>Spec §12</t>
        </is>
      </c>
      <c r="R31" s="111" t="n"/>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Blocked</t>
        </is>
      </c>
      <c r="J32" s="108" t="n">
        <v>3</v>
      </c>
      <c r="K32" s="109" t="n"/>
      <c r="L32" s="109" t="n"/>
      <c r="M32" s="110" t="n"/>
      <c r="N32" s="85" t="n">
        <v>0</v>
      </c>
      <c r="O32" s="84" t="inlineStr">
        <is>
          <t>2S3-BE-03</t>
        </is>
      </c>
      <c r="P32" s="84" t="inlineStr">
        <is>
          <t>Sponsor can add, remove and update cart lines; the cart expires cleanly</t>
        </is>
      </c>
      <c r="Q32" s="86" t="inlineStr">
        <is>
          <t>Spec §8, §9</t>
        </is>
      </c>
      <c r="R32" s="111" t="n"/>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Blocked</t>
        </is>
      </c>
      <c r="J33" s="108" t="n">
        <v>5</v>
      </c>
      <c r="K33" s="109" t="n"/>
      <c r="L33" s="109" t="n"/>
      <c r="M33" s="110" t="n"/>
      <c r="N33" s="81" t="n">
        <v>0</v>
      </c>
      <c r="O33" s="80" t="inlineStr">
        <is>
          <t>2S4-BE-01</t>
        </is>
      </c>
      <c r="P33" s="80" t="inlineStr">
        <is>
          <t>Reservations prevent overselling and expired reservations release inventory automatically</t>
        </is>
      </c>
      <c r="Q33" s="82" t="inlineStr">
        <is>
          <t>Spec §7.2, §12</t>
        </is>
      </c>
      <c r="R33" s="111" t="n"/>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Blocked</t>
        </is>
      </c>
      <c r="J34" s="108" t="n">
        <v>5</v>
      </c>
      <c r="K34" s="109" t="n"/>
      <c r="L34" s="109" t="n"/>
      <c r="M34" s="110" t="n"/>
      <c r="N34" s="85" t="n">
        <v>0</v>
      </c>
      <c r="O34" s="84" t="inlineStr">
        <is>
          <t>2S4-BE-02</t>
        </is>
      </c>
      <c r="P34" s="84" t="inlineStr">
        <is>
          <t>Order states enforce correctly; an unapproved order cannot contract inventory</t>
        </is>
      </c>
      <c r="Q34" s="86" t="inlineStr">
        <is>
          <t>Spec §7.2, §9</t>
        </is>
      </c>
      <c r="R34" s="111" t="n"/>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Blocked</t>
        </is>
      </c>
      <c r="J35" s="108" t="n">
        <v>5</v>
      </c>
      <c r="K35" s="109" t="n"/>
      <c r="L35" s="109" t="n"/>
      <c r="M35" s="110" t="n"/>
      <c r="N35" s="81" t="n">
        <v>0</v>
      </c>
      <c r="O35" s="80" t="inlineStr">
        <is>
          <t>2S4-BE-03</t>
        </is>
      </c>
      <c r="P35" s="80" t="inlineStr">
        <is>
          <t>Commission snapshot is created at contract time and does not change when commission rules are later edited</t>
        </is>
      </c>
      <c r="Q35" s="82" t="inlineStr">
        <is>
          <t>Spec §7.4, §12</t>
        </is>
      </c>
      <c r="R35" s="111" t="n"/>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Blocked</t>
        </is>
      </c>
      <c r="J36" s="108" t="n">
        <v>3</v>
      </c>
      <c r="K36" s="109" t="n"/>
      <c r="L36" s="109" t="n"/>
      <c r="M36" s="110" t="n"/>
      <c r="N36" s="85" t="n">
        <v>0</v>
      </c>
      <c r="O36" s="84" t="inlineStr">
        <is>
          <t>2S4-BE-03</t>
        </is>
      </c>
      <c r="P36" s="84" t="inlineStr">
        <is>
          <t>An order requiring approval holds inventory without contracting it, and releases on rejection</t>
        </is>
      </c>
      <c r="Q36" s="86" t="inlineStr">
        <is>
          <t>Spec §7.2</t>
        </is>
      </c>
      <c r="R36" s="111" t="n"/>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n"/>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n"/>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n"/>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Blocked</t>
        </is>
      </c>
      <c r="J42" s="108" t="n">
        <v>5</v>
      </c>
      <c r="K42" s="109" t="n"/>
      <c r="L42" s="109" t="n"/>
      <c r="M42" s="110" t="n"/>
      <c r="N42" s="85" t="n">
        <v>0</v>
      </c>
      <c r="O42" s="84" t="inlineStr">
        <is>
          <t>2S0-PMO-02</t>
        </is>
      </c>
      <c r="P42" s="84" t="inlineStr">
        <is>
          <t>Rules apply in priority order; editing a rule never alters a closed payout</t>
        </is>
      </c>
      <c r="Q42" s="86" t="inlineStr">
        <is>
          <t>Spec §7.4, §9</t>
        </is>
      </c>
      <c r="R42" s="111" t="n"/>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Blocked</t>
        </is>
      </c>
      <c r="J43" s="108" t="n">
        <v>5</v>
      </c>
      <c r="K43" s="109" t="n"/>
      <c r="L43" s="109" t="n"/>
      <c r="M43" s="110" t="n"/>
      <c r="N43" s="81" t="n">
        <v>0</v>
      </c>
      <c r="O43" s="80" t="inlineStr">
        <is>
          <t>2S5-BE-01</t>
        </is>
      </c>
      <c r="P43" s="80" t="inlineStr">
        <is>
          <t>Property dashboard reconciles booked revenue, ledger balance, paid earnings and pending earnings exactly</t>
        </is>
      </c>
      <c r="Q43" s="82" t="inlineStr">
        <is>
          <t>Spec §7.4, §12</t>
        </is>
      </c>
      <c r="R43" s="111" t="n"/>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n"/>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n"/>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n"/>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Blocked</t>
        </is>
      </c>
      <c r="J47" s="108" t="n">
        <v>5</v>
      </c>
      <c r="K47" s="109" t="n"/>
      <c r="L47" s="109" t="n"/>
      <c r="M47" s="110" t="n"/>
      <c r="N47" s="81" t="n">
        <v>0</v>
      </c>
      <c r="O47" s="80" t="inlineStr">
        <is>
          <t>2S5-BE-01</t>
        </is>
      </c>
      <c r="P47" s="80" t="inlineStr">
        <is>
          <t>Rules can be created, versioned and previewed against a sample order</t>
        </is>
      </c>
      <c r="Q47" s="82" t="inlineStr">
        <is>
          <t>Spec §6 P2-10</t>
        </is>
      </c>
      <c r="R47" s="111" t="n"/>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Blocked</t>
        </is>
      </c>
      <c r="J49" s="108" t="n">
        <v>3</v>
      </c>
      <c r="K49" s="109" t="n"/>
      <c r="L49" s="109" t="n"/>
      <c r="M49" s="110" t="n"/>
      <c r="N49" s="81" t="n">
        <v>0</v>
      </c>
      <c r="O49" s="80" t="inlineStr">
        <is>
          <t>2S5-BE-02</t>
        </is>
      </c>
      <c r="P49" s="80" t="inlineStr">
        <is>
          <t>Immutable audit history exists for all financial and admin changes</t>
        </is>
      </c>
      <c r="Q49" s="82" t="inlineStr">
        <is>
          <t>Spec §3, §38</t>
        </is>
      </c>
      <c r="R49" s="111" t="n"/>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n"/>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n"/>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n"/>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Blocked</t>
        </is>
      </c>
      <c r="J53" s="108" t="n">
        <v>3</v>
      </c>
      <c r="K53" s="109" t="n"/>
      <c r="L53" s="109" t="n"/>
      <c r="M53" s="110" t="n"/>
      <c r="N53" s="81" t="n">
        <v>0</v>
      </c>
      <c r="O53" s="80" t="inlineStr">
        <is>
          <t>2S1-INT-01</t>
        </is>
      </c>
      <c r="P53" s="80" t="inlineStr">
        <is>
          <t>A user can mute a channel per event type and the worker honours it</t>
        </is>
      </c>
      <c r="Q53" s="82" t="inlineStr">
        <is>
          <t>Spec §9</t>
        </is>
      </c>
      <c r="R53" s="111" t="n"/>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Blocked</t>
        </is>
      </c>
      <c r="J55" s="108" t="n">
        <v>5</v>
      </c>
      <c r="K55" s="109" t="n"/>
      <c r="L55" s="109" t="n"/>
      <c r="M55" s="110" t="n"/>
      <c r="N55" s="81" t="n">
        <v>0</v>
      </c>
      <c r="O55" s="80" t="inlineStr">
        <is>
          <t>2S5-BE-02</t>
        </is>
      </c>
      <c r="P55" s="80" t="inlineStr">
        <is>
          <t>Property analytics reconcile to the ledger and campaign records</t>
        </is>
      </c>
      <c r="Q55" s="82" t="inlineStr">
        <is>
          <t>Spec §6 P2-13</t>
        </is>
      </c>
      <c r="R55" s="111" t="n"/>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Blocked</t>
        </is>
      </c>
      <c r="J58" s="108" t="n">
        <v>5</v>
      </c>
      <c r="K58" s="109" t="n"/>
      <c r="L58" s="109" t="n"/>
      <c r="M58" s="110" t="n"/>
      <c r="N58" s="85" t="n">
        <v>0</v>
      </c>
      <c r="O58" s="84" t="inlineStr">
        <is>
          <t>2S4-BE-03</t>
        </is>
      </c>
      <c r="P58" s="84" t="inlineStr">
        <is>
          <t>Zoho contains linked Account, Contact and Deal data for external marketplace transactions</t>
        </is>
      </c>
      <c r="Q58" s="86" t="inlineStr">
        <is>
          <t>Spec §10, §12</t>
        </is>
      </c>
      <c r="R58" s="111" t="n"/>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Blocked</t>
        </is>
      </c>
      <c r="J59" s="108" t="n">
        <v>3</v>
      </c>
      <c r="K59" s="109" t="n"/>
      <c r="L59" s="109" t="n"/>
      <c r="M59" s="110" t="n"/>
      <c r="N59" s="81" t="n">
        <v>0</v>
      </c>
      <c r="O59" s="80" t="inlineStr">
        <is>
          <t>2S1-BE-04</t>
        </is>
      </c>
      <c r="P59" s="80" t="inlineStr">
        <is>
          <t>A tenant's branding renders in their portal and on their reports</t>
        </is>
      </c>
      <c r="Q59" s="82" t="inlineStr">
        <is>
          <t>Spec §9</t>
        </is>
      </c>
      <c r="R59" s="111" t="n"/>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Blocked</t>
        </is>
      </c>
      <c r="J63" s="108" t="n">
        <v>5</v>
      </c>
      <c r="K63" s="109" t="n"/>
      <c r="L63" s="109" t="n"/>
      <c r="M63" s="110" t="n"/>
      <c r="N63" s="81" t="n">
        <v>0</v>
      </c>
      <c r="O63" s="80" t="inlineStr">
        <is>
          <t>2S1-BE-04</t>
        </is>
      </c>
      <c r="P63" s="80" t="inlineStr">
        <is>
          <t>Cross-tenant data access tests pass for sponsor, athlete/property and admin roles</t>
        </is>
      </c>
      <c r="Q63" s="82" t="inlineStr">
        <is>
          <t>Spec §12</t>
        </is>
      </c>
      <c r="R63" s="111" t="n"/>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n"/>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n"/>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n"/>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Blocked</t>
        </is>
      </c>
      <c r="J67" s="108" t="n">
        <v>3</v>
      </c>
      <c r="K67" s="109" t="n"/>
      <c r="L67" s="109" t="n"/>
      <c r="M67" s="110" t="n"/>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Raised 2026-09-24 — deferred from Phase 1 by business decision.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Blocked</t>
        </is>
      </c>
      <c r="J68" s="108" t="n">
        <v>3</v>
      </c>
      <c r="K68" s="109" t="n"/>
      <c r="L68" s="109" t="n"/>
      <c r="M68" s="110" t="n"/>
      <c r="N68" s="85" t="n"/>
      <c r="O68" s="84" t="inlineStr">
        <is>
          <t>2S6-BE-03, P8-INT-01</t>
        </is>
      </c>
      <c r="P68" s="84" t="inlineStr">
        <is>
          <t>Claims with sponsor-contact consent enqueue zoho.pushLead; claims without it, or withdrawn, never do — excluded at query level</t>
        </is>
      </c>
      <c r="Q68" s="86" t="inlineStr">
        <is>
          <t>§18</t>
        </is>
      </c>
      <c r="R68" s="111" t="inlineStr">
        <is>
          <t>Moved from Phase 1 (P6-INT-01) on 2026-09-24.</t>
        </is>
      </c>
    </row>
    <row r="69">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Blocked</t>
        </is>
      </c>
      <c r="J69" s="108" t="n">
        <v>3</v>
      </c>
      <c r="K69" s="109" t="n"/>
      <c r="L69" s="109" t="n"/>
      <c r="M69" s="110" t="n"/>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Moved from Phase 1 (P7-BE-06) on 2026-09-24 — G-07 chose a print stylesheet for Phase 1.</t>
        </is>
      </c>
    </row>
  </sheetData>
  <autoFilter ref="A4:R69"/>
  <mergeCells count="2">
    <mergeCell ref="A2:R2"/>
    <mergeCell ref="A1:R1"/>
  </mergeCells>
  <conditionalFormatting sqref="I5:I69">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9">
    <cfRule type="expression" rank="0" priority="7" equalAverage="0" aboveAverage="0" dxfId="32" text="" percent="0" bottom="0">
      <formula>$I5="Done"</formula>
    </cfRule>
  </conditionalFormatting>
  <conditionalFormatting sqref="N5:N69">
    <cfRule type="cellIs" rank="0" priority="8" equalAverage="0" operator="greaterThanOrEqual" aboveAverage="0" dxfId="33" text="" percent="0" bottom="0">
      <formula>50</formula>
    </cfRule>
  </conditionalFormatting>
  <dataValidations count="1">
    <dataValidation sqref="I5:I69"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2026-09-25T08:58:02Z</dcterms:modified>
  <cp:revision>0</cp:revision>
</cp:coreProperties>
</file>