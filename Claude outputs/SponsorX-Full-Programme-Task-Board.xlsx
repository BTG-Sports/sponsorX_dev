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2'!$I$5:$I$138,"Ready")</f>
        <v/>
      </c>
      <c r="C6" s="85">
        <f>COUNTIF('Phase 2'!$I$5:$I$138,"In progress")</f>
        <v/>
      </c>
      <c r="D6" s="85">
        <f>COUNTIF('Phase 2'!$I$5:$I$138,"Code review")</f>
        <v/>
      </c>
      <c r="E6" s="85">
        <f>COUNTIF('Phase 2'!$I$5:$I$138,"Blocked")</f>
        <v/>
      </c>
      <c r="F6" s="85">
        <f>COUNTIF('Phase 2'!$I$5:$I$138,"Done")</f>
        <v/>
      </c>
      <c r="G6" s="85">
        <f>COUNTA('Phase 2'!$B$5:$B$138)</f>
        <v/>
      </c>
      <c r="H6" s="85">
        <f>SUMIF('Phase 2'!$I$5:$I$138,"&lt;&gt;Done",'Phase 2'!$J$5:$J$138)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Ready</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sheetData>
  <autoFilter ref="A4:R138"/>
  <mergeCells count="2">
    <mergeCell ref="A2:R2"/>
    <mergeCell ref="A1:R1"/>
  </mergeCells>
  <conditionalFormatting sqref="I5:I13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8">
    <cfRule type="expression" rank="0" priority="7" equalAverage="0" aboveAverage="0" dxfId="32" text="" percent="0" bottom="0">
      <formula>$I5="Done"</formula>
    </cfRule>
  </conditionalFormatting>
  <conditionalFormatting sqref="N5:N138">
    <cfRule type="cellIs" rank="0" priority="8" equalAverage="0" operator="greaterThanOrEqual" aboveAverage="0" dxfId="33" text="" percent="0" bottom="0">
      <formula>50</formula>
    </cfRule>
  </conditionalFormatting>
  <dataValidations count="1">
    <dataValidation sqref="I5:I13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2026-10-06T02:33:48Z</dcterms:modified>
  <cp:revision>0</cp:revision>
</cp:coreProperties>
</file>