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Phase 5" sheetId="8" state="visible" r:id="rId8"/>
    <sheet name="Phase 6" sheetId="9" state="visible" r:id="rId9"/>
    <sheet name="Legal" sheetId="10" state="visible" r:id="rId10"/>
    <sheet name="Legend" sheetId="11" state="visible" r:id="rId11"/>
  </sheets>
  <definedNames>
    <definedName name="_xlnm._FilterDatabase" localSheetId="3" hidden="1">'Phase 1'!$A$4:$R$324</definedName>
    <definedName name="_xlnm._FilterDatabase" localSheetId="4" hidden="1">'Phase 2'!$A$4:$R$144</definedName>
    <definedName name="_xlnm._FilterDatabase" localSheetId="5" hidden="1">'Phase 3'!$A$4:$R$66</definedName>
    <definedName name="_xlnm._FilterDatabase" localSheetId="6" hidden="1">'Phase 4'!$A$4:$R$23</definedName>
    <definedName name="_xlnm._FilterDatabase" localSheetId="7" hidden="1">'Phase 5'!$A$4:$R$6</definedName>
    <definedName name="_xlnm._FilterDatabase" localSheetId="8" hidden="1">'Phase 6'!$A$4:$R$54</definedName>
    <definedName name="_xlnm._FilterDatabase" localSheetId="9"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6"/>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Six phases (the blueprint's four; the INFINEX game split out on 2026-10-16 and became Phase 6 on 2026-10-27, when the Certified Recruiting partnership took Phase 5), 356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on 2026-10-20 to the game phase (Phase 6 since 2026-10-27):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Certified Recruiting partnership: SponsorX and certified-recruiting.com link to each other (the site is already built on GoDaddy; BTG already links to it)</t>
        </is>
      </c>
      <c r="C9" s="85" t="n">
        <v>2</v>
      </c>
      <c r="D9" s="85" t="n">
        <v>2</v>
      </c>
      <c r="E9" s="86" t="inlineStr">
        <is>
          <t>—</t>
        </is>
      </c>
      <c r="F9" s="86" t="inlineStr">
        <is>
          <t>—</t>
        </is>
      </c>
      <c r="G9" s="84" t="inlineStr">
        <is>
          <t>certified-recruiting.com, live</t>
        </is>
      </c>
    </row>
    <row r="10" ht="15" customHeight="1" s="75">
      <c r="A10" s="88" t="inlineStr">
        <is>
          <t>Phase 6</t>
        </is>
      </c>
      <c r="B10" s="84" t="inlineStr">
        <is>
          <t>INFINEX game integration: the in-game connector, the staging world test, the pilot world, calibrated virtual pricing, and player accounts (email, Google, Apple, authenticator) with a live connection</t>
        </is>
      </c>
      <c r="C10" s="85" t="n">
        <v>50</v>
      </c>
      <c r="D10" s="85" t="n">
        <v>198</v>
      </c>
      <c r="E10" s="86" t="inlineStr">
        <is>
          <t>after the game's staging world exists</t>
        </is>
      </c>
      <c r="F10" s="86" t="inlineStr">
        <is>
          <t>—</t>
        </is>
      </c>
      <c r="G10" s="84" t="inlineStr">
        <is>
          <t>The INFINEX game (not started 2026-10-16), Phase 4's endpoints</t>
        </is>
      </c>
    </row>
    <row r="11" s="75">
      <c r="A11" s="89" t="inlineStr">
        <is>
          <t>TOTAL</t>
        </is>
      </c>
      <c r="B11" s="89" t="inlineStr">
        <is>
          <t>Full SponsorX platform</t>
        </is>
      </c>
      <c r="C11" s="89">
        <f>SUM(C5:C10)</f>
        <v/>
      </c>
      <c r="D11" s="89">
        <f>SUM(D5:D10)</f>
        <v/>
      </c>
      <c r="E11" s="89" t="inlineStr">
        <is>
          <t>66–82 weeks</t>
        </is>
      </c>
      <c r="F11" s="89" t="inlineStr">
        <is>
          <t>$350K–$535K</t>
        </is>
      </c>
      <c r="G11" s="89" t="n"/>
    </row>
    <row r="12" s="75"/>
    <row r="13" ht="15" customHeight="1" s="75">
      <c r="A13" s="90" t="inlineStr">
        <is>
          <t>WHERE THE WORK HAPPENS</t>
        </is>
      </c>
    </row>
    <row r="14" ht="27.75" customHeight="1" s="75">
      <c r="A14" s="91" t="inlineStr">
        <is>
          <t>Why this column exists</t>
        </is>
      </c>
      <c r="B14" s="92" t="inlineStr">
        <is>
          <t>A task that says 'create the Zoho module' and a task that says 'author the Zoho mapping document' look identical in a list — but one is click-work in an admin UI and the other is a written spec. Every task now states which.</t>
        </is>
      </c>
    </row>
    <row r="15" ht="15" customHeight="1" s="75">
      <c r="A15" s="91" t="inlineStr">
        <is>
          <t>Document</t>
        </is>
      </c>
      <c r="B15" s="92" t="inlineStr">
        <is>
          <t>A written decision or specification. No system is touched — the output is a document people agree on.</t>
        </is>
      </c>
    </row>
    <row r="16" ht="15" customHeight="1" s="75">
      <c r="A16" s="91" t="inlineStr">
        <is>
          <t>Zoho dashboard</t>
        </is>
      </c>
      <c r="B16" s="92" t="inlineStr">
        <is>
          <t>Configuration clicked through the Zoho CRM admin UI (Setup → Modules and Fields, API credentials, users).</t>
        </is>
      </c>
    </row>
    <row r="17" ht="15" customHeight="1" s="75">
      <c r="A17" s="91" t="inlineStr">
        <is>
          <t>Vendor console</t>
        </is>
      </c>
      <c r="B17" s="92" t="inlineStr">
        <is>
          <t>Configuration in a vendor's own UI — Railway, Cloudflare, Clerk, the payment or email provider.</t>
        </is>
      </c>
    </row>
    <row r="18" ht="15" customHeight="1" s="75">
      <c r="A18" s="91" t="inlineStr">
        <is>
          <t>Code</t>
        </is>
      </c>
      <c r="B18" s="92" t="inlineStr">
        <is>
          <t>Work in the repository: schema, domain logic, routes, worker jobs, UI, tests, CI.</t>
        </is>
      </c>
    </row>
    <row r="19" ht="15" customHeight="1" s="75">
      <c r="A19" s="91" t="inlineStr">
        <is>
          <t>Code + console</t>
        </is>
      </c>
      <c r="B19" s="92" t="inlineStr">
        <is>
          <t>Both: something configured at the vendor AND wired in the codebase.</t>
        </is>
      </c>
    </row>
    <row r="20" ht="15" customHeight="1" s="75">
      <c r="A20" s="91" t="inlineStr">
        <is>
          <t>Design tool</t>
        </is>
      </c>
      <c r="B20" s="92" t="inlineStr">
        <is>
          <t>Visual design work producing artwork, diagrams or screen designs.</t>
        </is>
      </c>
    </row>
    <row r="21" ht="15" customHeight="1" s="75">
      <c r="A21" s="91" t="inlineStr">
        <is>
          <t>Document + code</t>
        </is>
      </c>
      <c r="B21" s="92" t="inlineStr">
        <is>
          <t>A written policy that must then be enforced in the codebase.</t>
        </is>
      </c>
    </row>
    <row r="22" ht="15" customHeight="1" s="75">
      <c r="A22" s="91" t="inlineStr">
        <is>
          <t>External · counsel</t>
        </is>
      </c>
      <c r="B22" s="92" t="inlineStr">
        <is>
          <t>Performed by a lawyer, not the team. Longest lead times in the programme — start these early.</t>
        </is>
      </c>
    </row>
    <row r="23" s="75"/>
    <row r="24" ht="15" customHeight="1" s="75">
      <c r="A24" s="90" t="inlineStr">
        <is>
          <t>HOW TO READ THIS WORKBOOK</t>
        </is>
      </c>
    </row>
    <row r="25" ht="15" customHeight="1" s="75">
      <c r="A25" s="91" t="inlineStr">
        <is>
          <t>One sheet per phase</t>
        </is>
      </c>
      <c r="B25" s="92" t="inlineStr">
        <is>
          <t>Phase 1–5, identical 18 columns, so they behave the same way.</t>
        </is>
      </c>
    </row>
    <row r="26" ht="27.75" customHeight="1" s="75">
      <c r="A26" s="91" t="inlineStr">
        <is>
          <t>Task IDs</t>
        </is>
      </c>
      <c r="B26" s="92" t="inlineStr">
        <is>
          <t>Phase 1: P{stage}-{CAT}-{nn}, e.g. P4-BE-03. Phases 2–6: {phase}S{sprint}-{CAT}-{nn}, e.g. 2S5-BE-04 = Phase 2, Sprint 5, Backend, task 04. IDs never change — cite them in branches and commits.</t>
        </is>
      </c>
    </row>
    <row r="27" ht="15" customHeight="1" s="75">
      <c r="A27" s="91" t="inlineStr">
        <is>
          <t>Order</t>
        </is>
      </c>
      <c r="B27" s="92" t="inlineStr">
        <is>
          <t>A dependency-respecting sort key, recomputed whenever tasks are added. It can shift; the ID cannot.</t>
        </is>
      </c>
    </row>
    <row r="28" ht="15" customHeight="1" s="75">
      <c r="A28" s="91" t="inlineStr">
        <is>
          <t>Status</t>
        </is>
      </c>
      <c r="B28" s="92" t="inlineStr">
        <is>
          <t>Phase 1 is live. Every Phase 2–4 task starts Blocked because Phase 1 must finish first. Phase 5 (Certified Recruiting) is live. Phase 6 waits for the INFINEX game.</t>
        </is>
      </c>
    </row>
    <row r="29" ht="15" customHeight="1" s="75">
      <c r="A29" s="91" t="inlineStr">
        <is>
          <t>Weight</t>
        </is>
      </c>
      <c r="B29" s="92" t="inlineStr">
        <is>
          <t>S=1 · M=3 · L=5 person-days. Estimates for one person, not calendar commitments.</t>
        </is>
      </c>
    </row>
    <row r="30" s="75"/>
    <row r="31" ht="15" customHeight="1" s="75">
      <c r="A31" s="90" t="inlineStr">
        <is>
          <t>PHASE OVERLAP</t>
        </is>
      </c>
    </row>
    <row r="32" ht="27.75" customHeight="1" s="75">
      <c r="A32" s="91" t="inlineStr">
        <is>
          <t>Permitted</t>
        </is>
      </c>
      <c r="B32" s="92" t="inlineStr">
        <is>
          <t>Begin Phase 3 warehouse and event modelling during the final 4–6 weeks of Phase 2. Begin the Phase 4 API contract and placement taxonomy during the final 4 weeks of Phase 3.</t>
        </is>
      </c>
    </row>
    <row r="33" ht="27.75" customHeight="1" s="75">
      <c r="A33" s="91" t="inlineStr">
        <is>
          <t>Forbidden</t>
        </is>
      </c>
      <c r="B33"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6, 6S2-QA-01).</t>
        </is>
      </c>
    </row>
    <row r="34" s="75"/>
    <row r="35" ht="15" customHeight="1" s="75">
      <c r="A35" s="90" t="inlineStr">
        <is>
          <t>SCOPE REALITY</t>
        </is>
      </c>
    </row>
    <row r="36" ht="27.75" customHeight="1" s="75">
      <c r="A36" s="91" t="inlineStr">
        <is>
          <t>Team size</t>
        </is>
      </c>
      <c r="B36" s="92" t="inlineStr">
        <is>
          <t>The blueprint staffs Phase 1 at 4.5–7.5 FTE and Phases 2–4 higher. The team is two people. Phase 1 alone is ~44 weeks at that size. Scope, not stack, is the binding constraint.</t>
        </is>
      </c>
    </row>
    <row r="37" s="75"/>
  </sheetData>
  <mergeCells count="19">
    <mergeCell ref="B14:G14"/>
    <mergeCell ref="B17:G17"/>
    <mergeCell ref="B29:G29"/>
    <mergeCell ref="B19:G19"/>
    <mergeCell ref="B28:G28"/>
    <mergeCell ref="B15:G15"/>
    <mergeCell ref="B33:G33"/>
    <mergeCell ref="B20:G20"/>
    <mergeCell ref="A1:G1"/>
    <mergeCell ref="B36:G36"/>
    <mergeCell ref="B32:G32"/>
    <mergeCell ref="B26:G26"/>
    <mergeCell ref="B25:G25"/>
    <mergeCell ref="B16:G16"/>
    <mergeCell ref="B22:G22"/>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six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94" t="inlineStr">
        <is>
          <t>Phase 6</t>
        </is>
      </c>
      <c r="B10" s="85">
        <f>COUNTIF('Phase 6'!$I$5:$I$100,"Ready")</f>
        <v/>
      </c>
      <c r="C10" s="85">
        <f>COUNTIF('Phase 6'!$I$5:$I$100,"In progress")</f>
        <v/>
      </c>
      <c r="D10" s="85">
        <f>COUNTIF('Phase 6'!$I$5:$I$100,"Code review")</f>
        <v/>
      </c>
      <c r="E10" s="85">
        <f>COUNTIF('Phase 6'!$I$5:$I$100,"Blocked")</f>
        <v/>
      </c>
      <c r="F10" s="85">
        <f>COUNTIF('Phase 6'!$I$5:$I$100,"Done")</f>
        <v/>
      </c>
      <c r="G10" s="85">
        <f>COUNTA('Phase 6'!$B$5:$B$100)</f>
        <v/>
      </c>
      <c r="H10" s="85">
        <f>SUMIF('Phase 6'!$I$5:$I$100,"&lt;&gt;Done",'Phase 6'!$J$5:$J$100)</f>
        <v/>
      </c>
    </row>
    <row r="11" ht="15" customHeight="1" s="75">
      <c r="A11" s="89" t="inlineStr">
        <is>
          <t>TOTAL</t>
        </is>
      </c>
      <c r="B11" s="89">
        <f>SUM(B5:B10)</f>
        <v/>
      </c>
      <c r="C11" s="89">
        <f>SUM(C5:C10)</f>
        <v/>
      </c>
      <c r="D11" s="89">
        <f>SUM(D5:D10)</f>
        <v/>
      </c>
      <c r="E11" s="89">
        <f>SUM(E5:E10)</f>
        <v/>
      </c>
      <c r="F11" s="89">
        <f>SUM(F5:F10)</f>
        <v/>
      </c>
      <c r="G11" s="89">
        <f>SUM(G5:G10)</f>
        <v/>
      </c>
      <c r="H11" s="89">
        <f>SUM(H5:H10)</f>
        <v/>
      </c>
    </row>
    <row r="12" ht="21.75" customHeight="1" s="75">
      <c r="A12" s="90" t="inlineStr">
        <is>
          <t>BY WHERE THE WORK HAPPENS</t>
        </is>
      </c>
    </row>
    <row r="13" ht="15" customHeight="1" s="75">
      <c r="A13" s="78" t="n"/>
      <c r="B13" s="78" t="inlineStr">
        <is>
          <t>Phase 1</t>
        </is>
      </c>
      <c r="C13" s="78" t="inlineStr">
        <is>
          <t>Phase 2</t>
        </is>
      </c>
      <c r="D13" s="78" t="inlineStr">
        <is>
          <t>Phase 3</t>
        </is>
      </c>
      <c r="E13" s="78" t="inlineStr">
        <is>
          <t>Phase 4</t>
        </is>
      </c>
      <c r="F13" s="78" t="inlineStr">
        <is>
          <t>Phase 5</t>
        </is>
      </c>
      <c r="G13" s="78" t="inlineStr">
        <is>
          <t>Phase 6</t>
        </is>
      </c>
      <c r="H13" s="78" t="inlineStr">
        <is>
          <t>Total</t>
        </is>
      </c>
    </row>
    <row r="14" ht="15" customHeight="1" s="75">
      <c r="A14" s="97" t="inlineStr">
        <is>
          <t>Document</t>
        </is>
      </c>
      <c r="B14" s="81">
        <f>COUNTIF('Phase 1'!$F$5:$F$400,"Document")</f>
        <v/>
      </c>
      <c r="C14" s="81">
        <f>COUNTIF('Phase 2'!$F$5:$F$144,"Document")</f>
        <v/>
      </c>
      <c r="D14" s="81">
        <f>COUNTIF('Phase 3'!$F$5:$F$66,"Document")</f>
        <v/>
      </c>
      <c r="E14" s="81">
        <f>COUNTIF('Phase 4'!$F$5:$F$51,"Document")</f>
        <v/>
      </c>
      <c r="F14" s="81">
        <f>COUNTIF('Phase 5'!$F$5:$F$100,"Document")</f>
        <v/>
      </c>
      <c r="G14" s="81">
        <f>COUNTIF('Phase 6'!$F$5:$F$100,"Document")</f>
        <v/>
      </c>
      <c r="H14" s="81">
        <f>SUM(B14:G14)</f>
        <v/>
      </c>
    </row>
    <row r="15" ht="15" customHeight="1" s="75">
      <c r="A15" s="98" t="inlineStr">
        <is>
          <t>Zoho dashboard</t>
        </is>
      </c>
      <c r="B15" s="81">
        <f>COUNTIF('Phase 1'!$F$5:$F$400,"Zoho dashboard")</f>
        <v/>
      </c>
      <c r="C15" s="81">
        <f>COUNTIF('Phase 2'!$F$5:$F$144,"Zoho dashboard")</f>
        <v/>
      </c>
      <c r="D15" s="81">
        <f>COUNTIF('Phase 3'!$F$5:$F$66,"Zoho dashboard")</f>
        <v/>
      </c>
      <c r="E15" s="81">
        <f>COUNTIF('Phase 4'!$F$5:$F$51,"Zoho dashboard")</f>
        <v/>
      </c>
      <c r="F15" s="81">
        <f>COUNTIF('Phase 5'!$F$5:$F$100,"Zoho dashboard")</f>
        <v/>
      </c>
      <c r="G15" s="81">
        <f>COUNTIF('Phase 6'!$F$5:$F$100,"Zoho dashboard")</f>
        <v/>
      </c>
      <c r="H15" s="81">
        <f>SUM(B15:G15)</f>
        <v/>
      </c>
    </row>
    <row r="16" ht="15" customHeight="1" s="75">
      <c r="A16" s="99" t="inlineStr">
        <is>
          <t>Vendor console</t>
        </is>
      </c>
      <c r="B16" s="81">
        <f>COUNTIF('Phase 1'!$F$5:$F$400,"Vendor console")</f>
        <v/>
      </c>
      <c r="C16" s="81">
        <f>COUNTIF('Phase 2'!$F$5:$F$144,"Vendor console")</f>
        <v/>
      </c>
      <c r="D16" s="81">
        <f>COUNTIF('Phase 3'!$F$5:$F$66,"Vendor console")</f>
        <v/>
      </c>
      <c r="E16" s="81">
        <f>COUNTIF('Phase 4'!$F$5:$F$51,"Vendor console")</f>
        <v/>
      </c>
      <c r="F16" s="81">
        <f>COUNTIF('Phase 5'!$F$5:$F$100,"Vendor console")</f>
        <v/>
      </c>
      <c r="G16" s="81">
        <f>COUNTIF('Phase 6'!$F$5:$F$100,"Vendor console")</f>
        <v/>
      </c>
      <c r="H16" s="81">
        <f>SUM(B16:G16)</f>
        <v/>
      </c>
    </row>
    <row r="17" ht="15" customHeight="1" s="75">
      <c r="A17" s="100" t="inlineStr">
        <is>
          <t>Code</t>
        </is>
      </c>
      <c r="B17" s="81">
        <f>COUNTIF('Phase 1'!$F$5:$F$400,"Code")</f>
        <v/>
      </c>
      <c r="C17" s="81">
        <f>COUNTIF('Phase 2'!$F$5:$F$144,"Code")</f>
        <v/>
      </c>
      <c r="D17" s="81">
        <f>COUNTIF('Phase 3'!$F$5:$F$66,"Code")</f>
        <v/>
      </c>
      <c r="E17" s="81">
        <f>COUNTIF('Phase 4'!$F$5:$F$51,"Code")</f>
        <v/>
      </c>
      <c r="F17" s="81">
        <f>COUNTIF('Phase 5'!$F$5:$F$100,"Code")</f>
        <v/>
      </c>
      <c r="G17" s="81">
        <f>COUNTIF('Phase 6'!$F$5:$F$100,"Code")</f>
        <v/>
      </c>
      <c r="H17" s="81">
        <f>SUM(B17:G17)</f>
        <v/>
      </c>
    </row>
    <row r="18" ht="15" customHeight="1" s="75">
      <c r="A18" s="99" t="inlineStr">
        <is>
          <t>Code + console</t>
        </is>
      </c>
      <c r="B18" s="81">
        <f>COUNTIF('Phase 1'!$F$5:$F$400,"Code + console")</f>
        <v/>
      </c>
      <c r="C18" s="81">
        <f>COUNTIF('Phase 2'!$F$5:$F$144,"Code + console")</f>
        <v/>
      </c>
      <c r="D18" s="81">
        <f>COUNTIF('Phase 3'!$F$5:$F$66,"Code + console")</f>
        <v/>
      </c>
      <c r="E18" s="81">
        <f>COUNTIF('Phase 4'!$F$5:$F$51,"Code + console")</f>
        <v/>
      </c>
      <c r="F18" s="81">
        <f>COUNTIF('Phase 5'!$F$5:$F$100,"Code + console")</f>
        <v/>
      </c>
      <c r="G18" s="81">
        <f>COUNTIF('Phase 6'!$F$5:$F$100,"Code + console")</f>
        <v/>
      </c>
      <c r="H18" s="81">
        <f>SUM(B18:G18)</f>
        <v/>
      </c>
    </row>
    <row r="19" ht="15" customHeight="1" s="75">
      <c r="A19" s="101" t="inlineStr">
        <is>
          <t>Design tool</t>
        </is>
      </c>
      <c r="B19" s="81">
        <f>COUNTIF('Phase 1'!$F$5:$F$400,"Design tool")</f>
        <v/>
      </c>
      <c r="C19" s="81">
        <f>COUNTIF('Phase 2'!$F$5:$F$144,"Design tool")</f>
        <v/>
      </c>
      <c r="D19" s="81">
        <f>COUNTIF('Phase 3'!$F$5:$F$66,"Design tool")</f>
        <v/>
      </c>
      <c r="E19" s="81">
        <f>COUNTIF('Phase 4'!$F$5:$F$51,"Design tool")</f>
        <v/>
      </c>
      <c r="F19" s="81">
        <f>COUNTIF('Phase 5'!$F$5:$F$100,"Design tool")</f>
        <v/>
      </c>
      <c r="G19" s="81">
        <f>COUNTIF('Phase 6'!$F$5:$F$100,"Design tool")</f>
        <v/>
      </c>
      <c r="H19" s="81">
        <f>SUM(B19:G19)</f>
        <v/>
      </c>
    </row>
    <row r="20" ht="15" customHeight="1" s="75">
      <c r="A20" s="97" t="inlineStr">
        <is>
          <t>Document + code</t>
        </is>
      </c>
      <c r="B20" s="81">
        <f>COUNTIF('Phase 1'!$F$5:$F$400,"Document + code")</f>
        <v/>
      </c>
      <c r="C20" s="81">
        <f>COUNTIF('Phase 2'!$F$5:$F$144,"Document + code")</f>
        <v/>
      </c>
      <c r="D20" s="81">
        <f>COUNTIF('Phase 3'!$F$5:$F$66,"Document + code")</f>
        <v/>
      </c>
      <c r="E20" s="81">
        <f>COUNTIF('Phase 4'!$F$5:$F$51,"Document + code")</f>
        <v/>
      </c>
      <c r="F20" s="81">
        <f>COUNTIF('Phase 5'!$F$5:$F$100,"Document + code")</f>
        <v/>
      </c>
      <c r="G20" s="81">
        <f>COUNTIF('Phase 6'!$F$5:$F$100,"Document + code")</f>
        <v/>
      </c>
      <c r="H20" s="81">
        <f>SUM(B20:G20)</f>
        <v/>
      </c>
    </row>
    <row r="21">
      <c r="A21" s="102" t="inlineStr">
        <is>
          <t>External · counsel</t>
        </is>
      </c>
      <c r="B21" s="81">
        <f>COUNTIF('Phase 1'!$F$5:$F$400,"External · counsel")</f>
        <v/>
      </c>
      <c r="C21" s="81">
        <f>COUNTIF('Phase 2'!$F$5:$F$144,"External · counsel")</f>
        <v/>
      </c>
      <c r="D21" s="81">
        <f>COUNTIF('Phase 3'!$F$5:$F$66,"External · counsel")</f>
        <v/>
      </c>
      <c r="E21" s="81">
        <f>COUNTIF('Phase 4'!$F$5:$F$51,"External · counsel")</f>
        <v/>
      </c>
      <c r="F21" s="81">
        <f>COUNTIF('Phase 5'!$F$5:$F$100,"External · counsel")</f>
        <v/>
      </c>
      <c r="G21" s="81">
        <f>COUNTIF('Phase 6'!$F$5:$F$100,"External · counsel")</f>
        <v/>
      </c>
      <c r="H21" s="81">
        <f>SUM(B21:G21)</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41"/>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row r="39">
      <c r="A39" s="74" t="inlineStr">
        <is>
          <t>2026-10-22</t>
        </is>
      </c>
      <c r="B39" s="74" t="n">
        <v>28</v>
      </c>
      <c r="C39" s="74" t="n">
        <v>62</v>
      </c>
      <c r="D39" s="74" t="n">
        <v>25</v>
      </c>
      <c r="E39" s="74" t="n">
        <v>29</v>
      </c>
      <c r="F39" s="74" t="n">
        <v>27</v>
      </c>
      <c r="G39" s="74" t="n">
        <v>19</v>
      </c>
      <c r="H39" s="74" t="n">
        <v>20</v>
      </c>
      <c r="I39" s="74" t="n">
        <v>20</v>
      </c>
      <c r="J39" s="74" t="n">
        <v>30</v>
      </c>
      <c r="K39" s="74" t="n">
        <v>38</v>
      </c>
      <c r="L39" s="74" t="n">
        <v>298</v>
      </c>
      <c r="M39" s="74" t="n">
        <v>23.5</v>
      </c>
    </row>
    <row r="40" s="75">
      <c r="A40" s="74" t="inlineStr">
        <is>
          <t>2026-10-23</t>
        </is>
      </c>
      <c r="B40" s="74" t="n">
        <v>28</v>
      </c>
      <c r="C40" s="74" t="n">
        <v>62</v>
      </c>
      <c r="D40" s="74" t="n">
        <v>25</v>
      </c>
      <c r="E40" s="74" t="n">
        <v>29</v>
      </c>
      <c r="F40" s="74" t="n">
        <v>27</v>
      </c>
      <c r="G40" s="74" t="n">
        <v>19</v>
      </c>
      <c r="H40" s="74" t="n">
        <v>20</v>
      </c>
      <c r="I40" s="74" t="n">
        <v>20</v>
      </c>
      <c r="J40" s="74" t="n">
        <v>36</v>
      </c>
      <c r="K40" s="74" t="n">
        <v>38</v>
      </c>
      <c r="L40" s="74" t="n">
        <v>304</v>
      </c>
      <c r="M40" s="74" t="n">
        <v>16.5</v>
      </c>
    </row>
    <row r="41">
      <c r="A41" s="74" t="inlineStr">
        <is>
          <t>2026-10-26</t>
        </is>
      </c>
      <c r="B41" s="74" t="n">
        <v>28</v>
      </c>
      <c r="C41" s="74" t="n">
        <v>62</v>
      </c>
      <c r="D41" s="74" t="n">
        <v>25</v>
      </c>
      <c r="E41" s="74" t="n">
        <v>29</v>
      </c>
      <c r="F41" s="74" t="n">
        <v>27</v>
      </c>
      <c r="G41" s="74" t="n">
        <v>19</v>
      </c>
      <c r="H41" s="74" t="n">
        <v>20</v>
      </c>
      <c r="I41" s="74" t="n">
        <v>20</v>
      </c>
      <c r="J41" s="74" t="n">
        <v>39</v>
      </c>
      <c r="K41" s="74" t="n">
        <v>38</v>
      </c>
      <c r="L41" s="74" t="n">
        <v>307</v>
      </c>
      <c r="M41" s="74" t="n">
        <v>17.5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2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269 tasks · 615 person-days · the loop that must work before anything else is built · Stage 9 (SponsorX NEXT, spec v2.0) is gated, not queued</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 2026-10-24: Zoho production on (key owned by rcfworks, org 4857533000000020005, watch renewed, intel fields created). Edge key and Resend done 2026-10-23. Still open: GEOLITE2_CITY_PATH, BTG_POSTAL_ADDRESS.</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2026-10-23 QA (HeckerCreatives): the ten-document cap counted abandoned starts; now counts documents that arrived (tests/qa-p8-disputes-collab.test.ts). | 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Done</t>
        </is>
      </c>
      <c r="J308" s="108" t="n">
        <v>1</v>
      </c>
      <c r="K308" s="163" t="n">
        <v>46318</v>
      </c>
      <c r="L308" s="163" t="n">
        <v>46318</v>
      </c>
      <c r="M308" s="110" t="inlineStr">
        <is>
          <t>HeckerCreatives</t>
        </is>
      </c>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2026-10-23 QA (HeckerCreatives): browser probe — join/guardian ticks hold; nothing found. | 2026-10-23 DONE (HeckerCreatives): /join shows the rules wording as a second tick for an adult and sends rulesAttestationVersion; a minor sees that the guardian confirms; the guardian set-up page asks for the ward and sends the version; 422 rules_attestation_stale refreshes and asks again. Walked on the local stack. | 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Done</t>
        </is>
      </c>
      <c r="J309" s="108" t="n">
        <v>1</v>
      </c>
      <c r="K309" s="163" t="n">
        <v>46318</v>
      </c>
      <c r="L309" s="163" t="n">
        <v>46318</v>
      </c>
      <c r="M309" s="110" t="inlineStr">
        <is>
          <t>HeckerCreatives</t>
        </is>
      </c>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2026-10-23 QA (HeckerCreatives): open redirect via /\host on ?return fixed; back-nav tick, double-click guard, minor's contradictory 'waits' line fixed. | 2026-10-23 DONE (HeckerCreatives): /athlete/confirmations (GET/POST /me/rules-attestation), the home banner, a minor's own login reads that the guardian confirms; requireRulesAttestation switch on /admin/new-signups/rules. A 409 rules_attestation_required on accept links to the page. Walked: confirm + switch on/off. | 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Done</t>
        </is>
      </c>
      <c r="J310" s="108" t="n">
        <v>2</v>
      </c>
      <c r="K310" s="163" t="n">
        <v>46318</v>
      </c>
      <c r="L310" s="163" t="n">
        <v>46318</v>
      </c>
      <c r="M310" s="110" t="inlineStr">
        <is>
          <t>HeckerCreatives</t>
        </is>
      </c>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2026-10-23 QA (HeckerCreatives): viewer clipped by backdrop-filter, mobile document rows, typo'd order id wording, malformed id role message, double-click guard fixed; pause joins now read OPEN+DOCUMENTS_IN. | 2026-10-23 DONE (HeckerCreatives): /admin/deal-disputes list + detail, open from the campaign roster or by order id, audited document viewer, Resume/Cancel with a note; /finance/deal-disputes read-only; paused roster rows and HELD earnings (admin Finance Workspace, Treasury) show why. Walked end to end. | 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Done</t>
        </is>
      </c>
      <c r="J311" s="108" t="n">
        <v>1</v>
      </c>
      <c r="K311" s="163" t="n">
        <v>46318</v>
      </c>
      <c r="L311" s="163" t="n">
        <v>46318</v>
      </c>
      <c r="M311" s="110" t="inlineStr">
        <is>
          <t>HeckerCreatives</t>
        </is>
      </c>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2026-10-23 QA (HeckerCreatives): 13,000 px overflow on a long concern, Confirm-now overlap, athlete upload 403 wording fixed. | 2026-10-23 DONE (HeckerCreatives): the athlete's order joins GET /deal-disputes: pause banner, the concern, what BTG asked for, documents (presigned upload + confirm, 10 MB, 10 max), the outcome; 409 deal_paused on accept and deliverable moves says why; a guardian acting for a minor can accept. Walked: upload + resume. | 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2026-10-23 QA (HeckerCreatives): POST /agreements/accept let a sponsor/BTG admin accept COLLAB (201 + audit row); refused now unless the actor is the athlete or the guardian acting. | 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Done</t>
        </is>
      </c>
      <c r="J313" s="108" t="n">
        <v>1</v>
      </c>
      <c r="K313" s="163" t="n">
        <v>46317</v>
      </c>
      <c r="L313" s="163" t="n">
        <v>46318</v>
      </c>
      <c r="M313" s="110" t="inlineStr">
        <is>
          <t>rcfworks, HeckerCreatives</t>
        </is>
      </c>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2026-10-23 QA (HeckerCreatives): backend — anyone with agreement.write could accept the collab agreement; now the athlete's (or guardian acting) only. | 2026-10-23 DONE (HeckerCreatives): the portal half — /athlete/confirmations accepts the current agreement (GET /me/collab-agreement, POST /agreements/accept); requireCollabAcceptance switch on sign-up settings; /join reloads the text on not_collab_agreement or the uncoded text-changed 409 and sends signer headers. Wording half by rcfworks 2026-10-22. | Wording and recording done 2026-10-22 (rcfworks, at the user's request): /join shows the served v2 agreement and sends its id and hash. Still open: the athlete-portal prompt and the requireCollabAcceptance switch.</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Done</t>
        </is>
      </c>
      <c r="J315" s="108" t="n">
        <v>0.5</v>
      </c>
      <c r="K315" s="163" t="n">
        <v>46316</v>
      </c>
      <c r="L315" s="163" t="n">
        <v>46316</v>
      </c>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DONE (rcfworks): merged in #277, main CI green incl. e2e, deployed to staging. | 2026-10-21 (rcfworks): PropertyOnboarding.termsIp/termsUserAgent (migration 20261021120000); saveStep takes the request's evidence and audits agreement.accept. tests/property-onboarding.test.ts.</t>
        </is>
      </c>
    </row>
    <row r="316" s="75">
      <c r="A316" s="104" t="n">
        <v>157.78</v>
      </c>
      <c r="B316" s="105" t="inlineStr">
        <is>
          <t>P8-OPS-03</t>
        </is>
      </c>
      <c r="C316" s="81" t="n">
        <v>8</v>
      </c>
      <c r="D316" s="82" t="inlineStr">
        <is>
          <t>Integration, Hardening &amp; Launch</t>
        </is>
      </c>
      <c r="E316" s="139" t="inlineStr">
        <is>
          <t>OPS</t>
        </is>
      </c>
      <c r="F316" s="120" t="inlineStr">
        <is>
          <t>Code</t>
        </is>
      </c>
      <c r="G316" s="80" t="inlineStr">
        <is>
          <t>Stripe and Zoho webhooks reach production's private API</t>
        </is>
      </c>
      <c r="H316" s="107" t="inlineStr">
        <is>
          <t>Raised 2026-10-21 preparing Stripe go-live: production's API has no public address and sponsorx.net forwarded only three paths, so Stripe's and Zoho's webhooks could never reach it — a card payment would succeed at Stripe and the order never turn PAID. Staging hid it (its API is public).</t>
        </is>
      </c>
      <c r="I316" s="108" t="inlineStr">
        <is>
          <t>Code review</t>
        </is>
      </c>
      <c r="J316" s="108" t="n">
        <v>0.5</v>
      </c>
      <c r="K316" s="163" t="n">
        <v>46316</v>
      </c>
      <c r="L316" s="163" t="n"/>
      <c r="M316" s="110" t="inlineStr">
        <is>
          <t>rcfworks</t>
        </is>
      </c>
      <c r="N316" s="81" t="n">
        <v>0</v>
      </c>
      <c r="O316" s="80" t="n"/>
      <c r="P316" s="80" t="inlineStr">
        <is>
          <t>sponsorx.net forwards exactly /api/v1/webhooks/payments/stripe, /zoho/invoice and /zoho/crm to the private API untouched; the API's signature checks pass on a forwarded signed delivery and refuse a bad one; nothing else forwarded, no wildcards; the Stripe go-live steps name the production URL</t>
        </is>
      </c>
      <c r="Q316" s="82" t="inlineStr">
        <is>
          <t>§18, §38</t>
        </is>
      </c>
      <c r="R316" s="111" t="inlineStr">
        <is>
          <t>2026-10-21 (rcfworks): frontend/next.config.ts WEBHOOK_PATHS, pinned by frontend/tests/security-review.test.ts; SponsorX-Stripe-Integration.md §3/§6.</t>
        </is>
      </c>
    </row>
    <row r="317" s="75">
      <c r="A317" s="104" t="n">
        <v>157.79</v>
      </c>
      <c r="B317" s="105" t="inlineStr">
        <is>
          <t>P8-BE-07</t>
        </is>
      </c>
      <c r="C317" s="81" t="n">
        <v>8</v>
      </c>
      <c r="D317" s="82" t="inlineStr">
        <is>
          <t>Integration, Hardening &amp; Launch</t>
        </is>
      </c>
      <c r="E317" s="139" t="inlineStr">
        <is>
          <t>BE</t>
        </is>
      </c>
      <c r="F317" s="120" t="inlineStr">
        <is>
          <t>Code</t>
        </is>
      </c>
      <c r="G317" s="80" t="inlineStr">
        <is>
          <t>Issue the approved legal wording in the app</t>
        </is>
      </c>
      <c r="H317" s="107" t="inlineStr">
        <is>
          <t>Raised 2026-10-22, when the legal drafts in the SponsorX Legal folder (documents 1–7) were approved by rcfworks with Rodney's delegated authority. What people accept is fingerprinted, so the approved words become v2 of each agreement: Content Collaboration Agreement, Campaign Order, Guardian Agreement, Marketplace Seller and Payout Terms, Marketplace Order Terms. Every loader registers the newest file on first use. The fan page's consent boxes are re-versioned 2026-10-22, with the sponsor named in box 2. Also new: the notice under the button, the fan email footer, the fan privacy notice (GET /public/fan-privacy) and the 'Campaign Results Report' title and foot note. Governing law is left out until BTG names it (a v3). BTG's postal address is a go-live switch (BTG_POSTAL_ADDRESS).</t>
        </is>
      </c>
      <c r="I317" s="108" t="inlineStr">
        <is>
          <t>Done</t>
        </is>
      </c>
      <c r="J317" s="108" t="n">
        <v>1</v>
      </c>
      <c r="K317" s="163" t="n">
        <v>46317</v>
      </c>
      <c r="L317" s="163" t="n">
        <v>46317</v>
      </c>
      <c r="M317" s="110" t="inlineStr">
        <is>
          <t>rcfworks</t>
        </is>
      </c>
      <c r="N317" s="81" t="n">
        <v>1</v>
      </c>
      <c r="O317" s="80" t="inlineStr">
        <is>
          <t>P0-LEG-01…06, 2S0-LEG-01, 2S0-LEG-02, 3S0-LEG-01 (all approved 2026-10-22)</t>
        </is>
      </c>
      <c r="P317" s="80" t="inlineStr">
        <is>
          <t>Every agreement has an approved v2 with no counsel brackets, draft banners or blanks (v1 kept). v2 is in force for every tenant without a manual step. The fan wording is re-versioned, with the notice, footer and privacy notice served by the API. The rendered report is the Campaign Results Report with the approved foot note. Full backend suite green.</t>
        </is>
      </c>
      <c r="Q317" s="82" t="inlineStr">
        <is>
          <t>§12, §16, §22, §26</t>
        </is>
      </c>
      <c r="R317" s="111" t="inlineStr">
        <is>
          <t>Tests: approved-legal-wording.test.ts; suites that pinned v1 now read the version in force (tests/support/agreements.ts).</t>
        </is>
      </c>
    </row>
    <row r="318" s="75">
      <c r="A318" s="104" t="n">
        <v>157.94</v>
      </c>
      <c r="B318" s="105" t="inlineStr">
        <is>
          <t>P8-FE-08</t>
        </is>
      </c>
      <c r="C318" s="81" t="n">
        <v>8</v>
      </c>
      <c r="D318" s="82" t="inlineStr">
        <is>
          <t>Integration, Hardening &amp; Launch</t>
        </is>
      </c>
      <c r="E318" s="139" t="inlineStr">
        <is>
          <t>FE</t>
        </is>
      </c>
      <c r="F318" s="120" t="inlineStr">
        <is>
          <t>Code</t>
        </is>
      </c>
      <c r="G318" s="80" t="inlineStr">
        <is>
          <t>Show the approved fan-page and results wording</t>
        </is>
      </c>
      <c r="H318" s="107" t="inlineStr">
        <is>
          <t>Raised with P8-BE-07 (2026-10-22). Fan reward page: show `notice` and `eligibilityCheck`, the email-field label, and a link to the fan privacy notice. Unsubscribe confirmation page: the approved wording. Guardian set-up page: the approved acceptance box. Sponsor results screen and report page: the approved labels, captions and foot note, retitled Campaign Results Report with no 'ROI'.</t>
        </is>
      </c>
      <c r="I318" s="108" t="inlineStr">
        <is>
          <t>Done</t>
        </is>
      </c>
      <c r="J318" s="108" t="n">
        <v>1</v>
      </c>
      <c r="K318" s="163" t="n">
        <v>46317</v>
      </c>
      <c r="L318" s="163" t="n">
        <v>46317</v>
      </c>
      <c r="M318" s="110" t="inlineStr">
        <is>
          <t>rcfworks</t>
        </is>
      </c>
      <c r="N318" s="81" t="n">
        <v>0</v>
      </c>
      <c r="O318" s="80" t="inlineStr">
        <is>
          <t>P8-BE-07</t>
        </is>
      </c>
      <c r="P318" s="80" t="inlineStr">
        <is>
          <t>Each screen shows the approved words, taken from the API where the API serves them. No sponsor screen says 'ROI'.</t>
        </is>
      </c>
      <c r="Q318" s="82" t="inlineStr">
        <is>
          <t>§16, §22, Legal folder documents 3 and 5</t>
        </is>
      </c>
      <c r="R318" s="111" t="inlineStr">
        <is>
          <t>Done 2026-10-22 (rcfworks, at the user's request): fan page notice, eligibility check, email label, /r/privacy page, unsubscribe wording, guardian acceptance line (handoff page now shows the served agreement), no 'ROI' on sponsor screens, confidence caption and results foot note. Merged in #287 with all four CI checks green.</t>
        </is>
      </c>
    </row>
    <row r="319" s="75">
      <c r="A319" s="104" t="n">
        <v>157.95</v>
      </c>
      <c r="B319" s="105" t="inlineStr">
        <is>
          <t>P8-SEC-04</t>
        </is>
      </c>
      <c r="C319" s="81" t="n">
        <v>8</v>
      </c>
      <c r="D319" s="82" t="inlineStr">
        <is>
          <t>Integration, Hardening &amp; Launch</t>
        </is>
      </c>
      <c r="E319" s="139" t="inlineStr">
        <is>
          <t>SEC</t>
        </is>
      </c>
      <c r="F319" s="120" t="inlineStr">
        <is>
          <t>Code</t>
        </is>
      </c>
      <c r="G319" s="80" t="inlineStr">
        <is>
          <t>Patch the Next.js and DOMPurify advisories</t>
        </is>
      </c>
      <c r="H319" s="107" t="inlineStr">
        <is>
          <t>Raised 2026-10-23: new advisories turned CI red on every branch. Next.js 16.3.8 had two critical unauthenticated RCEs (GHSA-2464-fhr4-w9xw, GHSA-673q-mjm6-r5xr) and a high DoS (GHSA-p3m5-59mp-jv5r); DOMPurify 3.4.16, via jspdf, one critical and one high. Upgraded next and eslint-config-next to 16.4.2 and dompurify to 3.4.17.</t>
        </is>
      </c>
      <c r="I319" s="108" t="inlineStr">
        <is>
          <t>Done</t>
        </is>
      </c>
      <c r="J319" s="108" t="n">
        <v>0.5</v>
      </c>
      <c r="K319" s="163" t="n">
        <v>46318</v>
      </c>
      <c r="L319" s="163" t="n">
        <v>46318</v>
      </c>
      <c r="M319" s="110" t="inlineStr">
        <is>
          <t>rcfworks</t>
        </is>
      </c>
      <c r="N319" s="81" t="n">
        <v>0</v>
      </c>
      <c r="O319" s="80" t="n"/>
      <c r="P319" s="80" t="inlineStr">
        <is>
          <t>npm run audit:check is clean; builds, lint and every frontend, backend and runnable e2e test pass; staging and production run the patched build.</t>
        </is>
      </c>
      <c r="Q319" s="82" t="inlineStr">
        <is>
          <t>§26</t>
        </is>
      </c>
      <c r="R319" s="111" t="inlineStr">
        <is>
          <t>Merged in #292, synced to main in #293 (all CI green). Deployed to staging and production at 38f800e, 2026-10-23 11:55 UTC; both healthy.</t>
        </is>
      </c>
    </row>
    <row r="320" s="75">
      <c r="A320" s="104" t="n">
        <v>157.96</v>
      </c>
      <c r="B320" s="105" t="inlineStr">
        <is>
          <t>P8-OPS-04</t>
        </is>
      </c>
      <c r="C320" s="81" t="n">
        <v>8</v>
      </c>
      <c r="D320" s="82" t="inlineStr">
        <is>
          <t>Integration, Hardening &amp; Launch</t>
        </is>
      </c>
      <c r="E320" s="139" t="inlineStr">
        <is>
          <t>OPS</t>
        </is>
      </c>
      <c r="F320" s="120" t="inlineStr">
        <is>
          <t>Code + console</t>
        </is>
      </c>
      <c r="G320" s="80" t="inlineStr">
        <is>
          <t>Zoho Books sends invoice changes to SponsorX</t>
        </is>
      </c>
      <c r="H320" s="107" t="inlineStr">
        <is>
          <t>Raised 2026-10-25: SponsorX's invoice webhook had no caller, because the Books workflow planned on 2026-10-02 was never built. Built in Books org The Coffee Stage: the CRM Deal ID invoice field, the custom function sponsorx_send_invoice (signed with ZOHO_WEBHOOK_SECRET) and the workflow rule Send to SponsorX.</t>
        </is>
      </c>
      <c r="I320" s="108" t="inlineStr">
        <is>
          <t>Done</t>
        </is>
      </c>
      <c r="J320" s="108" t="n">
        <v>0.5</v>
      </c>
      <c r="K320" s="163" t="n">
        <v>46320</v>
      </c>
      <c r="L320" s="163" t="n">
        <v>46320</v>
      </c>
      <c r="M320" s="110" t="inlineStr">
        <is>
          <t>rcfworks</t>
        </is>
      </c>
      <c r="N320" s="81" t="inlineStr">
        <is>
          <t>0</t>
        </is>
      </c>
      <c r="O320" s="80" t="n"/>
      <c r="P320" s="80" t="inlineStr">
        <is>
          <t>A draft, a sent and a paid invoice each reach staging signed and APPLIED; staging's copy follows draft -&gt; sent -&gt; paid; a paid invoice carries its paid date</t>
        </is>
      </c>
      <c r="Q320" s="82" t="inlineStr">
        <is>
          <t>§18</t>
        </is>
      </c>
      <c r="R320" s="111" t="inlineStr">
        <is>
          <t>Done 2026-10-25 (rcfworks). Tested on staging with INV-000001 (deal 7554807000012994002): draft, sent and paid each arrived signed and APPLIED, and the order invoice went draft -&gt; sent -&gt; paid. Paid date fixed: the function reads the full invoice when the workflow copy has no last_payment_date; the retest at 04:32 UTC carried paidAt 2026-10-25. Not shown: AWAITING_PAYMENT -&gt; PAID (the test order was already PAID).</t>
        </is>
      </c>
    </row>
    <row r="321" s="75">
      <c r="A321" s="104" t="n">
        <v>157.97</v>
      </c>
      <c r="B321" s="105" t="inlineStr">
        <is>
          <t>P8-SEC-05</t>
        </is>
      </c>
      <c r="C321" s="81" t="n">
        <v>8</v>
      </c>
      <c r="D321" s="82" t="inlineStr">
        <is>
          <t>Integration, Hardening &amp; Launch</t>
        </is>
      </c>
      <c r="E321" s="139" t="inlineStr">
        <is>
          <t>SEC</t>
        </is>
      </c>
      <c r="F321" s="120" t="inlineStr">
        <is>
          <t>Code</t>
        </is>
      </c>
      <c r="G321" s="80" t="inlineStr">
        <is>
          <t>Patch the body-parser, zod and fast-uri advisories</t>
        </is>
      </c>
      <c r="H321" s="107" t="inlineStr">
        <is>
          <t>Raised 2026-10-25: new advisories turned CI's dependency scan red on every branch. body-parser 2.3.0 (high, production, via express), zod 4.6.5 (high, production), fast-uri 3.1.8 (moderate x4, dev only).</t>
        </is>
      </c>
      <c r="I321" s="108" t="inlineStr">
        <is>
          <t>Done</t>
        </is>
      </c>
      <c r="J321" s="108" t="n">
        <v>0.5</v>
      </c>
      <c r="K321" s="163" t="n">
        <v>46320</v>
      </c>
      <c r="L321" s="163" t="n">
        <v>46320</v>
      </c>
      <c r="M321" s="110" t="inlineStr">
        <is>
          <t>rcfworks</t>
        </is>
      </c>
      <c r="N321" s="81" t="inlineStr">
        <is>
          <t>0</t>
        </is>
      </c>
      <c r="O321" s="80" t="n"/>
      <c r="P321" s="80" t="inlineStr">
        <is>
          <t>npm run audit:check is clean; builds, lint and every frontend, backend and runnable e2e test pass; staging and production run the patched build</t>
        </is>
      </c>
      <c r="Q321" s="82" t="inlineStr">
        <is>
          <t>§26</t>
        </is>
      </c>
      <c r="R321" s="111" t="inlineStr">
        <is>
          <t>Done 2026-10-25 (rcfworks): #298, synced in #299. body-parser 2.4.0, zod 4.6.7, fast-uri 3.1.9. Local: FE 1,681, BE 3,511, e2e 31 pass. CI pinned to ubuntu-24.04 (Playwright 1.63 can't install Chromium on 26.04). release -&gt; a87b4713; all four services deployed; staging runs zod@4.6.7 / body-parser@2.4.0; health, /join, webhooks (401) and protected API (401) checked in both environments.</t>
        </is>
      </c>
    </row>
    <row r="322" s="75">
      <c r="A322" s="104" t="n">
        <v>157.98</v>
      </c>
      <c r="B322" s="105" t="inlineStr">
        <is>
          <t>P8-FE-09</t>
        </is>
      </c>
      <c r="C322" s="81" t="n">
        <v>8</v>
      </c>
      <c r="D322" s="82" t="inlineStr">
        <is>
          <t>Integration, Hardening &amp; Launch</t>
        </is>
      </c>
      <c r="E322" s="139" t="inlineStr">
        <is>
          <t>FE</t>
        </is>
      </c>
      <c r="F322" s="120" t="inlineStr">
        <is>
          <t>Code</t>
        </is>
      </c>
      <c r="G322" s="80" t="inlineStr">
        <is>
          <t>Fix the screen findings from the tester-guide dry run</t>
        </is>
      </c>
      <c r="H322" s="107" t="inlineStr">
        <is>
          <t>Raised 2026-10-26 from the tester-guide dry run on staging. Seven screen problems: (1) a real campaign's results page had no PDF / Excel export, only the samples did; (2) the home page's 'Trusted by leading brands' strip showed the mockup's brands (Nike, adidas, Red Bull, Monster Energy, Under Armour) as if they were partners; (3) 'Postgres · read &lt;time&gt;' showed on athlete pages; (4) the offer title said the sponsor twice when the campaign name starts with it; (5) BTG's approvals desk called a PNG draft 'Video · v1'; (6) 'This goes live as soon as the checks pass.' appeared twice under Submit on a new listing; (7) the admin's order view said 'Complete' while the athlete's page still said 'Published — BTG verifying'.</t>
        </is>
      </c>
      <c r="I322" s="108" t="inlineStr">
        <is>
          <t>Done</t>
        </is>
      </c>
      <c r="J322" s="108" t="n">
        <v>1</v>
      </c>
      <c r="K322" s="163" t="n">
        <v>46321</v>
      </c>
      <c r="L322" s="163" t="n">
        <v>46322</v>
      </c>
      <c r="M322" s="110" t="inlineStr">
        <is>
          <t>HeckerCreatives</t>
        </is>
      </c>
      <c r="N322" s="81" t="inlineStr">
        <is>
          <t>0</t>
        </is>
      </c>
      <c r="O322" s="80" t="n"/>
      <c r="P322" s="80" t="inlineStr">
        <is>
          <t>A real campaign's results page exports a PDF and an Excel workbook from its own report read, with reach by source kept apart; the home page shows no brand that hasn't agreed to be named; no athlete page names the database; each finding is fixed and covered by a test where the logic allows.</t>
        </is>
      </c>
      <c r="Q322" s="82" t="inlineStr">
        <is>
          <t>§9, §21, §22</t>
        </is>
      </c>
      <c r="R322" s="111" t="inlineStr">
        <is>
          <t>2026-10-27 (HeckerCreatives): public pages for the inert nav items, built on the landing's parts - /get-started (Get Started no longer goes to /login), /how-it-works and /about (BTG Sports Group, values, the four desks, SponsorX + NEXT); nav items live, page-transition + route map + e2e sweep updated. Device-matrix QA x2 (1,751 + 464 loads, 7 roles, 320-2560 + WebKit iPhone SE/iPad Mini, public pages also signed in). Fixed: iPad (768) sideways scroll on 11 table desks (sr-only column header escaped .sx-table-scroll - now position:relative); /login hydration mismatch under load (Clerk &lt;SignIn&gt; now mounts after hydration); signed-in header '&lt;Role&gt; Dashboard' overflow below 380px (reads 'Dashboard'); lg-only grids on 13 detail layouts + rules board (grid-cols-1); roster at 320; payout chip at 768; Safari select overflow (global rule); loader exit overflow; plus the morning's six 320px fixes. FE tsc + lint clean, vitest 1,712 (security-review graph test is load-sensitive near its 5 s timeout). Merged to main_development and main. | 2026-10-27 QA pass 4 (HeckerCreatives): found local node_modules predated P8-SEC-04/05 (next 16.3.8 vs 16.4.2 etc.) - npm ci, all checks re-run on the lockfile versions. Production build (next start) against the api container (boots with the shared env; OpenAPI lists /public/network-stats as public): walk 5/5, 0 console errors; axe on changed pages found only a pre-existing &lt;dl&gt; issue in the Arena tiles. Third review: stale comments, dead fixtures/buildReportFunnel, a vacuous test, untested Complete rule (now orderJourney + tests), route test for the public endpoint, docs updated. FE 1,712 / BE 3,503 (4 Windows-only); Next 16.4.2 build and lint clean. | 2026-10-26 QA pass 3 (HeckerCreatives): team e2e (public, public-links, landing-city, redeem-flow, P4/P5/P7 loops, marketplace-path) 35 passed; 2 blocked by the Clerk dev user cap, 2 first-compile timeouts passed on re-run. Checked tenant scope and the rate limit of /public/network-stats, viewer-timezone 'Updated' pill, hung-API timeout, property draft listing. Fixed: sample roster 'demo' job; campaignAfterSponsor on punctuation; approvals card 'job' label; internal names in demo views; sample report now exports through campaign-results labelled (sample), old fixture export deleted. FE 1,707 / BE 3,498 tests; build and lint clean. | 2026-10-26 QA pass 2 (HeckerCreatives): independent code review + wider walk (20 athlete pages desktop/phone, approvals edge cases, Complete flipping as posts verify, listing editor, student/advisor/public pages, console errors). Fixed: untyped uploads no longer called images; 'Postgres' removed for sponsors, public property page, student and advisor portals; sponsor roster duplicate React key (rows keyed by athlete+job, job shown, in export too); sponsor name no longer repeated on athlete list sub-lines or the admin approvals drawer; 'goes live' said once on listing pages (athlete and property). FE 1,704 / BE 3,499 tests (4 Windows-only files fail); build and lint clean; walk 6/6, 0 console errors. | 2026-10-26 follow-up (HeckerCreatives): QA findings fixed. Home 'Real Impact' card, closing 'The numbers' panel and /login figures now read GET /public/network-stats (athletes ACTIVE+FEATURED, campaigns COMPLETED, deliverables VERIFIED, rewards REDEEMED; zeros left out, hidden with no read; 'Attributed fan value' dropped, no source); docker-compose worker shares the api's env (was crash-looping on missing Clerk keys); unused variable removed, lint clean. FE 1,701 / BE 3,499 tests; build passes; walked live with the API up and down. Open for the owner: the home page's Featured athletes panel still shows sample athletes. | 2026-10-26 QA (HeckerCreatives): root build and lint pass; FE 1,694 tests; BE 3,497 pass on sponsorx_test (only the four known Windows-only files fail). Playwright walk as QA athlete, admin and sponsor on seeded qa_fe09_* rows (removed after) confirmed all seven fixes, incl. a real PDF and XLSX download. Found and fixed in QA: two 'POSTGRES' chips on athlete earnings (now 'SponsorX records'); the PDF's cost per 1,000 now prints cents like the screen. Not deployed. | 2026-10-26 (HeckerCreatives): on branch fix/P8-FE-09-dry-run-screen-findings. Real-campaign export built from GET /campaigns/{id}/report (campaign-results-report.ts + PDF/XLSX renderers); trustedBrands emptied and the strip hidden while empty; athlete pills read 'Updated &lt;time&gt;' (ArenaUpdated); campaignWithSponsor drops a repeated sponsor; GET /deliverables sends latestAsset.contentType and the desk names the upload's kind; duplicate listing sentence removed; GET /campaigns/{id}/ops sends a per-athlete verified count and 'Complete' waits for it. Frontend build, lint and 1,694 tests pass; backend typecheck and the ops / deliverables read tests pass.</t>
        </is>
      </c>
    </row>
    <row r="323" s="75">
      <c r="A323" s="104" t="n">
        <v>157.99</v>
      </c>
      <c r="B323" s="105" t="inlineStr">
        <is>
          <t>P8-BE-08</t>
        </is>
      </c>
      <c r="C323" s="81" t="n">
        <v>8</v>
      </c>
      <c r="D323" s="82" t="inlineStr">
        <is>
          <t>Integration, Hardening &amp; Launch</t>
        </is>
      </c>
      <c r="E323" s="139" t="inlineStr">
        <is>
          <t>BE</t>
        </is>
      </c>
      <c r="F323" s="120" t="inlineStr">
        <is>
          <t>Code</t>
        </is>
      </c>
      <c r="G323" s="80" t="inlineStr">
        <is>
          <t>Featured athletes list for the home page</t>
        </is>
      </c>
      <c r="H323" s="107" t="inlineStr">
        <is>
          <t>Public list of up to 4 athletes by the approved criteria (photo and every public field required); BTG pin, remove and approve.</t>
        </is>
      </c>
      <c r="I323" s="108" t="inlineStr">
        <is>
          <t>Done</t>
        </is>
      </c>
      <c r="J323" s="108" t="n">
        <v>3</v>
      </c>
      <c r="K323" s="163" t="n">
        <v>46322</v>
      </c>
      <c r="L323" s="163" t="n">
        <v>46322</v>
      </c>
      <c r="M323" s="110" t="inlineStr">
        <is>
          <t>rcfworks</t>
        </is>
      </c>
      <c r="N323" s="81" t="n">
        <v>1</v>
      </c>
      <c r="O323" s="80" t="n"/>
      <c r="P323" s="80" t="inlineStr">
        <is>
          <t>Only qualifying athletes, pinned first, at most 4; minors need approval; removed stay off; nothing private; tenant and role tests</t>
        </is>
      </c>
      <c r="Q323" s="82" t="inlineStr">
        <is>
          <t>§9, §11, §26</t>
        </is>
      </c>
      <c r="R323" s="111" t="inlineStr">
        <is>
          <t>2026-10-27 DONE (rcfworks): criteria approved by the user. Photo upload added (athletes had none). 3,540 backend tests pass.</t>
        </is>
      </c>
    </row>
    <row r="324" s="75">
      <c r="A324" s="104" t="n">
        <v>157.995</v>
      </c>
      <c r="B324" s="105" t="inlineStr">
        <is>
          <t>P8-FE-10</t>
        </is>
      </c>
      <c r="C324" s="81" t="n">
        <v>8</v>
      </c>
      <c r="D324" s="82" t="inlineStr">
        <is>
          <t>Integration, Hardening &amp; Launch</t>
        </is>
      </c>
      <c r="E324" s="139" t="inlineStr">
        <is>
          <t>FE</t>
        </is>
      </c>
      <c r="F324" s="120" t="inlineStr">
        <is>
          <t>Code</t>
        </is>
      </c>
      <c r="G324" s="80" t="inlineStr">
        <is>
          <t>Home page Featured athletes from the API</t>
        </is>
      </c>
      <c r="H324" s="107" t="inlineStr">
        <is>
          <t>Panel reads the API instead of samples; athlete photo upload; BTG pin, remove and approve controls.</t>
        </is>
      </c>
      <c r="I324" s="108" t="inlineStr">
        <is>
          <t>Code review</t>
        </is>
      </c>
      <c r="J324" s="108" t="n">
        <v>3</v>
      </c>
      <c r="K324" s="163" t="n">
        <v>46322</v>
      </c>
      <c r="L324" s="163" t="n"/>
      <c r="M324" s="110" t="inlineStr">
        <is>
          <t>HeckerCreatives</t>
        </is>
      </c>
      <c r="N324" s="81" t="n">
        <v>0</v>
      </c>
      <c r="O324" s="80" t="inlineStr">
        <is>
          <t>P8-BE-08</t>
        </is>
      </c>
      <c r="P324" s="80" t="inlineStr">
        <is>
          <t>Panel shows the API list and hides when empty; photo upload works; controls for BTG admin and Network Manager only</t>
        </is>
      </c>
      <c r="Q324" s="82" t="inlineStr">
        <is>
          <t>§9, §10</t>
        </is>
      </c>
      <c r="R324" s="111" t="inlineStr">
        <is>
          <t>2026-10-27 QA (HeckerCreatives): 33 live API probes + 94 browser checks on 11 devices (WebKit incl.) on a staged scenario (restored byte-for-byte); axe clean x3; API-down home still loads without the panel; minor approve/withdraw live. Fixed: /athletes/me reached the public bucket from the route (payments-pii would fail on CI) - now athletePhotoUrl() in the domain; 'Under 18' shown for no-age athletes - now 'Under 18 or no age on file'. npm run build green (worktree); BE suite 3,525 pass + known Windows-only files. | 2026-10-27 (HeckerCreatives): on feature/P8-FE-10-featured-athletes. Home panel reads GET /public/featured-athletes (server/featured-athletes.ts, 1-min keep, edge forward); rows show photo, name, sport/position, city/state, followers tagged Verified/Self-reported; job tag + sample figures dropped; no read or empty list hides it. Athlete photo editor (upload/change/remove, browser type/size check, direct PUT to the public bucket) on the athlete's edit page and BTG's athlete page. BTG 'Home page' section on /admin/new-signups/athletes/{id}: on-panel state, every reason off (missing fields named, minor awaiting approval), pin/unpin, remove/restore, approve/withdraw; drawn only when GET /athletes/{id}/home-page answers (BTG admin, Network Manager). Backend: GET /athletes/me returns photoUrl. FE vitest 1,729; BE DB tests 42/42 on sponsorx_test; walked live on MinIO (QA athlete restored after). | Raised 2026-10-27. API details in the Phase 1 doc.</t>
        </is>
      </c>
    </row>
  </sheetData>
  <autoFilter ref="A4:R324"/>
  <mergeCells count="2">
    <mergeCell ref="A2:R2"/>
    <mergeCell ref="A1:R1"/>
  </mergeCells>
  <conditionalFormatting sqref="I5:I32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24">
    <cfRule type="expression" rank="0" priority="7" equalAverage="0" aboveAverage="0" dxfId="32" text="" percent="0" bottom="0">
      <formula>$I5="Done"</formula>
    </cfRule>
  </conditionalFormatting>
  <conditionalFormatting sqref="N5:N324">
    <cfRule type="cellIs" rank="0" priority="8" equalAverage="0" operator="greaterThanOrEqual" aboveAverage="0" dxfId="33" text="" percent="0" bottom="0">
      <formula>50</formula>
    </cfRule>
  </conditionalFormatting>
  <dataValidations count="1">
    <dataValidation sqref="I5:I32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on 2026-10-20 to the game phase (Phase 6 since 2026-10-27) (the game is parked).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6S1-INT-02.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6S1-INT-02.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6S1-INT-03.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6S1-INT-03.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the game phase (now Phase 6; the former UAT is 6S8-PMO-01).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Certified Recruiting Partnership</t>
        </is>
      </c>
    </row>
    <row r="2" ht="15" customHeight="1" s="75">
      <c r="A2" s="77" t="inlineStr">
        <is>
          <t>2 tasks · links between SponsorX and certified-recruiting.com (the GoDaddy site, already built; BTG already links to it). Added 2026-10-27.</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5S1-FE-01</t>
        </is>
      </c>
      <c r="C5" s="81" t="n">
        <v>1</v>
      </c>
      <c r="D5" s="82" t="inlineStr">
        <is>
          <t>Sprint 1 · Partner links</t>
        </is>
      </c>
      <c r="E5" s="138" t="inlineStr">
        <is>
          <t>FE</t>
        </is>
      </c>
      <c r="F5" s="120" t="inlineStr">
        <is>
          <t>Code</t>
        </is>
      </c>
      <c r="G5" s="80" t="inlineStr">
        <is>
          <t>Certified Recruiting card on SponsorX</t>
        </is>
      </c>
      <c r="H5" s="107" t="inlineStr">
        <is>
          <t>Partner card linking to certified-recruiting.com, on the home page and the athlete dashboard.</t>
        </is>
      </c>
      <c r="I5" s="108" t="inlineStr">
        <is>
          <t>Ready</t>
        </is>
      </c>
      <c r="J5" s="108" t="n">
        <v>1</v>
      </c>
      <c r="K5" s="109" t="n"/>
      <c r="L5" s="109" t="n"/>
      <c r="M5" s="110" t="n"/>
      <c r="N5" s="81" t="n">
        <v>0</v>
      </c>
      <c r="O5" s="80" t="n"/>
      <c r="P5" s="80" t="inlineStr">
        <is>
          <t>Card shows on both pages, opens certified-recruiting.com, works on phone and desktop</t>
        </is>
      </c>
      <c r="Q5" s="82" t="inlineStr">
        <is>
          <t>SponsorX-Phase5-Certified-Recruiting.md</t>
        </is>
      </c>
      <c r="R5" s="111" t="inlineStr">
        <is>
          <t>Raised 2026-10-27. Slack brief in the phase doc.</t>
        </is>
      </c>
    </row>
    <row r="6" ht="32.8" customHeight="1" s="75">
      <c r="A6" s="104" t="n">
        <v>2</v>
      </c>
      <c r="B6" s="105" t="inlineStr">
        <is>
          <t>5S1-FE-02</t>
        </is>
      </c>
      <c r="C6" s="81" t="n">
        <v>1</v>
      </c>
      <c r="D6" s="82" t="inlineStr">
        <is>
          <t>Sprint 1 · Partner links</t>
        </is>
      </c>
      <c r="E6" s="138" t="inlineStr">
        <is>
          <t>FE</t>
        </is>
      </c>
      <c r="F6" s="120" t="inlineStr">
        <is>
          <t>Vendor console</t>
        </is>
      </c>
      <c r="G6" s="80" t="inlineStr">
        <is>
          <t>Fix footer links on certified-recruiting.com</t>
        </is>
      </c>
      <c r="H6" s="107" t="inlineStr">
        <is>
          <t>GoDaddy editor: SponsorX → sponsorx.net, SponsorX Next → sponsorx.net/next/about, real Instagram and X.</t>
        </is>
      </c>
      <c r="I6" s="108" t="inlineStr">
        <is>
          <t>Ready</t>
        </is>
      </c>
      <c r="J6" s="108" t="n">
        <v>1</v>
      </c>
      <c r="K6" s="109" t="n"/>
      <c r="L6" s="109" t="n"/>
      <c r="M6" s="110" t="n"/>
      <c r="N6" s="81" t="n">
        <v>0</v>
      </c>
      <c r="O6" s="80" t="n"/>
      <c r="P6" s="80" t="inlineStr">
        <is>
          <t>Every footer link opens the right page</t>
        </is>
      </c>
      <c r="Q6" s="82" t="inlineStr">
        <is>
          <t>SponsorX-Phase5-Certified-Recruiting.md</t>
        </is>
      </c>
      <c r="R6" s="111" t="inlineStr">
        <is>
          <t>Raised 2026-10-27.</t>
        </is>
      </c>
    </row>
    <row r="7" ht="32.8" customHeight="1" s="75"/>
    <row r="8" ht="32.8" customHeight="1" s="75"/>
    <row r="9" ht="32.8" customHeight="1" s="75"/>
    <row r="10" ht="32.8" customHeight="1" s="75"/>
    <row r="11" ht="32.8" customHeight="1" s="75"/>
    <row r="12" ht="32.8" customHeight="1" s="75"/>
    <row r="13" ht="32.8" customHeight="1" s="75"/>
    <row r="14" ht="32.8" customHeight="1" s="75"/>
    <row r="15" ht="32.8" customHeight="1" s="75"/>
    <row r="16" ht="32.8" customHeight="1" s="75"/>
    <row r="17" ht="32.8" customHeight="1" s="75"/>
    <row r="18" ht="32.8" customHeight="1" s="75"/>
    <row r="19" ht="32.8" customHeight="1" s="75"/>
    <row r="20" ht="32.8" customHeight="1" s="75"/>
    <row r="21" ht="32.8" customHeight="1" s="75"/>
    <row r="22" ht="32.8" customHeight="1" s="75"/>
    <row r="23" ht="32.8" customHeight="1" s="75"/>
    <row r="24" ht="32.8" customHeight="1" s="75"/>
    <row r="25" ht="32.8"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6"/>
  <mergeCells count="2">
    <mergeCell ref="A2:R2"/>
    <mergeCell ref="A1:R1"/>
  </mergeCells>
  <conditionalFormatting sqref="I5:I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
    <cfRule type="expression" rank="0" priority="7" equalAverage="0" aboveAverage="0" dxfId="32" text="" percent="0" bottom="0">
      <formula>$I5="Done"</formula>
    </cfRule>
  </conditionalFormatting>
  <conditionalFormatting sqref="N5:N6">
    <cfRule type="cellIs" rank="0" priority="8" equalAverage="0" operator="greaterThanOrEqual" aboveAverage="0" dxfId="33" text="" percent="0" bottom="0">
      <formula>50</formula>
    </cfRule>
  </conditionalFormatting>
  <dataValidations count="1">
    <dataValidation sqref="I5:I6"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6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 · Phase 5 until 2026-10-27, when Certified Recruiting took Phase 5; IDs renumbered 5S… → 6S…</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6S1-INT-01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 | Formerly 5S1-INT-01 (Phase 5 became Phase 6, 2026-10-27).</t>
        </is>
      </c>
    </row>
    <row r="6" ht="32.8" customHeight="1" s="75">
      <c r="A6" s="104" t="n">
        <v>2</v>
      </c>
      <c r="B6" s="105" t="inlineStr">
        <is>
          <t>6S1-INT-02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6S1-INT-01, 4S3-INT-02</t>
        </is>
      </c>
      <c r="P6" s="80" t="inlineStr">
        <is>
          <t>The game reports its heartbeat and SponsorX raises an alert when it stops</t>
        </is>
      </c>
      <c r="Q6" s="82" t="inlineStr">
        <is>
          <t>Spec §28, §30</t>
        </is>
      </c>
      <c r="R6" s="111" t="inlineStr">
        <is>
          <t>Game half of 4S3-INT-02 (split 2026-10-16). | Formerly 5S1-INT-02 (Phase 5 became Phase 6, 2026-10-27).</t>
        </is>
      </c>
    </row>
    <row r="7" ht="32.8" customHeight="1" s="75">
      <c r="A7" s="104" t="n">
        <v>3</v>
      </c>
      <c r="B7" s="105" t="inlineStr">
        <is>
          <t>6S1-INT-03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6S1-INT-01, 4S3-INT-03</t>
        </is>
      </c>
      <c r="P7" s="80" t="inlineStr">
        <is>
          <t>The game reads its config remotely and honours telemetry limits</t>
        </is>
      </c>
      <c r="Q7" s="82" t="inlineStr">
        <is>
          <t>Spec §28</t>
        </is>
      </c>
      <c r="R7" s="111" t="inlineStr">
        <is>
          <t>Game half of 4S3-INT-03 (split 2026-10-16). | Formerly 5S1-INT-03 (Phase 5 became Phase 6, 2026-10-27).</t>
        </is>
      </c>
    </row>
    <row r="8" ht="32.8" customHeight="1" s="75">
      <c r="A8" s="104" t="n">
        <v>4</v>
      </c>
      <c r="B8" s="105" t="inlineStr">
        <is>
          <t>6S1-QA-01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6S1-INT-01</t>
        </is>
      </c>
      <c r="P8" s="80" t="inlineStr">
        <is>
          <t>Placement passes the staging test before it can be marked available</t>
        </is>
      </c>
      <c r="Q8" s="82" t="inlineStr">
        <is>
          <t>Spec §27.1</t>
        </is>
      </c>
      <c r="R8" s="111" t="inlineStr">
        <is>
          <t>Formerly 4S3-QA-01 (moved 2026-10-16). | Formerly 5S1-QA-01 (Phase 5 became Phase 6, 2026-10-27).</t>
        </is>
      </c>
    </row>
    <row r="9" ht="32.8" customHeight="1" s="75">
      <c r="A9" s="104" t="n">
        <v>5</v>
      </c>
      <c r="B9" s="105" t="inlineStr">
        <is>
          <t>6S2-QA-01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6S1-INT-01, 6S4-OPS-02</t>
        </is>
      </c>
      <c r="P9" s="80" t="inlineStr">
        <is>
          <t>Telemetry reconciles between client and server within defined tolerance</t>
        </is>
      </c>
      <c r="Q9" s="82" t="inlineStr">
        <is>
          <t>Spec §33</t>
        </is>
      </c>
      <c r="R9" s="111" t="inlineStr">
        <is>
          <t>Formerly 4S9-QA-01 (moved 2026-10-16). | Formerly 5S2-QA-01 (Phase 5 became Phase 6, 2026-10-27).</t>
        </is>
      </c>
    </row>
    <row r="10" ht="32.8" customHeight="1" s="75">
      <c r="A10" s="104" t="n">
        <v>6</v>
      </c>
      <c r="B10" s="105" t="inlineStr">
        <is>
          <t>6S2-PMO-01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6S2-QA-01</t>
        </is>
      </c>
      <c r="P10" s="80" t="inlineStr">
        <is>
          <t>Virtual rates recalibrated against observed traffic, viewability and dwell</t>
        </is>
      </c>
      <c r="Q10" s="82" t="inlineStr">
        <is>
          <t>Spec §32</t>
        </is>
      </c>
      <c r="R10" s="111" t="inlineStr">
        <is>
          <t>Formerly 4S9-PMO-01 (moved 2026-10-16). | Formerly 5S2-PMO-01 (Phase 5 became Phase 6, 2026-10-27).</t>
        </is>
      </c>
    </row>
    <row r="11" ht="32.8" customHeight="1" s="75">
      <c r="A11" s="104" t="n">
        <v>7</v>
      </c>
      <c r="B11" s="105" t="inlineStr">
        <is>
          <t>6S2-PMO-02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6S2-QA-01, 6S3-QA-01</t>
        </is>
      </c>
      <c r="P11" s="80" t="inlineStr">
        <is>
          <t>All 15 Phase 6 acceptance criteria demonstrated and signed off</t>
        </is>
      </c>
      <c r="Q11" s="82" t="inlineStr">
        <is>
          <t>Spec §34</t>
        </is>
      </c>
      <c r="R11" s="111" t="inlineStr">
        <is>
          <t>New 2026-10-16: the real-sponsor pilot, formerly part of 4S9-PMO-02. | Formerly 5S2-PMO-02 (Phase 5 became Phase 6, 2026-10-27).</t>
        </is>
      </c>
    </row>
    <row r="12" ht="32.8" customHeight="1" s="75">
      <c r="A12" s="104" t="n">
        <v>8</v>
      </c>
      <c r="B12" s="105" t="inlineStr">
        <is>
          <t>6S3-PMO-01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c r="R12" s="74" t="inlineStr">
        <is>
          <t>Formerly 5S3-PMO-01 (Phase 5 became Phase 6, 2026-10-27).</t>
        </is>
      </c>
    </row>
    <row r="13" ht="32.8" customHeight="1" s="75">
      <c r="A13" s="104" t="n">
        <v>8.5</v>
      </c>
      <c r="B13" s="105" t="inlineStr">
        <is>
          <t>6S3-PMO-02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c r="R13" s="74" t="inlineStr">
        <is>
          <t>Formerly 5S3-PMO-02 (Phase 5 became Phase 6, 2026-10-27).</t>
        </is>
      </c>
    </row>
    <row r="14" ht="32.8" customHeight="1" s="75">
      <c r="A14" s="104" t="n">
        <v>9</v>
      </c>
      <c r="B14" s="105" t="inlineStr">
        <is>
          <t>6S3-SEC-01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6S3-PMO-01, 4S0-SEC-01</t>
        </is>
      </c>
      <c r="P14" s="80" t="inlineStr">
        <is>
          <t>The player authentication design is reviewed and approved</t>
        </is>
      </c>
      <c r="Q14" s="82" t="inlineStr">
        <is>
          <t>Spec §29, §31</t>
        </is>
      </c>
      <c r="R14" s="74" t="inlineStr">
        <is>
          <t>Formerly 5S3-SEC-01 (Phase 5 became Phase 6, 2026-10-27).</t>
        </is>
      </c>
    </row>
    <row r="15" ht="32.8" customHeight="1" s="75">
      <c r="A15" s="104" t="n">
        <v>10</v>
      </c>
      <c r="B15" s="105" t="inlineStr">
        <is>
          <t>6S3-BE-01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6S3-SEC-01</t>
        </is>
      </c>
      <c r="P15" s="80" t="inlineStr">
        <is>
          <t>A player creates an account with email and password, verifies the email, and a duplicate or weak password is refused without revealing existing accounts</t>
        </is>
      </c>
      <c r="Q15" s="82" t="inlineStr">
        <is>
          <t>Spec §29</t>
        </is>
      </c>
      <c r="R15" s="74" t="inlineStr">
        <is>
          <t>Formerly 5S3-BE-01 (Phase 5 became Phase 6, 2026-10-27).</t>
        </is>
      </c>
    </row>
    <row r="16" ht="32.8" customHeight="1" s="75">
      <c r="A16" s="104" t="n">
        <v>11</v>
      </c>
      <c r="B16" s="105" t="inlineStr">
        <is>
          <t>6S3-BE-02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6S3-BE-01</t>
        </is>
      </c>
      <c r="P16" s="80" t="inlineStr">
        <is>
          <t>The game can tell an invalid login, a locked account, an unverified email and a required authenticator step apart from the server's response, and none of them reveals whether an account exists</t>
        </is>
      </c>
      <c r="Q16" s="82" t="inlineStr">
        <is>
          <t>Spec §29</t>
        </is>
      </c>
      <c r="R16" s="74" t="inlineStr">
        <is>
          <t>Formerly 5S3-BE-02 (Phase 5 became Phase 6, 2026-10-27).</t>
        </is>
      </c>
    </row>
    <row r="17" ht="32.8" customHeight="1" s="75">
      <c r="A17" s="104" t="n">
        <v>12</v>
      </c>
      <c r="B17" s="105" t="inlineStr">
        <is>
          <t>6S3-BE-03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6S3-BE-02</t>
        </is>
      </c>
      <c r="P17" s="80" t="inlineStr">
        <is>
          <t>Repeated failed logins lock the account for a set time, the game shows when it unlocks, the owner can unlock by email, and every lock is audited</t>
        </is>
      </c>
      <c r="Q17" s="82" t="inlineStr">
        <is>
          <t>Spec §29, §31</t>
        </is>
      </c>
      <c r="R17" s="74" t="inlineStr">
        <is>
          <t>Formerly 5S3-BE-03 (Phase 5 became Phase 6, 2026-10-27).</t>
        </is>
      </c>
    </row>
    <row r="18" ht="32.8" customHeight="1" s="75">
      <c r="A18" s="104" t="n">
        <v>13</v>
      </c>
      <c r="B18" s="105" t="inlineStr">
        <is>
          <t>6S3-INT-01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6S3-SEC-01, 6S3-BE-01</t>
        </is>
      </c>
      <c r="P18" s="80" t="inlineStr">
        <is>
          <t>A player signs up and signs in with Google, and can link Google to an existing account</t>
        </is>
      </c>
      <c r="Q18" s="82" t="inlineStr">
        <is>
          <t>Spec §29</t>
        </is>
      </c>
      <c r="R18" s="74" t="inlineStr">
        <is>
          <t>Formerly 5S3-INT-01 (Phase 5 became Phase 6, 2026-10-27).</t>
        </is>
      </c>
    </row>
    <row r="19" ht="32.8" customHeight="1" s="75">
      <c r="A19" s="104" t="n">
        <v>14</v>
      </c>
      <c r="B19" s="105" t="inlineStr">
        <is>
          <t>6S3-INT-02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6S3-SEC-01, 6S3-BE-01</t>
        </is>
      </c>
      <c r="P19" s="80" t="inlineStr">
        <is>
          <t>A player signs up and signs in with Apple, including with a hidden (relay) email, and can link Apple to an existing account</t>
        </is>
      </c>
      <c r="Q19" s="82" t="inlineStr">
        <is>
          <t>Spec §29</t>
        </is>
      </c>
      <c r="R19" s="74" t="inlineStr">
        <is>
          <t>Formerly 5S3-INT-02 (Phase 5 became Phase 6, 2026-10-27).</t>
        </is>
      </c>
    </row>
    <row r="20" ht="32.8" customHeight="1" s="75">
      <c r="A20" s="104" t="n">
        <v>15</v>
      </c>
      <c r="B20" s="105" t="inlineStr">
        <is>
          <t>6S3-BE-04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6S3-BE-02</t>
        </is>
      </c>
      <c r="P20" s="80" t="inlineStr">
        <is>
          <t>A player turns on an authenticator, every later login asks for its code, recovery codes work once each, and turning it off needs a fresh sign-in</t>
        </is>
      </c>
      <c r="Q20" s="82" t="inlineStr">
        <is>
          <t>Spec §29, §31</t>
        </is>
      </c>
      <c r="R20" s="74" t="inlineStr">
        <is>
          <t>Formerly 5S3-BE-04 (Phase 5 became Phase 6, 2026-10-27).</t>
        </is>
      </c>
    </row>
    <row r="21" ht="32.8" customHeight="1" s="75">
      <c r="A21" s="104" t="n">
        <v>16</v>
      </c>
      <c r="B21" s="105" t="inlineStr">
        <is>
          <t>6S3-BE-05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6S3-BE-02, 6S3-INT-01, 6S3-INT-02</t>
        </is>
      </c>
      <c r="P21" s="80" t="inlineStr">
        <is>
          <t>A player resets a forgotten password, links and unlinks Google or Apple without locking themselves out, and deletes their account in the game</t>
        </is>
      </c>
      <c r="Q21" s="82" t="inlineStr">
        <is>
          <t>Spec §29</t>
        </is>
      </c>
      <c r="R21" s="74" t="inlineStr">
        <is>
          <t>Formerly 5S3-BE-05 (Phase 5 became Phase 6, 2026-10-27).</t>
        </is>
      </c>
    </row>
    <row r="22" ht="32.8" customHeight="1" s="75">
      <c r="A22" s="104" t="n">
        <v>17</v>
      </c>
      <c r="B22" s="105" t="inlineStr">
        <is>
          <t>6S3-BE-06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6S3-BE-02</t>
        </is>
      </c>
      <c r="P22" s="80" t="inlineStr">
        <is>
          <t>Access tokens are short-lived, refresh tokens rotate, a reused refresh token ends the session, and a player can sign out one device or all of them</t>
        </is>
      </c>
      <c r="Q22" s="82" t="inlineStr">
        <is>
          <t>Spec §29, §31</t>
        </is>
      </c>
      <c r="R22" s="74" t="inlineStr">
        <is>
          <t>Formerly 5S3-BE-06 (Phase 5 became Phase 6, 2026-10-27).</t>
        </is>
      </c>
    </row>
    <row r="23" ht="32.8" customHeight="1" s="75">
      <c r="A23" s="104" t="n">
        <v>18</v>
      </c>
      <c r="B23" s="105" t="inlineStr">
        <is>
          <t>6S3-INT-03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6S3-PMO-02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6S3-PMO-02, 6S3-BE-06</t>
        </is>
      </c>
      <c r="P23" s="80" t="inlineStr">
        <is>
          <t>An authenticated game holds a live socket, receives a pause or feed change within seconds, reconnects on its own, falls back to polling, and an expired or revoked session is disconnected</t>
        </is>
      </c>
      <c r="Q23" s="82" t="inlineStr">
        <is>
          <t>Spec §28, §34</t>
        </is>
      </c>
      <c r="R23" s="74" t="inlineStr">
        <is>
          <t>Formerly 5S3-INT-03 (Phase 5 became Phase 6, 2026-10-27).</t>
        </is>
      </c>
    </row>
    <row r="24" ht="32.8" customHeight="1" s="75">
      <c r="A24" s="104" t="n">
        <v>19</v>
      </c>
      <c r="B24" s="105" t="inlineStr">
        <is>
          <t>6S3-INT-04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6S3-BE-02, 6S3-BE-03, 6S3-BE-04, 6S3-INT-01, 6S3-INT-02, 6S3-INT-03</t>
        </is>
      </c>
      <c r="P24" s="80" t="inlineStr">
        <is>
          <t>A player signs up and signs in inside the game by each method, sees the right message for every refused login, and the game connects its socket after login</t>
        </is>
      </c>
      <c r="Q24" s="82" t="inlineStr">
        <is>
          <t>Spec §29</t>
        </is>
      </c>
      <c r="R24" s="74" t="inlineStr">
        <is>
          <t>Formerly 5S3-INT-04 (Phase 5 became Phase 6, 2026-10-27).</t>
        </is>
      </c>
    </row>
    <row r="25" ht="32.8" customHeight="1" s="75">
      <c r="A25" s="104" t="n">
        <v>20</v>
      </c>
      <c r="B25" s="105" t="inlineStr">
        <is>
          <t>6S3-QA-01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6S3-INT-04</t>
        </is>
      </c>
      <c r="P25" s="80" t="inlineStr">
        <is>
          <t>Every check passes, or each open finding is recorded with its risk and its owner</t>
        </is>
      </c>
      <c r="Q25" s="82" t="inlineStr">
        <is>
          <t>Spec §29, §31</t>
        </is>
      </c>
      <c r="R25" s="74" t="inlineStr">
        <is>
          <t>Formerly 5S3-QA-01 (Phase 5 became Phase 6, 2026-10-27).</t>
        </is>
      </c>
    </row>
    <row r="26" ht="32.8" customHeight="1" s="75">
      <c r="A26" s="104" t="n">
        <v>21</v>
      </c>
      <c r="B26" s="105" t="inlineStr">
        <is>
          <t>6S4-PMO-01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c r="R26" s="74" t="inlineStr">
        <is>
          <t>Formerly 5S4-PMO-01 (Phase 5 became Phase 6, 2026-10-27).</t>
        </is>
      </c>
    </row>
    <row r="27" ht="23.85" customHeight="1" s="75">
      <c r="A27" s="104" t="n">
        <v>22</v>
      </c>
      <c r="B27" s="105" t="inlineStr">
        <is>
          <t>6S4-BE-01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74" t="inlineStr">
        <is>
          <t>Formerly 5S4-BE-01 (Phase 5 became Phase 6, 2026-10-27).</t>
        </is>
      </c>
    </row>
    <row r="28" ht="23.85" customHeight="1" s="75">
      <c r="A28" s="104" t="n">
        <v>23</v>
      </c>
      <c r="B28" s="105" t="inlineStr">
        <is>
          <t>6S4-OPS-01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c r="R28" s="74" t="inlineStr">
        <is>
          <t>Formerly 5S4-OPS-01 (Phase 5 became Phase 6, 2026-10-27).</t>
        </is>
      </c>
    </row>
    <row r="29" ht="23.85" customHeight="1" s="75">
      <c r="A29" s="104" t="n">
        <v>24</v>
      </c>
      <c r="B29" s="105" t="inlineStr">
        <is>
          <t>6S4-OPS-02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6S4-OPS-01</t>
        </is>
      </c>
      <c r="P29" s="80" t="inlineStr">
        <is>
          <t>Load test meets the agreed ingestion throughput and dashboard latency targets</t>
        </is>
      </c>
      <c r="Q29" s="82" t="inlineStr">
        <is>
          <t>Spec §34</t>
        </is>
      </c>
      <c r="R29" s="74" t="inlineStr">
        <is>
          <t>Formerly 5S4-OPS-02 (Phase 5 became Phase 6, 2026-10-27).</t>
        </is>
      </c>
    </row>
    <row r="30" ht="23.85" customHeight="1" s="75">
      <c r="A30" s="104" t="n">
        <v>25</v>
      </c>
      <c r="B30" s="105" t="inlineStr">
        <is>
          <t>6S5-BE-01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c r="R30" s="74" t="inlineStr">
        <is>
          <t>Formerly 5S5-BE-01 (Phase 5 became Phase 6, 2026-10-27).</t>
        </is>
      </c>
    </row>
    <row r="31" ht="23.85" customHeight="1" s="75">
      <c r="A31" s="104" t="n">
        <v>26</v>
      </c>
      <c r="B31" s="105" t="inlineStr">
        <is>
          <t>6S5-DATA-01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6S5-BE-01</t>
        </is>
      </c>
      <c r="P31" s="80" t="inlineStr">
        <is>
          <t>Aggregates compute on schedule and dashboards read aggregates, never raw telemetry</t>
        </is>
      </c>
      <c r="Q31" s="82" t="inlineStr">
        <is>
          <t>Spec §27.3</t>
        </is>
      </c>
      <c r="R31" s="74" t="inlineStr">
        <is>
          <t>Formerly 5S5-DATA-01 (Phase 5 became Phase 6, 2026-10-27).</t>
        </is>
      </c>
    </row>
    <row r="32" ht="22.35" customHeight="1" s="75">
      <c r="A32" s="104" t="n">
        <v>27</v>
      </c>
      <c r="B32" s="105" t="inlineStr">
        <is>
          <t>6S5-DATA-02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6S5-DATA-01</t>
        </is>
      </c>
      <c r="P32" s="80" t="inlineStr">
        <is>
          <t>Traffic benchmarks compute per world and zone</t>
        </is>
      </c>
      <c r="Q32" s="82" t="inlineStr">
        <is>
          <t>Spec §30, §32</t>
        </is>
      </c>
      <c r="R32" s="74" t="inlineStr">
        <is>
          <t>Formerly 5S5-DATA-02 (Phase 5 became Phase 6, 2026-10-27).</t>
        </is>
      </c>
    </row>
    <row r="33" ht="23.85" customHeight="1" s="75">
      <c r="A33" s="104" t="n">
        <v>28</v>
      </c>
      <c r="B33" s="105" t="inlineStr">
        <is>
          <t>6S5-FE-01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6S5-DATA-01</t>
        </is>
      </c>
      <c r="P33" s="80" t="inlineStr">
        <is>
          <t>Dashboard renders virtual delivery with gross and viewable clearly separated</t>
        </is>
      </c>
      <c r="Q33" s="82" t="inlineStr">
        <is>
          <t>Spec §26 P4-07</t>
        </is>
      </c>
      <c r="R33" s="74" t="inlineStr">
        <is>
          <t>Formerly 5S5-FE-01 (Phase 5 became Phase 6, 2026-10-27).</t>
        </is>
      </c>
    </row>
    <row r="34" ht="23.85" customHeight="1" s="75">
      <c r="A34" s="104" t="n">
        <v>29</v>
      </c>
      <c r="B34" s="105" t="inlineStr">
        <is>
          <t>6S5-BE-02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6S5-DATA-02</t>
        </is>
      </c>
      <c r="P34" s="80" t="inlineStr">
        <is>
          <t>A virtual placement produces a recommended rate with its factor breakdown visible</t>
        </is>
      </c>
      <c r="Q34" s="82" t="inlineStr">
        <is>
          <t>Spec §32</t>
        </is>
      </c>
      <c r="R34" s="74" t="inlineStr">
        <is>
          <t>Formerly 5S5-BE-02 (Phase 5 became Phase 6, 2026-10-27).</t>
        </is>
      </c>
    </row>
    <row r="35" ht="23.85" customHeight="1" s="75">
      <c r="A35" s="104" t="n">
        <v>30</v>
      </c>
      <c r="B35" s="105" t="inlineStr">
        <is>
          <t>6S6-BE-01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74" t="inlineStr">
        <is>
          <t>Formerly 5S6-BE-01 (Phase 5 became Phase 6, 2026-10-27).</t>
        </is>
      </c>
    </row>
    <row r="36" ht="23.85" customHeight="1" s="75">
      <c r="A36" s="104" t="n">
        <v>31</v>
      </c>
      <c r="B36" s="105" t="inlineStr">
        <is>
          <t>6S6-BE-02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6S6-BE-01</t>
        </is>
      </c>
      <c r="P36" s="80" t="inlineStr">
        <is>
          <t>Activation can start and complete, validated against its eligibility rules</t>
        </is>
      </c>
      <c r="Q36" s="82" t="inlineStr">
        <is>
          <t>Spec §27.4</t>
        </is>
      </c>
      <c r="R36" s="74" t="inlineStr">
        <is>
          <t>Formerly 5S6-BE-02 (Phase 5 became Phase 6, 2026-10-27).</t>
        </is>
      </c>
    </row>
    <row r="37" ht="23.85" customHeight="1" s="75">
      <c r="A37" s="104" t="n">
        <v>32</v>
      </c>
      <c r="B37" s="105" t="inlineStr">
        <is>
          <t>6S6-BE-03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6S6-BE-02</t>
        </is>
      </c>
      <c r="P37" s="80" t="inlineStr">
        <is>
          <t>An activation triggers a SponsorX reward exactly once per configured eligibility rule</t>
        </is>
      </c>
      <c r="Q37" s="82" t="inlineStr">
        <is>
          <t>Spec §34</t>
        </is>
      </c>
      <c r="R37" s="74" t="inlineStr">
        <is>
          <t>Formerly 5S6-BE-03 (Phase 5 became Phase 6, 2026-10-27).</t>
        </is>
      </c>
    </row>
    <row r="38" ht="23.85" customHeight="1" s="75">
      <c r="A38" s="104" t="n">
        <v>33</v>
      </c>
      <c r="B38" s="105" t="inlineStr">
        <is>
          <t>6S6-INT-01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6S6-BE-03</t>
        </is>
      </c>
      <c r="P38" s="80" t="inlineStr">
        <is>
          <t>A completed activation delivers a reward through the existing reward and wallet services</t>
        </is>
      </c>
      <c r="Q38" s="82" t="inlineStr">
        <is>
          <t>Spec §27.4</t>
        </is>
      </c>
      <c r="R38" s="74" t="inlineStr">
        <is>
          <t>Formerly 5S6-INT-01 (Phase 5 became Phase 6, 2026-10-27).</t>
        </is>
      </c>
    </row>
    <row r="39" ht="23.85" customHeight="1" s="75">
      <c r="A39" s="104" t="n">
        <v>34</v>
      </c>
      <c r="B39" s="105" t="inlineStr">
        <is>
          <t>6S6-FE-01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6S8-ART-01</t>
        </is>
      </c>
      <c r="P39" s="80" t="inlineStr">
        <is>
          <t>A campaign manager can build and publish an activation without engineering help</t>
        </is>
      </c>
      <c r="Q39" s="82" t="inlineStr">
        <is>
          <t>Spec §26 P4-06</t>
        </is>
      </c>
      <c r="R39" s="74" t="inlineStr">
        <is>
          <t>Formerly 5S6-FE-01 (Phase 5 became Phase 6, 2026-10-27).</t>
        </is>
      </c>
    </row>
    <row r="40" ht="23.85" customHeight="1" s="75">
      <c r="A40" s="104" t="n">
        <v>35</v>
      </c>
      <c r="B40" s="105" t="inlineStr">
        <is>
          <t>6S7-DATA-01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c r="R40" s="74" t="inlineStr">
        <is>
          <t>Formerly 5S7-DATA-01 (Phase 5 became Phase 6, 2026-10-27).</t>
        </is>
      </c>
    </row>
    <row r="41" ht="23.85" customHeight="1" s="75">
      <c r="A41" s="104" t="n">
        <v>36</v>
      </c>
      <c r="B41" s="105" t="inlineStr">
        <is>
          <t>6S7-FE-01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6S7-DATA-01</t>
        </is>
      </c>
      <c r="P41" s="80" t="inlineStr">
        <is>
          <t>Dashboard compares all channels on consistent metrics</t>
        </is>
      </c>
      <c r="Q41" s="82" t="inlineStr">
        <is>
          <t>Spec §26 P4-08</t>
        </is>
      </c>
      <c r="R41" s="74" t="inlineStr">
        <is>
          <t>Formerly 5S7-FE-01 (Phase 5 became Phase 6, 2026-10-27).</t>
        </is>
      </c>
    </row>
    <row r="42" ht="22.35" customHeight="1" s="75">
      <c r="A42" s="104" t="n">
        <v>37</v>
      </c>
      <c r="B42" s="105" t="inlineStr">
        <is>
          <t>6S7-FE-02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6S5-FE-01</t>
        </is>
      </c>
      <c r="P42" s="80" t="inlineStr">
        <is>
          <t>A pilot sponsor receives a report with virtual delivery, interaction, reward funnel and creative proof</t>
        </is>
      </c>
      <c r="Q42" s="82" t="inlineStr">
        <is>
          <t>Spec §26 P4-11, §34</t>
        </is>
      </c>
      <c r="R42" s="74" t="inlineStr">
        <is>
          <t>Formerly 5S7-FE-02 (Phase 5 became Phase 6, 2026-10-27).</t>
        </is>
      </c>
    </row>
    <row r="43" ht="23.85" customHeight="1" s="75">
      <c r="A43" s="104" t="n">
        <v>38</v>
      </c>
      <c r="B43" s="105" t="inlineStr">
        <is>
          <t>6S7-FE-03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6S5-DATA-02</t>
        </is>
      </c>
      <c r="P43" s="80" t="inlineStr">
        <is>
          <t>Heatmap renders zone-level traffic and engagement</t>
        </is>
      </c>
      <c r="Q43" s="82" t="inlineStr">
        <is>
          <t>Spec §26 P4-12</t>
        </is>
      </c>
      <c r="R43" s="74" t="inlineStr">
        <is>
          <t>Formerly 5S7-FE-03 (Phase 5 became Phase 6, 2026-10-27).</t>
        </is>
      </c>
    </row>
    <row r="44" ht="22.35" customHeight="1" s="75">
      <c r="A44" s="104" t="n">
        <v>39</v>
      </c>
      <c r="B44" s="105" t="inlineStr">
        <is>
          <t>6S7-FE-04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c r="R44" s="74" t="inlineStr">
        <is>
          <t>Formerly 5S7-FE-04 (Phase 5 became Phase 6, 2026-10-27).</t>
        </is>
      </c>
    </row>
    <row r="45" ht="23.85" customHeight="1" s="75">
      <c r="A45" s="104" t="n">
        <v>40</v>
      </c>
      <c r="B45" s="105" t="inlineStr">
        <is>
          <t>6S7-DATA-02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6S4-BE-01</t>
        </is>
      </c>
      <c r="P45" s="80" t="inlineStr">
        <is>
          <t>Suspicious event patterns are flagged and excluded from sponsor-facing aggregates</t>
        </is>
      </c>
      <c r="Q45" s="82" t="inlineStr">
        <is>
          <t>Spec §27.3</t>
        </is>
      </c>
      <c r="R45" s="74" t="inlineStr">
        <is>
          <t>Formerly 5S7-DATA-02 (Phase 5 became Phase 6, 2026-10-27).</t>
        </is>
      </c>
    </row>
    <row r="46" ht="23.85" customHeight="1" s="75">
      <c r="A46" s="104" t="n">
        <v>41</v>
      </c>
      <c r="B46" s="105" t="inlineStr">
        <is>
          <t>6S8-ART-01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 | Formerly 5S8-ART-01 (Phase 5 became Phase 6, 2026-10-27).</t>
        </is>
      </c>
    </row>
    <row r="47" ht="22.35" customHeight="1" s="75">
      <c r="A47" s="104" t="n">
        <v>42</v>
      </c>
      <c r="B47" s="105" t="inlineStr">
        <is>
          <t>6S8-FE-01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6S8-ART-01</t>
        </is>
      </c>
      <c r="P47" s="80" t="inlineStr">
        <is>
          <t>Admin can register and manage worlds and zones</t>
        </is>
      </c>
      <c r="Q47" s="82" t="inlineStr">
        <is>
          <t>Spec §26 P4-01</t>
        </is>
      </c>
      <c r="R47" s="74" t="inlineStr">
        <is>
          <t>Formerly 5S8-FE-01 (Phase 5 became Phase 6, 2026-10-27).</t>
        </is>
      </c>
    </row>
    <row r="48" ht="23.85" customHeight="1" s="75">
      <c r="A48" s="104" t="n">
        <v>43</v>
      </c>
      <c r="B48" s="105" t="inlineStr">
        <is>
          <t>6S8-FE-02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c r="R48" s="74" t="inlineStr">
        <is>
          <t>Formerly 5S8-FE-02 (Phase 5 became Phase 6, 2026-10-27).</t>
        </is>
      </c>
    </row>
    <row r="49" ht="23.85" customHeight="1" s="75">
      <c r="A49" s="104" t="n">
        <v>44</v>
      </c>
      <c r="B49" s="105" t="inlineStr">
        <is>
          <t>6S8-FE-03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c r="R49" s="74" t="inlineStr">
        <is>
          <t>Formerly 5S8-FE-03 (Phase 5 became Phase 6, 2026-10-27).</t>
        </is>
      </c>
    </row>
    <row r="50" ht="23.85" customHeight="1" s="75">
      <c r="A50" s="104" t="n">
        <v>45</v>
      </c>
      <c r="B50" s="105" t="inlineStr">
        <is>
          <t>6S8-FE-04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6S8-ART-01</t>
        </is>
      </c>
      <c r="P50" s="80" t="inlineStr">
        <is>
          <t>Staff can run the full deployment lifecycle from the console</t>
        </is>
      </c>
      <c r="Q50" s="82" t="inlineStr">
        <is>
          <t>Spec §26 P4-05</t>
        </is>
      </c>
      <c r="R50" s="74" t="inlineStr">
        <is>
          <t>Formerly 5S8-FE-04 (Phase 5 became Phase 6, 2026-10-27).</t>
        </is>
      </c>
    </row>
    <row r="51" ht="23.85" customHeight="1" s="75">
      <c r="A51" s="104" t="n">
        <v>46</v>
      </c>
      <c r="B51" s="105" t="inlineStr">
        <is>
          <t>6S8-BE-01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c r="R51" s="74" t="inlineStr">
        <is>
          <t>Formerly 5S8-BE-01 (Phase 5 became Phase 6, 2026-10-27).</t>
        </is>
      </c>
    </row>
    <row r="52" s="75">
      <c r="A52" s="104" t="n">
        <v>47</v>
      </c>
      <c r="B52" s="105" t="inlineStr">
        <is>
          <t>6S8-BE-02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6S8-BE-01</t>
        </is>
      </c>
      <c r="P52" s="80" t="inlineStr">
        <is>
          <t>Incidents are logged, tracked and closable with notes</t>
        </is>
      </c>
      <c r="Q52" s="82" t="inlineStr">
        <is>
          <t>Spec §30</t>
        </is>
      </c>
      <c r="R52" s="74" t="inlineStr">
        <is>
          <t>Formerly 5S8-BE-02 (Phase 5 became Phase 6, 2026-10-27).</t>
        </is>
      </c>
    </row>
    <row r="53" s="75">
      <c r="A53" s="104" t="n">
        <v>48</v>
      </c>
      <c r="B53" s="105" t="inlineStr">
        <is>
          <t>6S8-PMO-01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6S8-FE-01, 6S8-FE-02, 6S8-FE-03, 6S8-FE-04, 6S8-BE-02</t>
        </is>
      </c>
      <c r="P53" s="80" t="inlineStr">
        <is>
          <t>Phase 6 criteria 14 and 15 demonstrated and signed off</t>
        </is>
      </c>
      <c r="Q53" s="82" t="inlineStr">
        <is>
          <t>Spec §34</t>
        </is>
      </c>
      <c r="R53" s="74" t="inlineStr">
        <is>
          <t>Changed 2026-10-16 (user): no longer waits on the pilot world (now Phase 6). | Formerly 5S8-PMO-01 (Phase 5 became Phase 6, 2026-10-27).</t>
        </is>
      </c>
    </row>
    <row r="54" s="75">
      <c r="A54" s="104" t="n">
        <v>49</v>
      </c>
      <c r="B54" s="105" t="inlineStr">
        <is>
          <t>6S8-OPS-01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6S8-PMO-01</t>
        </is>
      </c>
      <c r="P54" s="80" t="inlineStr">
        <is>
          <t>Production rollout complete with monitoring, alerting and an incident runbook</t>
        </is>
      </c>
      <c r="Q54" s="82" t="inlineStr">
        <is>
          <t>Spec §31, §38</t>
        </is>
      </c>
      <c r="R54" s="74" t="inlineStr">
        <is>
          <t>Formerly 5S8-OPS-01 (Phase 5 became Phase 6, 2026-10-27).</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Done</t>
        </is>
      </c>
      <c r="K5" s="74" t="n">
        <v>3</v>
      </c>
      <c r="L5" s="162" t="n">
        <v>46315</v>
      </c>
      <c r="M5" s="162" t="n">
        <v>46317</v>
      </c>
      <c r="N5" s="74" t="inlineStr">
        <is>
          <t>rcfworks</t>
        </is>
      </c>
      <c r="O5" s="74" t="n">
        <v>0</v>
      </c>
      <c r="Q5" s="74" t="inlineStr">
        <is>
          <t>Template delivered, versioned, approved for production use</t>
        </is>
      </c>
      <c r="R5" s="74" t="inlineStr">
        <is>
          <t>§12, §26</t>
        </is>
      </c>
      <c r="S5" s="74" t="inlineStr">
        <is>
          <t>Moved to the Legal sheet 2026-09-15. Unblocks reset to 0: no development task depends on legal approval. Approved 2026-10-22 by rcfworks with Rodney's delegated authority (SponsorX Legal folder); issued in the app as v2 (P8-BE-07).</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Done</t>
        </is>
      </c>
      <c r="K6" s="74" t="n">
        <v>1</v>
      </c>
      <c r="L6" s="162" t="n">
        <v>46315</v>
      </c>
      <c r="M6" s="162" t="n">
        <v>46317</v>
      </c>
      <c r="N6" s="74" t="inlineStr">
        <is>
          <t>rcfworks</t>
        </is>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 Approved 2026-10-22 by rcfworks with Rodney's delegated authority (SponsorX Legal folder); issued in the app as v2 (P8-BE-07). Answer: click-to-accept by a verified guardian is sufficient (Option A); no e-sign vendor.</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Done</t>
        </is>
      </c>
      <c r="K7" s="74" t="n">
        <v>3</v>
      </c>
      <c r="L7" s="162" t="n">
        <v>46315</v>
      </c>
      <c r="M7" s="162" t="n">
        <v>46317</v>
      </c>
      <c r="N7" s="74" t="inlineStr">
        <is>
          <t>rcfworks</t>
        </is>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 Approved 2026-10-22 by rcfworks with Rodney's delegated authority (SponsorX Legal folder); issued in the app as v2 (P8-BE-07).</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Done</t>
        </is>
      </c>
      <c r="K8" s="74" t="n">
        <v>3</v>
      </c>
      <c r="L8" s="162" t="n">
        <v>46315</v>
      </c>
      <c r="M8" s="162" t="n">
        <v>46317</v>
      </c>
      <c r="N8" s="74" t="inlineStr">
        <is>
          <t>rcfworks</t>
        </is>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 Approved 2026-10-22 by rcfworks with Rodney's delegated authority (SponsorX Legal folder); issued in the app as v2 (P8-BE-07).</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Done</t>
        </is>
      </c>
      <c r="K9" s="74" t="n">
        <v>0.5</v>
      </c>
      <c r="L9" s="162" t="n">
        <v>46315</v>
      </c>
      <c r="M9" s="162" t="n">
        <v>46317</v>
      </c>
      <c r="N9" s="74" t="inlineStr">
        <is>
          <t>rcfworks</t>
        </is>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 Approved 2026-10-22 by rcfworks with Rodney's delegated authority (SponsorX Legal folder); issued in the app as v2 (P8-BE-07).</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Done</t>
        </is>
      </c>
      <c r="K10" s="74" t="n">
        <v>0.5</v>
      </c>
      <c r="L10" s="162" t="n">
        <v>46315</v>
      </c>
      <c r="M10" s="162" t="n">
        <v>46317</v>
      </c>
      <c r="N10" s="74" t="inlineStr">
        <is>
          <t>rcfworks</t>
        </is>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 Approved 2026-10-22 by rcfworks with Rodney's delegated authority (SponsorX Legal folder); issued in the app as v2 (P8-BE-07).</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Done</t>
        </is>
      </c>
      <c r="K11" s="74" t="n">
        <v>5</v>
      </c>
      <c r="L11" s="162" t="n">
        <v>46315</v>
      </c>
      <c r="M11" s="162" t="n">
        <v>46317</v>
      </c>
      <c r="N11" s="74" t="inlineStr">
        <is>
          <t>rcfworks</t>
        </is>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 Approved 2026-10-22 by rcfworks with Rodney's delegated authority (SponsorX Legal folder); issued in the app as v2 (P8-BE-07).</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Done</t>
        </is>
      </c>
      <c r="K12" s="74" t="n">
        <v>0.5</v>
      </c>
      <c r="L12" s="162" t="n">
        <v>46315</v>
      </c>
      <c r="M12" s="162" t="n">
        <v>46317</v>
      </c>
      <c r="N12" s="74" t="inlineStr">
        <is>
          <t>rcfworks</t>
        </is>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 Approved 2026-10-22 by rcfworks with Rodney's delegated authority (SponsorX Legal folder); issued in the app as v2 (P8-BE-07). The four proposed answers in document 7 confirmed; no app change; the Stripe tax-reporting switch is a go-live step.</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Done</t>
        </is>
      </c>
      <c r="K13" s="74" t="n">
        <v>3</v>
      </c>
      <c r="L13" s="162" t="n">
        <v>46315</v>
      </c>
      <c r="M13" s="162" t="n">
        <v>46317</v>
      </c>
      <c r="N13" s="74" t="inlineStr">
        <is>
          <t>rcfworks</t>
        </is>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 Approved 2026-10-22 by rcfworks with Rodney's delegated authority (SponsorX Legal folder); issued in the app as v2 (P8-BE-07). Report renamed Campaign Results Report with the approved foot note; results-screen labels are P8-FE-08.</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1.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 6</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2026-10-27T06:47:49Z</dcterms:modified>
  <cp:revision>0</cp:revision>
</cp:coreProperties>
</file>