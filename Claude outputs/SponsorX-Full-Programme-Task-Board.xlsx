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olish" sheetId="4" state="visible" r:id="rId4"/>
    <sheet name="Phase 1" sheetId="5" state="visible" r:id="rId5"/>
    <sheet name="Phase 2" sheetId="6" state="visible" r:id="rId6"/>
    <sheet name="Phase 3" sheetId="7" state="visible" r:id="rId7"/>
    <sheet name="Phase 4" sheetId="8" state="visible" r:id="rId8"/>
    <sheet name="Phase 5" sheetId="9" state="visible" r:id="rId9"/>
    <sheet name="Phase 6" sheetId="10" state="visible" r:id="rId10"/>
    <sheet name="Legal" sheetId="11" state="visible" r:id="rId11"/>
    <sheet name="Legend" sheetId="12" state="visible" r:id="rId12"/>
  </sheets>
  <definedNames>
    <definedName name="_xlnm._FilterDatabase" localSheetId="3" hidden="1">'Polish'!$A$4:$R$57</definedName>
    <definedName name="_xlnm._FilterDatabase" localSheetId="4" hidden="1">'Phase 1'!$A$4:$R$330</definedName>
    <definedName name="_xlnm._FilterDatabase" localSheetId="5" hidden="1">'Phase 2'!$A$4:$R$144</definedName>
    <definedName name="_xlnm._FilterDatabase" localSheetId="6" hidden="1">'Phase 3'!$A$4:$R$66</definedName>
    <definedName name="_xlnm._FilterDatabase" localSheetId="7" hidden="1">'Phase 4'!$A$4:$R$23</definedName>
    <definedName name="_xlnm._FilterDatabase" localSheetId="8" hidden="1">'Phase 5'!$A$4:$R$6</definedName>
    <definedName name="_xlnm._FilterDatabase" localSheetId="9" hidden="1">'Phase 6'!$A$4:$R$54</definedName>
    <definedName name="_xlnm._FilterDatabase" localSheetId="10"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6"/>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Six phases (the blueprint's four; the INFINEX game split out on 2026-10-16 and became Phase 6 on 2026-10-27, when the Certified Recruiting partnership took Phase 5), 356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SponsorX's side as built (all Done). Every open task moved on 2026-10-20 to the game phase (Phase 6 since 2026-10-27): the game is parked</t>
        </is>
      </c>
      <c r="C8" s="85" t="n">
        <v>19</v>
      </c>
      <c r="D8" s="85" t="n">
        <v>62</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Certified Recruiting partnership: SponsorX and certified-recruiting.com link to each other (the site is already built on GoDaddy; BTG already links to it)</t>
        </is>
      </c>
      <c r="C9" s="85" t="n">
        <v>2</v>
      </c>
      <c r="D9" s="85" t="n">
        <v>2</v>
      </c>
      <c r="E9" s="86" t="inlineStr">
        <is>
          <t>—</t>
        </is>
      </c>
      <c r="F9" s="86" t="inlineStr">
        <is>
          <t>—</t>
        </is>
      </c>
      <c r="G9" s="84" t="inlineStr">
        <is>
          <t>certified-recruiting.com, live</t>
        </is>
      </c>
    </row>
    <row r="10" ht="15" customHeight="1" s="75">
      <c r="A10" s="88" t="inlineStr">
        <is>
          <t>Phase 6</t>
        </is>
      </c>
      <c r="B10" s="84" t="inlineStr">
        <is>
          <t>INFINEX game integration: the in-game connector, the staging world test, the pilot world, calibrated virtual pricing, and player accounts (email, Google, Apple, authenticator) with a live connection</t>
        </is>
      </c>
      <c r="C10" s="85" t="n">
        <v>50</v>
      </c>
      <c r="D10" s="85" t="n">
        <v>198</v>
      </c>
      <c r="E10" s="86" t="inlineStr">
        <is>
          <t>after the game's staging world exists</t>
        </is>
      </c>
      <c r="F10" s="86" t="inlineStr">
        <is>
          <t>—</t>
        </is>
      </c>
      <c r="G10" s="84" t="inlineStr">
        <is>
          <t>The INFINEX game (not started 2026-10-16), Phase 4's endpoints</t>
        </is>
      </c>
    </row>
    <row r="11" s="75">
      <c r="A11" s="89" t="inlineStr">
        <is>
          <t>TOTAL</t>
        </is>
      </c>
      <c r="B11" s="89" t="inlineStr">
        <is>
          <t>Full SponsorX platform</t>
        </is>
      </c>
      <c r="C11" s="89">
        <f>SUM(C5:C10)</f>
        <v/>
      </c>
      <c r="D11" s="89">
        <f>SUM(D5:D10)</f>
        <v/>
      </c>
      <c r="E11" s="89" t="inlineStr">
        <is>
          <t>66–82 weeks</t>
        </is>
      </c>
      <c r="F11" s="89" t="inlineStr">
        <is>
          <t>$350K–$535K</t>
        </is>
      </c>
      <c r="G11" s="89" t="n"/>
    </row>
    <row r="12" s="75"/>
    <row r="13" ht="15" customHeight="1" s="75">
      <c r="A13" s="90" t="inlineStr">
        <is>
          <t>WHERE THE WORK HAPPENS</t>
        </is>
      </c>
    </row>
    <row r="14" ht="27.75" customHeight="1" s="75">
      <c r="A14" s="91" t="inlineStr">
        <is>
          <t>Why this column exists</t>
        </is>
      </c>
      <c r="B14" s="92" t="inlineStr">
        <is>
          <t>A task that says 'create the Zoho module' and a task that says 'author the Zoho mapping document' look identical in a list — but one is click-work in an admin UI and the other is a written spec. Every task now states which.</t>
        </is>
      </c>
    </row>
    <row r="15" ht="15" customHeight="1" s="75">
      <c r="A15" s="91" t="inlineStr">
        <is>
          <t>Document</t>
        </is>
      </c>
      <c r="B15" s="92" t="inlineStr">
        <is>
          <t>A written decision or specification. No system is touched — the output is a document people agree on.</t>
        </is>
      </c>
    </row>
    <row r="16" ht="15" customHeight="1" s="75">
      <c r="A16" s="91" t="inlineStr">
        <is>
          <t>Zoho dashboard</t>
        </is>
      </c>
      <c r="B16" s="92" t="inlineStr">
        <is>
          <t>Configuration clicked through the Zoho CRM admin UI (Setup → Modules and Fields, API credentials, users).</t>
        </is>
      </c>
    </row>
    <row r="17" ht="15" customHeight="1" s="75">
      <c r="A17" s="91" t="inlineStr">
        <is>
          <t>Vendor console</t>
        </is>
      </c>
      <c r="B17" s="92" t="inlineStr">
        <is>
          <t>Configuration in a vendor's own UI — Railway, Cloudflare, Clerk, the payment or email provider.</t>
        </is>
      </c>
    </row>
    <row r="18" ht="15" customHeight="1" s="75">
      <c r="A18" s="91" t="inlineStr">
        <is>
          <t>Code</t>
        </is>
      </c>
      <c r="B18" s="92" t="inlineStr">
        <is>
          <t>Work in the repository: schema, domain logic, routes, worker jobs, UI, tests, CI.</t>
        </is>
      </c>
    </row>
    <row r="19" ht="15" customHeight="1" s="75">
      <c r="A19" s="91" t="inlineStr">
        <is>
          <t>Code + console</t>
        </is>
      </c>
      <c r="B19" s="92" t="inlineStr">
        <is>
          <t>Both: something configured at the vendor AND wired in the codebase.</t>
        </is>
      </c>
    </row>
    <row r="20" ht="15" customHeight="1" s="75">
      <c r="A20" s="91" t="inlineStr">
        <is>
          <t>Design tool</t>
        </is>
      </c>
      <c r="B20" s="92" t="inlineStr">
        <is>
          <t>Visual design work producing artwork, diagrams or screen designs.</t>
        </is>
      </c>
    </row>
    <row r="21" ht="15" customHeight="1" s="75">
      <c r="A21" s="91" t="inlineStr">
        <is>
          <t>Document + code</t>
        </is>
      </c>
      <c r="B21" s="92" t="inlineStr">
        <is>
          <t>A written policy that must then be enforced in the codebase.</t>
        </is>
      </c>
    </row>
    <row r="22" ht="15" customHeight="1" s="75">
      <c r="A22" s="91" t="inlineStr">
        <is>
          <t>External · counsel</t>
        </is>
      </c>
      <c r="B22" s="92" t="inlineStr">
        <is>
          <t>Performed by a lawyer, not the team. Longest lead times in the programme — start these early.</t>
        </is>
      </c>
    </row>
    <row r="23" s="75"/>
    <row r="24" ht="15" customHeight="1" s="75">
      <c r="A24" s="90" t="inlineStr">
        <is>
          <t>HOW TO READ THIS WORKBOOK</t>
        </is>
      </c>
    </row>
    <row r="25" ht="15" customHeight="1" s="75">
      <c r="A25" s="91" t="inlineStr">
        <is>
          <t>One sheet per phase</t>
        </is>
      </c>
      <c r="B25" s="92" t="inlineStr">
        <is>
          <t>Phase 1–5, identical 18 columns, so they behave the same way.</t>
        </is>
      </c>
    </row>
    <row r="26" ht="27.75" customHeight="1" s="75">
      <c r="A26" s="91" t="inlineStr">
        <is>
          <t>Task IDs</t>
        </is>
      </c>
      <c r="B26" s="92" t="inlineStr">
        <is>
          <t>Phase 1: P{stage}-{CAT}-{nn}, e.g. P4-BE-03. Phases 2–6: {phase}S{sprint}-{CAT}-{nn}, e.g. 2S5-BE-04 = Phase 2, Sprint 5, Backend, task 04. IDs never change — cite them in branches and commits.</t>
        </is>
      </c>
    </row>
    <row r="27" ht="15" customHeight="1" s="75">
      <c r="A27" s="91" t="inlineStr">
        <is>
          <t>Order</t>
        </is>
      </c>
      <c r="B27" s="92" t="inlineStr">
        <is>
          <t>A dependency-respecting sort key, recomputed whenever tasks are added. It can shift; the ID cannot.</t>
        </is>
      </c>
    </row>
    <row r="28" ht="15" customHeight="1" s="75">
      <c r="A28" s="91" t="inlineStr">
        <is>
          <t>Status</t>
        </is>
      </c>
      <c r="B28" s="92" t="inlineStr">
        <is>
          <t>Phase 1 is live. Every Phase 2–4 task starts Blocked because Phase 1 must finish first. Phase 5 (Certified Recruiting) is live. Phase 6 waits for the INFINEX game.</t>
        </is>
      </c>
    </row>
    <row r="29" ht="15" customHeight="1" s="75">
      <c r="A29" s="91" t="inlineStr">
        <is>
          <t>Weight</t>
        </is>
      </c>
      <c r="B29" s="92" t="inlineStr">
        <is>
          <t>S=1 · M=3 · L=5 person-days. Estimates for one person, not calendar commitments.</t>
        </is>
      </c>
    </row>
    <row r="30" s="75"/>
    <row r="31" ht="15" customHeight="1" s="75">
      <c r="A31" s="90" t="inlineStr">
        <is>
          <t>PHASE OVERLAP</t>
        </is>
      </c>
    </row>
    <row r="32" ht="27.75" customHeight="1" s="75">
      <c r="A32" s="91" t="inlineStr">
        <is>
          <t>Permitted</t>
        </is>
      </c>
      <c r="B32" s="92" t="inlineStr">
        <is>
          <t>Begin Phase 3 warehouse and event modelling during the final 4–6 weeks of Phase 2. Begin the Phase 4 API contract and placement taxonomy during the final 4 weeks of Phase 3.</t>
        </is>
      </c>
    </row>
    <row r="33" ht="27.75" customHeight="1" s="75">
      <c r="A33" s="91" t="inlineStr">
        <is>
          <t>Forbidden</t>
        </is>
      </c>
      <c r="B33"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6, 6S2-QA-01).</t>
        </is>
      </c>
    </row>
    <row r="34" s="75"/>
    <row r="35" ht="15" customHeight="1" s="75">
      <c r="A35" s="90" t="inlineStr">
        <is>
          <t>SCOPE REALITY</t>
        </is>
      </c>
    </row>
    <row r="36" ht="27.75" customHeight="1" s="75">
      <c r="A36" s="91" t="inlineStr">
        <is>
          <t>Team size</t>
        </is>
      </c>
      <c r="B36" s="92" t="inlineStr">
        <is>
          <t>The blueprint staffs Phase 1 at 4.5–7.5 FTE and Phases 2–4 higher. The team is two people. Phase 1 alone is ~44 weeks at that size. Scope, not stack, is the binding constraint.</t>
        </is>
      </c>
    </row>
    <row r="37" s="75"/>
  </sheetData>
  <mergeCells count="19">
    <mergeCell ref="B14:G14"/>
    <mergeCell ref="B17:G17"/>
    <mergeCell ref="B29:G29"/>
    <mergeCell ref="B19:G19"/>
    <mergeCell ref="B28:G28"/>
    <mergeCell ref="B15:G15"/>
    <mergeCell ref="B33:G33"/>
    <mergeCell ref="B20:G20"/>
    <mergeCell ref="A1:G1"/>
    <mergeCell ref="B36:G36"/>
    <mergeCell ref="B32:G32"/>
    <mergeCell ref="B26:G26"/>
    <mergeCell ref="B25:G25"/>
    <mergeCell ref="B16:G16"/>
    <mergeCell ref="B22:G22"/>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six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94" t="inlineStr">
        <is>
          <t>Phase 6</t>
        </is>
      </c>
      <c r="B10" s="85">
        <f>COUNTIF('Phase 6'!$I$5:$I$100,"Ready")</f>
        <v/>
      </c>
      <c r="C10" s="85">
        <f>COUNTIF('Phase 6'!$I$5:$I$100,"In progress")</f>
        <v/>
      </c>
      <c r="D10" s="85">
        <f>COUNTIF('Phase 6'!$I$5:$I$100,"Code review")</f>
        <v/>
      </c>
      <c r="E10" s="85">
        <f>COUNTIF('Phase 6'!$I$5:$I$100,"Blocked")</f>
        <v/>
      </c>
      <c r="F10" s="85">
        <f>COUNTIF('Phase 6'!$I$5:$I$100,"Done")</f>
        <v/>
      </c>
      <c r="G10" s="85">
        <f>COUNTA('Phase 6'!$B$5:$B$100)</f>
        <v/>
      </c>
      <c r="H10" s="85">
        <f>SUMIF('Phase 6'!$I$5:$I$100,"&lt;&gt;Done",'Phase 6'!$J$5:$J$100)</f>
        <v/>
      </c>
    </row>
    <row r="11" ht="15" customHeight="1" s="75">
      <c r="A11" s="89" t="inlineStr">
        <is>
          <t>TOTAL</t>
        </is>
      </c>
      <c r="B11" s="89">
        <f>SUM(B5:B10)</f>
        <v/>
      </c>
      <c r="C11" s="89">
        <f>SUM(C5:C10)</f>
        <v/>
      </c>
      <c r="D11" s="89">
        <f>SUM(D5:D10)</f>
        <v/>
      </c>
      <c r="E11" s="89">
        <f>SUM(E5:E10)</f>
        <v/>
      </c>
      <c r="F11" s="89">
        <f>SUM(F5:F10)</f>
        <v/>
      </c>
      <c r="G11" s="89">
        <f>SUM(G5:G10)</f>
        <v/>
      </c>
      <c r="H11" s="89">
        <f>SUM(H5:H10)</f>
        <v/>
      </c>
    </row>
    <row r="12" ht="21.75" customHeight="1" s="75">
      <c r="A12" s="90" t="inlineStr">
        <is>
          <t>BY WHERE THE WORK HAPPENS</t>
        </is>
      </c>
    </row>
    <row r="13" ht="15" customHeight="1" s="75">
      <c r="A13" s="78" t="n"/>
      <c r="B13" s="78" t="inlineStr">
        <is>
          <t>Phase 1</t>
        </is>
      </c>
      <c r="C13" s="78" t="inlineStr">
        <is>
          <t>Phase 2</t>
        </is>
      </c>
      <c r="D13" s="78" t="inlineStr">
        <is>
          <t>Phase 3</t>
        </is>
      </c>
      <c r="E13" s="78" t="inlineStr">
        <is>
          <t>Phase 4</t>
        </is>
      </c>
      <c r="F13" s="78" t="inlineStr">
        <is>
          <t>Phase 5</t>
        </is>
      </c>
      <c r="G13" s="78" t="inlineStr">
        <is>
          <t>Phase 6</t>
        </is>
      </c>
      <c r="H13" s="78" t="inlineStr">
        <is>
          <t>Total</t>
        </is>
      </c>
    </row>
    <row r="14" ht="15" customHeight="1" s="75">
      <c r="A14" s="97" t="inlineStr">
        <is>
          <t>Document</t>
        </is>
      </c>
      <c r="B14" s="81">
        <f>COUNTIF('Phase 1'!$F$5:$F$400,"Document")</f>
        <v/>
      </c>
      <c r="C14" s="81">
        <f>COUNTIF('Phase 2'!$F$5:$F$144,"Document")</f>
        <v/>
      </c>
      <c r="D14" s="81">
        <f>COUNTIF('Phase 3'!$F$5:$F$66,"Document")</f>
        <v/>
      </c>
      <c r="E14" s="81">
        <f>COUNTIF('Phase 4'!$F$5:$F$51,"Document")</f>
        <v/>
      </c>
      <c r="F14" s="81">
        <f>COUNTIF('Phase 5'!$F$5:$F$100,"Document")</f>
        <v/>
      </c>
      <c r="G14" s="81">
        <f>COUNTIF('Phase 6'!$F$5:$F$100,"Document")</f>
        <v/>
      </c>
      <c r="H14" s="81">
        <f>SUM(B14:G14)</f>
        <v/>
      </c>
    </row>
    <row r="15" ht="15" customHeight="1" s="75">
      <c r="A15" s="98" t="inlineStr">
        <is>
          <t>Zoho dashboard</t>
        </is>
      </c>
      <c r="B15" s="81">
        <f>COUNTIF('Phase 1'!$F$5:$F$400,"Zoho dashboard")</f>
        <v/>
      </c>
      <c r="C15" s="81">
        <f>COUNTIF('Phase 2'!$F$5:$F$144,"Zoho dashboard")</f>
        <v/>
      </c>
      <c r="D15" s="81">
        <f>COUNTIF('Phase 3'!$F$5:$F$66,"Zoho dashboard")</f>
        <v/>
      </c>
      <c r="E15" s="81">
        <f>COUNTIF('Phase 4'!$F$5:$F$51,"Zoho dashboard")</f>
        <v/>
      </c>
      <c r="F15" s="81">
        <f>COUNTIF('Phase 5'!$F$5:$F$100,"Zoho dashboard")</f>
        <v/>
      </c>
      <c r="G15" s="81">
        <f>COUNTIF('Phase 6'!$F$5:$F$100,"Zoho dashboard")</f>
        <v/>
      </c>
      <c r="H15" s="81">
        <f>SUM(B15:G15)</f>
        <v/>
      </c>
    </row>
    <row r="16" ht="15" customHeight="1" s="75">
      <c r="A16" s="99" t="inlineStr">
        <is>
          <t>Vendor console</t>
        </is>
      </c>
      <c r="B16" s="81">
        <f>COUNTIF('Phase 1'!$F$5:$F$400,"Vendor console")</f>
        <v/>
      </c>
      <c r="C16" s="81">
        <f>COUNTIF('Phase 2'!$F$5:$F$144,"Vendor console")</f>
        <v/>
      </c>
      <c r="D16" s="81">
        <f>COUNTIF('Phase 3'!$F$5:$F$66,"Vendor console")</f>
        <v/>
      </c>
      <c r="E16" s="81">
        <f>COUNTIF('Phase 4'!$F$5:$F$51,"Vendor console")</f>
        <v/>
      </c>
      <c r="F16" s="81">
        <f>COUNTIF('Phase 5'!$F$5:$F$100,"Vendor console")</f>
        <v/>
      </c>
      <c r="G16" s="81">
        <f>COUNTIF('Phase 6'!$F$5:$F$100,"Vendor console")</f>
        <v/>
      </c>
      <c r="H16" s="81">
        <f>SUM(B16:G16)</f>
        <v/>
      </c>
    </row>
    <row r="17" ht="15" customHeight="1" s="75">
      <c r="A17" s="100" t="inlineStr">
        <is>
          <t>Code</t>
        </is>
      </c>
      <c r="B17" s="81">
        <f>COUNTIF('Phase 1'!$F$5:$F$400,"Code")</f>
        <v/>
      </c>
      <c r="C17" s="81">
        <f>COUNTIF('Phase 2'!$F$5:$F$144,"Code")</f>
        <v/>
      </c>
      <c r="D17" s="81">
        <f>COUNTIF('Phase 3'!$F$5:$F$66,"Code")</f>
        <v/>
      </c>
      <c r="E17" s="81">
        <f>COUNTIF('Phase 4'!$F$5:$F$51,"Code")</f>
        <v/>
      </c>
      <c r="F17" s="81">
        <f>COUNTIF('Phase 5'!$F$5:$F$100,"Code")</f>
        <v/>
      </c>
      <c r="G17" s="81">
        <f>COUNTIF('Phase 6'!$F$5:$F$100,"Code")</f>
        <v/>
      </c>
      <c r="H17" s="81">
        <f>SUM(B17:G17)</f>
        <v/>
      </c>
    </row>
    <row r="18" ht="15" customHeight="1" s="75">
      <c r="A18" s="99" t="inlineStr">
        <is>
          <t>Code + console</t>
        </is>
      </c>
      <c r="B18" s="81">
        <f>COUNTIF('Phase 1'!$F$5:$F$400,"Code + console")</f>
        <v/>
      </c>
      <c r="C18" s="81">
        <f>COUNTIF('Phase 2'!$F$5:$F$144,"Code + console")</f>
        <v/>
      </c>
      <c r="D18" s="81">
        <f>COUNTIF('Phase 3'!$F$5:$F$66,"Code + console")</f>
        <v/>
      </c>
      <c r="E18" s="81">
        <f>COUNTIF('Phase 4'!$F$5:$F$51,"Code + console")</f>
        <v/>
      </c>
      <c r="F18" s="81">
        <f>COUNTIF('Phase 5'!$F$5:$F$100,"Code + console")</f>
        <v/>
      </c>
      <c r="G18" s="81">
        <f>COUNTIF('Phase 6'!$F$5:$F$100,"Code + console")</f>
        <v/>
      </c>
      <c r="H18" s="81">
        <f>SUM(B18:G18)</f>
        <v/>
      </c>
    </row>
    <row r="19" ht="15" customHeight="1" s="75">
      <c r="A19" s="101" t="inlineStr">
        <is>
          <t>Design tool</t>
        </is>
      </c>
      <c r="B19" s="81">
        <f>COUNTIF('Phase 1'!$F$5:$F$400,"Design tool")</f>
        <v/>
      </c>
      <c r="C19" s="81">
        <f>COUNTIF('Phase 2'!$F$5:$F$144,"Design tool")</f>
        <v/>
      </c>
      <c r="D19" s="81">
        <f>COUNTIF('Phase 3'!$F$5:$F$66,"Design tool")</f>
        <v/>
      </c>
      <c r="E19" s="81">
        <f>COUNTIF('Phase 4'!$F$5:$F$51,"Design tool")</f>
        <v/>
      </c>
      <c r="F19" s="81">
        <f>COUNTIF('Phase 5'!$F$5:$F$100,"Design tool")</f>
        <v/>
      </c>
      <c r="G19" s="81">
        <f>COUNTIF('Phase 6'!$F$5:$F$100,"Design tool")</f>
        <v/>
      </c>
      <c r="H19" s="81">
        <f>SUM(B19:G19)</f>
        <v/>
      </c>
    </row>
    <row r="20" ht="15" customHeight="1" s="75">
      <c r="A20" s="97" t="inlineStr">
        <is>
          <t>Document + code</t>
        </is>
      </c>
      <c r="B20" s="81">
        <f>COUNTIF('Phase 1'!$F$5:$F$400,"Document + code")</f>
        <v/>
      </c>
      <c r="C20" s="81">
        <f>COUNTIF('Phase 2'!$F$5:$F$144,"Document + code")</f>
        <v/>
      </c>
      <c r="D20" s="81">
        <f>COUNTIF('Phase 3'!$F$5:$F$66,"Document + code")</f>
        <v/>
      </c>
      <c r="E20" s="81">
        <f>COUNTIF('Phase 4'!$F$5:$F$51,"Document + code")</f>
        <v/>
      </c>
      <c r="F20" s="81">
        <f>COUNTIF('Phase 5'!$F$5:$F$100,"Document + code")</f>
        <v/>
      </c>
      <c r="G20" s="81">
        <f>COUNTIF('Phase 6'!$F$5:$F$100,"Document + code")</f>
        <v/>
      </c>
      <c r="H20" s="81">
        <f>SUM(B20:G20)</f>
        <v/>
      </c>
    </row>
    <row r="21">
      <c r="A21" s="102" t="inlineStr">
        <is>
          <t>External · counsel</t>
        </is>
      </c>
      <c r="B21" s="81">
        <f>COUNTIF('Phase 1'!$F$5:$F$400,"External · counsel")</f>
        <v/>
      </c>
      <c r="C21" s="81">
        <f>COUNTIF('Phase 2'!$F$5:$F$144,"External · counsel")</f>
        <v/>
      </c>
      <c r="D21" s="81">
        <f>COUNTIF('Phase 3'!$F$5:$F$66,"External · counsel")</f>
        <v/>
      </c>
      <c r="E21" s="81">
        <f>COUNTIF('Phase 4'!$F$5:$F$51,"External · counsel")</f>
        <v/>
      </c>
      <c r="F21" s="81">
        <f>COUNTIF('Phase 5'!$F$5:$F$100,"External · counsel")</f>
        <v/>
      </c>
      <c r="G21" s="81">
        <f>COUNTIF('Phase 6'!$F$5:$F$100,"External · counsel")</f>
        <v/>
      </c>
      <c r="H21" s="81">
        <f>SUM(B21:G21)</f>
        <v/>
      </c>
    </row>
    <row r="23">
      <c r="A23" s="90" t="inlineStr">
        <is>
          <t>POLISH · URGENT, BEFORE LAUNCH</t>
        </is>
      </c>
    </row>
    <row r="24">
      <c r="B24" s="78" t="inlineStr">
        <is>
          <t>Ready</t>
        </is>
      </c>
      <c r="C24" s="78" t="inlineStr">
        <is>
          <t>In progress</t>
        </is>
      </c>
      <c r="D24" s="78" t="inlineStr">
        <is>
          <t>Code review</t>
        </is>
      </c>
      <c r="E24" s="78" t="inlineStr">
        <is>
          <t>Blocked</t>
        </is>
      </c>
      <c r="F24" s="78" t="inlineStr">
        <is>
          <t>Done</t>
        </is>
      </c>
      <c r="G24" s="78" t="inlineStr">
        <is>
          <t>Total</t>
        </is>
      </c>
      <c r="H24" s="78" t="inlineStr">
        <is>
          <t>Days left</t>
        </is>
      </c>
    </row>
    <row r="25">
      <c r="A25" s="93" t="inlineStr">
        <is>
          <t>Polish</t>
        </is>
      </c>
      <c r="B25" s="81">
        <f>COUNTIF('Polish'!$I$5:$I$200,"Ready")</f>
        <v/>
      </c>
      <c r="C25" s="81">
        <f>COUNTIF('Polish'!$I$5:$I$200,"In progress")</f>
        <v/>
      </c>
      <c r="D25" s="81">
        <f>COUNTIF('Polish'!$I$5:$I$200,"Code review")</f>
        <v/>
      </c>
      <c r="E25" s="81">
        <f>COUNTIF('Polish'!$I$5:$I$200,"Blocked")</f>
        <v/>
      </c>
      <c r="F25" s="81">
        <f>COUNTIF('Polish'!$I$5:$I$200,"Done")</f>
        <v/>
      </c>
      <c r="G25" s="81">
        <f>COUNTA('Polish'!$B$5:$B$200)</f>
        <v/>
      </c>
      <c r="H25" s="81">
        <f>SUMIF('Polish'!$I$5:$I$200,"&lt;&gt;Done",'Polish'!$J$5:$J$200)</f>
        <v/>
      </c>
    </row>
    <row r="26">
      <c r="A26" s="74" t="inlineStr">
        <is>
          <t>Kept apart from the phase totals above: these fixes cut across phases. Plan in documentation/polish.md.</t>
        </is>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44"/>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24</v>
      </c>
      <c r="K37" s="74" t="n">
        <v>38</v>
      </c>
      <c r="L37" s="74" t="n">
        <v>292</v>
      </c>
      <c r="M37" s="74" t="n">
        <v>16</v>
      </c>
    </row>
    <row r="38">
      <c r="A38" s="74" t="inlineStr">
        <is>
          <t>2026-10-20</t>
        </is>
      </c>
      <c r="B38" s="74" t="n">
        <v>28</v>
      </c>
      <c r="C38" s="74" t="n">
        <v>62</v>
      </c>
      <c r="D38" s="74" t="n">
        <v>25</v>
      </c>
      <c r="E38" s="74" t="n">
        <v>29</v>
      </c>
      <c r="F38" s="74" t="n">
        <v>27</v>
      </c>
      <c r="G38" s="74" t="n">
        <v>19</v>
      </c>
      <c r="H38" s="74" t="n">
        <v>20</v>
      </c>
      <c r="I38" s="74" t="n">
        <v>20</v>
      </c>
      <c r="J38" s="74" t="n">
        <v>26</v>
      </c>
      <c r="K38" s="74" t="n">
        <v>38</v>
      </c>
      <c r="L38" s="74" t="n">
        <v>294</v>
      </c>
      <c r="M38" s="74" t="n">
        <v>21</v>
      </c>
    </row>
    <row r="39">
      <c r="A39" s="74" t="inlineStr">
        <is>
          <t>2026-10-22</t>
        </is>
      </c>
      <c r="B39" s="74" t="n">
        <v>28</v>
      </c>
      <c r="C39" s="74" t="n">
        <v>62</v>
      </c>
      <c r="D39" s="74" t="n">
        <v>25</v>
      </c>
      <c r="E39" s="74" t="n">
        <v>29</v>
      </c>
      <c r="F39" s="74" t="n">
        <v>27</v>
      </c>
      <c r="G39" s="74" t="n">
        <v>19</v>
      </c>
      <c r="H39" s="74" t="n">
        <v>20</v>
      </c>
      <c r="I39" s="74" t="n">
        <v>20</v>
      </c>
      <c r="J39" s="74" t="n">
        <v>30</v>
      </c>
      <c r="K39" s="74" t="n">
        <v>38</v>
      </c>
      <c r="L39" s="74" t="n">
        <v>298</v>
      </c>
      <c r="M39" s="74" t="n">
        <v>23.5</v>
      </c>
    </row>
    <row r="40" s="75">
      <c r="A40" s="74" t="inlineStr">
        <is>
          <t>2026-10-23</t>
        </is>
      </c>
      <c r="B40" s="74" t="n">
        <v>28</v>
      </c>
      <c r="C40" s="74" t="n">
        <v>62</v>
      </c>
      <c r="D40" s="74" t="n">
        <v>25</v>
      </c>
      <c r="E40" s="74" t="n">
        <v>29</v>
      </c>
      <c r="F40" s="74" t="n">
        <v>27</v>
      </c>
      <c r="G40" s="74" t="n">
        <v>19</v>
      </c>
      <c r="H40" s="74" t="n">
        <v>20</v>
      </c>
      <c r="I40" s="74" t="n">
        <v>20</v>
      </c>
      <c r="J40" s="74" t="n">
        <v>36</v>
      </c>
      <c r="K40" s="74" t="n">
        <v>38</v>
      </c>
      <c r="L40" s="74" t="n">
        <v>304</v>
      </c>
      <c r="M40" s="74" t="n">
        <v>16.5</v>
      </c>
    </row>
    <row r="41">
      <c r="A41" s="74" t="inlineStr">
        <is>
          <t>2026-10-26</t>
        </is>
      </c>
      <c r="B41" s="74" t="n">
        <v>28</v>
      </c>
      <c r="C41" s="74" t="n">
        <v>62</v>
      </c>
      <c r="D41" s="74" t="n">
        <v>25</v>
      </c>
      <c r="E41" s="74" t="n">
        <v>29</v>
      </c>
      <c r="F41" s="74" t="n">
        <v>27</v>
      </c>
      <c r="G41" s="74" t="n">
        <v>19</v>
      </c>
      <c r="H41" s="74" t="n">
        <v>20</v>
      </c>
      <c r="I41" s="74" t="n">
        <v>20</v>
      </c>
      <c r="J41" s="74" t="n">
        <v>39</v>
      </c>
      <c r="K41" s="74" t="n">
        <v>38</v>
      </c>
      <c r="L41" s="74" t="n">
        <v>307</v>
      </c>
      <c r="M41" s="74" t="n">
        <v>17.5</v>
      </c>
    </row>
    <row r="42">
      <c r="A42" s="74" t="inlineStr">
        <is>
          <t>2026-10-28</t>
        </is>
      </c>
      <c r="B42" s="74" t="n">
        <v>28</v>
      </c>
      <c r="C42" s="74" t="n">
        <v>62</v>
      </c>
      <c r="D42" s="74" t="n">
        <v>25</v>
      </c>
      <c r="E42" s="74" t="n">
        <v>29</v>
      </c>
      <c r="F42" s="74" t="n">
        <v>27</v>
      </c>
      <c r="G42" s="74" t="n">
        <v>19</v>
      </c>
      <c r="H42" s="74" t="n">
        <v>20</v>
      </c>
      <c r="I42" s="74" t="n">
        <v>20</v>
      </c>
      <c r="J42" s="74" t="n">
        <v>45</v>
      </c>
      <c r="K42" s="74" t="n">
        <v>38</v>
      </c>
      <c r="L42" s="74" t="n">
        <v>313</v>
      </c>
      <c r="M42" s="74" t="n">
        <v>23.5</v>
      </c>
    </row>
    <row r="43">
      <c r="A43" s="74" t="inlineStr">
        <is>
          <t>2026-10-29</t>
        </is>
      </c>
      <c r="B43" s="74" t="n">
        <v>28</v>
      </c>
      <c r="C43" s="74" t="n">
        <v>62</v>
      </c>
      <c r="D43" s="74" t="n">
        <v>25</v>
      </c>
      <c r="E43" s="74" t="n">
        <v>29</v>
      </c>
      <c r="F43" s="74" t="n">
        <v>27</v>
      </c>
      <c r="G43" s="74" t="n">
        <v>19</v>
      </c>
      <c r="H43" s="74" t="n">
        <v>20</v>
      </c>
      <c r="I43" s="74" t="n">
        <v>20</v>
      </c>
      <c r="J43" s="74" t="n">
        <v>46</v>
      </c>
      <c r="K43" s="74" t="n">
        <v>38</v>
      </c>
      <c r="L43" s="74" t="n">
        <v>314</v>
      </c>
      <c r="M43" s="74" t="n">
        <v>21.5</v>
      </c>
    </row>
    <row r="44">
      <c r="A44" s="74" t="inlineStr">
        <is>
          <t>2026-10-30</t>
        </is>
      </c>
      <c r="B44" s="74" t="n">
        <v>28</v>
      </c>
      <c r="C44" s="74" t="n">
        <v>62</v>
      </c>
      <c r="D44" s="74" t="n">
        <v>25</v>
      </c>
      <c r="E44" s="74" t="n">
        <v>29</v>
      </c>
      <c r="F44" s="74" t="n">
        <v>27</v>
      </c>
      <c r="G44" s="74" t="n">
        <v>19</v>
      </c>
      <c r="H44" s="74" t="n">
        <v>20</v>
      </c>
      <c r="I44" s="74" t="n">
        <v>20</v>
      </c>
      <c r="J44" s="74" t="n">
        <v>46</v>
      </c>
      <c r="K44" s="74" t="n">
        <v>38</v>
      </c>
      <c r="L44" s="74" t="n">
        <v>314</v>
      </c>
      <c r="M44" s="74" t="n">
        <v>21.5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tabColor rgb="00C00000"/>
    <outlinePr summaryBelow="1" summaryRight="1"/>
    <pageSetUpPr fitToPage="0"/>
  </sheetPr>
  <dimension ref="A1:R57"/>
  <sheetViews>
    <sheetView workbookViewId="0">
      <selection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Polish · Fix before launch (URGENT)</t>
        </is>
      </c>
    </row>
    <row r="2" ht="15" customHeight="1" s="75">
      <c r="A2" s="77" t="inlineStr">
        <is>
          <t>53 tasks across 36 user-experience flaws found 2026-10-28 · do these before cleaning up any other task on the board · do POL-BE-04 first (hurting sponsors now, while Stripe is paused) · plan: documentation/polish.md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POL-BE-01</t>
        </is>
      </c>
      <c r="C5" s="81" t="n">
        <v>1</v>
      </c>
      <c r="D5" s="82" t="inlineStr">
        <is>
          <t>A · Money, minors, consent</t>
        </is>
      </c>
      <c r="E5" s="138" t="inlineStr">
        <is>
          <t>BE</t>
        </is>
      </c>
      <c r="F5" s="120" t="inlineStr">
        <is>
          <t>Code</t>
        </is>
      </c>
      <c r="G5" s="80" t="inlineStr">
        <is>
          <t>Payouts stop going to the old guardian</t>
        </is>
      </c>
      <c r="H5" s="107" t="inlineStr">
        <is>
          <t>After a guardian handoff or coming of age, the old payout account stops receiving money (PayoutAccount is unique per athlete, so it is reused today). Payouts wait for the new holder's own account; both are told.</t>
        </is>
      </c>
      <c r="I5" s="108" t="inlineStr">
        <is>
          <t>Done</t>
        </is>
      </c>
      <c r="J5" s="108" t="n">
        <v>2</v>
      </c>
      <c r="K5" s="109" t="n">
        <v>46323</v>
      </c>
      <c r="L5" s="109" t="n">
        <v>46323</v>
      </c>
      <c r="M5" s="110" t="inlineStr">
        <is>
          <t>rcfworks</t>
        </is>
      </c>
      <c r="N5" s="81" t="n">
        <v>1</v>
      </c>
      <c r="O5" s="80" t="n"/>
      <c r="P5" s="80" t="inlineStr">
        <is>
          <t>No payout reaches the old account after a handoff or coming of age; new holder asked to set up; tests</t>
        </is>
      </c>
      <c r="Q5" s="82" t="inlineStr">
        <is>
          <t>polish.md #1</t>
        </is>
      </c>
      <c r="R5" s="111" t="inlineStr">
        <is>
          <t>Raised 2026-10-28 from the UX review. Rule decided 2026-10-28: anything not yet paid out follows the athlete to the new holder.</t>
        </is>
      </c>
    </row>
    <row r="6" ht="32.8" customHeight="1" s="75">
      <c r="A6" s="104" t="n">
        <v>2</v>
      </c>
      <c r="B6" s="105" t="inlineStr">
        <is>
          <t>POL-FE-01</t>
        </is>
      </c>
      <c r="C6" s="81" t="n">
        <v>1</v>
      </c>
      <c r="D6" s="82" t="inlineStr">
        <is>
          <t>A · Money, minors, consent</t>
        </is>
      </c>
      <c r="E6" s="138" t="inlineStr">
        <is>
          <t>FE</t>
        </is>
      </c>
      <c r="F6" s="120" t="inlineStr">
        <is>
          <t>Code</t>
        </is>
      </c>
      <c r="G6" s="80" t="inlineStr">
        <is>
          <t>New guardian or adult athlete sets up payouts</t>
        </is>
      </c>
      <c r="H6" s="107" t="inlineStr">
        <is>
          <t>After a handoff or coming of age, the payouts screen asks the new holder to set up their own account and shows payouts waiting.</t>
        </is>
      </c>
      <c r="I6" s="108" t="inlineStr">
        <is>
          <t>Done</t>
        </is>
      </c>
      <c r="J6" s="108" t="n">
        <v>1</v>
      </c>
      <c r="K6" s="163" t="n">
        <v>46324</v>
      </c>
      <c r="L6" s="163" t="n">
        <v>46324</v>
      </c>
      <c r="M6" s="110" t="inlineStr">
        <is>
          <t>HeckerCreatives</t>
        </is>
      </c>
      <c r="N6" s="81" t="n">
        <v>0</v>
      </c>
      <c r="O6" s="80" t="inlineStr">
        <is>
          <t>POL-BE-01</t>
        </is>
      </c>
      <c r="P6" s="80" t="inlineStr">
        <is>
          <t>New holder sees the prompt and waiting payouts; old holder no longer sees the account</t>
        </is>
      </c>
      <c r="Q6" s="82" t="inlineStr">
        <is>
          <t>polish.md #1</t>
        </is>
      </c>
      <c r="R6" s="111" t="inlineStr">
        <is>
          <t>Raised 2026-10-28 from the UX review. | QA 10-29: wording unit-tested; the waiting-payouts panel not yet seen live (needs a handoff). | QA pass 2 10-29: waiting-payouts panel seen live with an approved payout and no account. | QA pass 4 10-29: the guardian's Hand off steps carry the new wording; BTG's handoff page still said 'money stays where it is' — fixed to the POL-BE-01 rule.</t>
        </is>
      </c>
    </row>
    <row r="7" ht="32.8" customHeight="1" s="75">
      <c r="A7" s="104" t="n">
        <v>3</v>
      </c>
      <c r="B7" s="105" t="inlineStr">
        <is>
          <t>POL-BE-02</t>
        </is>
      </c>
      <c r="C7" s="81" t="n">
        <v>1</v>
      </c>
      <c r="D7" s="82" t="inlineStr">
        <is>
          <t>A · Money, minors, consent</t>
        </is>
      </c>
      <c r="E7" s="138" t="inlineStr">
        <is>
          <t>BE</t>
        </is>
      </c>
      <c r="F7" s="120" t="inlineStr">
        <is>
          <t>Code</t>
        </is>
      </c>
      <c r="G7" s="80" t="inlineStr">
        <is>
          <t>A minor's date-of-birth change and coming-of-age takeover are held</t>
        </is>
      </c>
      <c r="H7" s="107" t="inlineStr">
        <is>
          <t>While a minor, a DOB change is held for the guardian and BTG instead of applying at once. A coming-of-age takeover is always held for BTG, even when the ID reads clear.</t>
        </is>
      </c>
      <c r="I7" s="108" t="inlineStr">
        <is>
          <t>Done</t>
        </is>
      </c>
      <c r="J7" s="108" t="n">
        <v>2</v>
      </c>
      <c r="K7" s="109" t="n">
        <v>46323</v>
      </c>
      <c r="L7" s="109" t="n">
        <v>46323</v>
      </c>
      <c r="M7" s="110" t="inlineStr">
        <is>
          <t>rcfworks</t>
        </is>
      </c>
      <c r="N7" s="81" t="n">
        <v>1</v>
      </c>
      <c r="O7" s="80" t="n"/>
      <c r="P7" s="80" t="inlineStr">
        <is>
          <t>Minor's DOB change waits for approval; coming of age never removes a guardian without BTG; tests</t>
        </is>
      </c>
      <c r="Q7" s="82" t="inlineStr">
        <is>
          <t>polish.md #2</t>
        </is>
      </c>
      <c r="R7" s="111" t="inlineStr">
        <is>
          <t>Raised 2026-10-28 from the UX review. Decided 2026-10-28: BTG alone approves a change that would make a minor an adult; takeover automatic only when the ID reads clear.</t>
        </is>
      </c>
    </row>
    <row r="8" ht="32.8" customHeight="1" s="75">
      <c r="A8" s="104" t="n">
        <v>4</v>
      </c>
      <c r="B8" s="105" t="inlineStr">
        <is>
          <t>POL-FE-02</t>
        </is>
      </c>
      <c r="C8" s="81" t="n">
        <v>1</v>
      </c>
      <c r="D8" s="82" t="inlineStr">
        <is>
          <t>A · Money, minors, consent</t>
        </is>
      </c>
      <c r="E8" s="138" t="inlineStr">
        <is>
          <t>FE</t>
        </is>
      </c>
      <c r="F8" s="120" t="inlineStr">
        <is>
          <t>Code</t>
        </is>
      </c>
      <c r="G8" s="80" t="inlineStr">
        <is>
          <t>DOB change shows 'waiting for approval'</t>
        </is>
      </c>
      <c r="H8" s="107" t="inlineStr">
        <is>
          <t>Profile edit shows a minor's DOB change as waiting; guardian and BTG see Approve / Decline.</t>
        </is>
      </c>
      <c r="I8" s="108" t="inlineStr">
        <is>
          <t>Done</t>
        </is>
      </c>
      <c r="J8" s="108" t="n">
        <v>1</v>
      </c>
      <c r="K8" s="163" t="n">
        <v>46324</v>
      </c>
      <c r="L8" s="163" t="n">
        <v>46324</v>
      </c>
      <c r="M8" s="110" t="inlineStr">
        <is>
          <t>HeckerCreatives</t>
        </is>
      </c>
      <c r="N8" s="81" t="n">
        <v>0</v>
      </c>
      <c r="O8" s="80" t="inlineStr">
        <is>
          <t>POL-BE-02</t>
        </is>
      </c>
      <c r="P8" s="80" t="inlineStr">
        <is>
          <t>Minor sees waiting state; guardian and BTG can approve or decline</t>
        </is>
      </c>
      <c r="Q8" s="82" t="inlineStr">
        <is>
          <t>polish.md #2</t>
        </is>
      </c>
      <c r="R8" s="111" t="inlineStr">
        <is>
          <t>Raised 2026-10-28 from the UX review. | Built and walked 10-29: DOB change held, BTG Decline with a note, coming-of-age held + Confirm takeover.</t>
        </is>
      </c>
    </row>
    <row r="9" ht="32.8" customHeight="1" s="75">
      <c r="A9" s="104" t="n">
        <v>5</v>
      </c>
      <c r="B9" s="105" t="inlineStr">
        <is>
          <t>POL-BE-03</t>
        </is>
      </c>
      <c r="C9" s="81" t="n">
        <v>1</v>
      </c>
      <c r="D9" s="82" t="inlineStr">
        <is>
          <t>A · Money, minors, consent</t>
        </is>
      </c>
      <c r="E9" s="138" t="inlineStr">
        <is>
          <t>BE</t>
        </is>
      </c>
      <c r="F9" s="120" t="inlineStr">
        <is>
          <t>Code</t>
        </is>
      </c>
      <c r="G9" s="80" t="inlineStr">
        <is>
          <t>A team can't raise its share without the athlete's yes</t>
        </is>
      </c>
      <c r="H9" s="107" t="inlineStr">
        <is>
          <t>Any share raise (directly added athletes included, not just invited) needs the athlete's agreement, the guardian's for a minor. Lowering applies at once. Both emailed.</t>
        </is>
      </c>
      <c r="I9" s="108" t="inlineStr">
        <is>
          <t>Done</t>
        </is>
      </c>
      <c r="J9" s="108" t="n">
        <v>2</v>
      </c>
      <c r="K9" s="109" t="n">
        <v>46324</v>
      </c>
      <c r="L9" s="109" t="n">
        <v>46324</v>
      </c>
      <c r="M9" s="110" t="inlineStr">
        <is>
          <t>rcfworks</t>
        </is>
      </c>
      <c r="N9" s="81" t="n">
        <v>1</v>
      </c>
      <c r="O9" s="80" t="n"/>
      <c r="P9" s="80" t="inlineStr">
        <is>
          <t>No share goes up without the athlete's or guardian's yes; tests for direct, invited and minor</t>
        </is>
      </c>
      <c r="Q9" s="82" t="inlineStr">
        <is>
          <t>polish.md #3</t>
        </is>
      </c>
      <c r="R9" s="111" t="inlineStr">
        <is>
          <t>Raised 2026-10-28 from the UX review. Decided 2026-10-29: the share typed at Add athlete needs the athlete's yes too; BTG's standard share applies until then. PR #322.</t>
        </is>
      </c>
    </row>
    <row r="10" ht="32.8" customHeight="1" s="75">
      <c r="A10" s="104" t="n">
        <v>6</v>
      </c>
      <c r="B10" s="105" t="inlineStr">
        <is>
          <t>POL-FE-03</t>
        </is>
      </c>
      <c r="C10" s="81" t="n">
        <v>1</v>
      </c>
      <c r="D10" s="82" t="inlineStr">
        <is>
          <t>A · Money, minors, consent</t>
        </is>
      </c>
      <c r="E10" s="138" t="inlineStr">
        <is>
          <t>FE</t>
        </is>
      </c>
      <c r="F10" s="120" t="inlineStr">
        <is>
          <t>Code</t>
        </is>
      </c>
      <c r="G10" s="80" t="inlineStr">
        <is>
          <t>Accept or decline a team share change</t>
        </is>
      </c>
      <c r="H10" s="107" t="inlineStr">
        <is>
          <t>Athlete or guardian screen showing old and new share with Accept / Decline; team sees 'waiting for the athlete'.</t>
        </is>
      </c>
      <c r="I10" s="108" t="inlineStr">
        <is>
          <t>Done</t>
        </is>
      </c>
      <c r="J10" s="108" t="n">
        <v>1</v>
      </c>
      <c r="K10" s="163" t="n">
        <v>46324</v>
      </c>
      <c r="L10" s="163" t="n">
        <v>46324</v>
      </c>
      <c r="M10" s="110" t="inlineStr">
        <is>
          <t>HeckerCreatives</t>
        </is>
      </c>
      <c r="N10" s="81" t="n">
        <v>0</v>
      </c>
      <c r="O10" s="80" t="inlineStr">
        <is>
          <t>POL-BE-03</t>
        </is>
      </c>
      <c r="P10" s="80" t="inlineStr">
        <is>
          <t>Athlete or guardian can accept or decline; team sees the pending state</t>
        </is>
      </c>
      <c r="Q10" s="82" t="inlineStr">
        <is>
          <t>polish.md #3</t>
        </is>
      </c>
      <c r="R10" s="111" t="inlineStr">
        <is>
          <t>Raised 2026-10-28 from the UX review. | Built and walked 10-29: raise waits for the athlete, Withdraw, athlete accepts behind a confirm, share applies.</t>
        </is>
      </c>
    </row>
    <row r="11" ht="32.8" customHeight="1" s="75">
      <c r="A11" s="104" t="n">
        <v>7</v>
      </c>
      <c r="B11" s="105" t="inlineStr">
        <is>
          <t>POL-BE-04</t>
        </is>
      </c>
      <c r="C11" s="81" t="n">
        <v>1</v>
      </c>
      <c r="D11" s="82" t="inlineStr">
        <is>
          <t>A · Money, minors, consent</t>
        </is>
      </c>
      <c r="E11" s="138" t="inlineStr">
        <is>
          <t>BE</t>
        </is>
      </c>
      <c r="F11" s="120" t="inlineStr">
        <is>
          <t>Code</t>
        </is>
      </c>
      <c r="G11" s="80" t="inlineStr">
        <is>
          <t>No reminders or cancellations while payment is off</t>
        </is>
      </c>
      <c r="H11" s="107" t="inlineStr">
        <is>
          <t>sweepUnpaidOrders and the reminders skip orders while the payment provider is off; the countdown starts when payment opens. Hurting sponsors now, while Stripe is paused.</t>
        </is>
      </c>
      <c r="I11" s="108" t="inlineStr">
        <is>
          <t>Done</t>
        </is>
      </c>
      <c r="J11" s="108" t="n">
        <v>1</v>
      </c>
      <c r="K11" s="109" t="n">
        <v>46323</v>
      </c>
      <c r="L11" s="109" t="n">
        <v>46323</v>
      </c>
      <c r="M11" s="110" t="inlineStr">
        <is>
          <t>rcfworks</t>
        </is>
      </c>
      <c r="N11" s="81" t="n">
        <v>1</v>
      </c>
      <c r="O11" s="80" t="n"/>
      <c r="P11" s="80" t="inlineStr">
        <is>
          <t>With payment off no reminder and no cancellation; with it on unchanged; tests</t>
        </is>
      </c>
      <c r="Q11" s="82" t="inlineStr">
        <is>
          <t>polish.md #4</t>
        </is>
      </c>
      <c r="R11" s="111" t="inlineStr">
        <is>
          <t>Raised 2026-10-28 from the UX review.</t>
        </is>
      </c>
    </row>
    <row r="12" ht="32.8" customHeight="1" s="75">
      <c r="A12" s="104" t="n">
        <v>8</v>
      </c>
      <c r="B12" s="105" t="inlineStr">
        <is>
          <t>POL-FE-04</t>
        </is>
      </c>
      <c r="C12" s="81" t="n">
        <v>1</v>
      </c>
      <c r="D12" s="82" t="inlineStr">
        <is>
          <t>A · Money, minors, consent</t>
        </is>
      </c>
      <c r="E12" s="138" t="inlineStr">
        <is>
          <t>FE</t>
        </is>
      </c>
      <c r="F12" s="120" t="inlineStr">
        <is>
          <t>Code</t>
        </is>
      </c>
      <c r="G12" s="80" t="inlineStr">
        <is>
          <t>Checkout says payment opens later</t>
        </is>
      </c>
      <c r="H12" s="107" t="inlineStr">
        <is>
          <t>Checkout and order page say plainly that payment is not open yet and the order is held, not cancelled.</t>
        </is>
      </c>
      <c r="I12" s="108" t="inlineStr">
        <is>
          <t>Done</t>
        </is>
      </c>
      <c r="J12" s="108" t="n">
        <v>0.5</v>
      </c>
      <c r="K12" s="163" t="n">
        <v>46324</v>
      </c>
      <c r="L12" s="163" t="n">
        <v>46324</v>
      </c>
      <c r="M12" s="110" t="inlineStr">
        <is>
          <t>HeckerCreatives</t>
        </is>
      </c>
      <c r="N12" s="81" t="n">
        <v>0</v>
      </c>
      <c r="O12" s="80" t="inlineStr">
        <is>
          <t>POL-BE-04</t>
        </is>
      </c>
      <c r="P12" s="80" t="inlineStr">
        <is>
          <t>Sponsor sees the order is held until payment opens</t>
        </is>
      </c>
      <c r="Q12" s="82" t="inlineStr">
        <is>
          <t>polish.md #4</t>
        </is>
      </c>
      <c r="R12" s="111" t="inlineStr">
        <is>
          <t>Raised 2026-10-28 from the UX review. | Checkout notice is live once the reservation's checkout object carries paymentsOpen (one line in backend reservation.ts). | QA walk 10-29 on the local stack: passed. | QA pass 6 10-29: a failed card payment while payment is closed offers no 'Try again' and says payment is closed. | QA pass 7 10-29: the order-lines hint matches the failed-while-closed state.</t>
        </is>
      </c>
    </row>
    <row r="13" ht="32.8" customHeight="1" s="75">
      <c r="A13" s="104" t="n">
        <v>9</v>
      </c>
      <c r="B13" s="105" t="inlineStr">
        <is>
          <t>POL-BE-05</t>
        </is>
      </c>
      <c r="C13" s="81" t="n">
        <v>1</v>
      </c>
      <c r="D13" s="82" t="inlineStr">
        <is>
          <t>A · Money, minors, consent</t>
        </is>
      </c>
      <c r="E13" s="138" t="inlineStr">
        <is>
          <t>BE</t>
        </is>
      </c>
      <c r="F13" s="120" t="inlineStr">
        <is>
          <t>Code</t>
        </is>
      </c>
      <c r="G13" s="80" t="inlineStr">
        <is>
          <t>Order quote with fees before placing</t>
        </is>
      </c>
      <c r="H13" s="107" t="inlineStr">
        <is>
          <t>A quote endpoint returns subtotal, fees and total before the order is placed (skip if one already exists).</t>
        </is>
      </c>
      <c r="I13" s="108" t="inlineStr">
        <is>
          <t>Done</t>
        </is>
      </c>
      <c r="J13" s="108" t="n">
        <v>1</v>
      </c>
      <c r="K13" s="109" t="n">
        <v>46324</v>
      </c>
      <c r="L13" s="109" t="n">
        <v>46324</v>
      </c>
      <c r="M13" s="110" t="inlineStr">
        <is>
          <t>rcfworks</t>
        </is>
      </c>
      <c r="N13" s="81" t="n">
        <v>1</v>
      </c>
      <c r="O13" s="80" t="n"/>
      <c r="P13" s="80" t="inlineStr">
        <is>
          <t>Quote total equals the charged total; tests</t>
        </is>
      </c>
      <c r="Q13" s="82" t="inlineStr">
        <is>
          <t>polish.md #5</t>
        </is>
      </c>
      <c r="R13" s="111" t="inlineStr">
        <is>
          <t>Raised 2026-10-28 from the UX review. PR #324: the cart, the held checkout and placing carry a quote (subtotal, fees, total); placing refuses a changed total.</t>
        </is>
      </c>
    </row>
    <row r="14" ht="32.8" customHeight="1" s="75">
      <c r="A14" s="104" t="n">
        <v>10</v>
      </c>
      <c r="B14" s="105" t="inlineStr">
        <is>
          <t>POL-FE-05</t>
        </is>
      </c>
      <c r="C14" s="81" t="n">
        <v>1</v>
      </c>
      <c r="D14" s="82" t="inlineStr">
        <is>
          <t>A · Money, minors, consent</t>
        </is>
      </c>
      <c r="E14" s="138" t="inlineStr">
        <is>
          <t>FE</t>
        </is>
      </c>
      <c r="F14" s="120" t="inlineStr">
        <is>
          <t>Code</t>
        </is>
      </c>
      <c r="G14" s="80" t="inlineStr">
        <is>
          <t>Checkout shows the full total before committing</t>
        </is>
      </c>
      <c r="H14" s="107" t="inlineStr">
        <is>
          <t>Replace 'Fees: added when the order is placed' and 'Total so far' with the real total next to the button that commits.</t>
        </is>
      </c>
      <c r="I14" s="108" t="inlineStr">
        <is>
          <t>Done</t>
        </is>
      </c>
      <c r="J14" s="108" t="n">
        <v>0.5</v>
      </c>
      <c r="K14" s="163" t="n">
        <v>46324</v>
      </c>
      <c r="L14" s="163" t="n">
        <v>46324</v>
      </c>
      <c r="M14" s="110" t="inlineStr">
        <is>
          <t>HeckerCreatives</t>
        </is>
      </c>
      <c r="N14" s="81" t="n">
        <v>0</v>
      </c>
      <c r="O14" s="80" t="inlineStr">
        <is>
          <t>POL-BE-05</t>
        </is>
      </c>
      <c r="P14" s="80" t="inlineStr">
        <is>
          <t>Total shown before placing equals the total charged</t>
        </is>
      </c>
      <c r="Q14" s="82" t="inlineStr">
        <is>
          <t>polish.md #5</t>
        </is>
      </c>
      <c r="R14" s="111" t="inlineStr">
        <is>
          <t>Raised 2026-10-28 from the UX review. | Built and walked 10-29 with a 3% fee: Subtotal/Fees/Total at cart and checkout; 409 total_changed refreshes.</t>
        </is>
      </c>
    </row>
    <row r="15" ht="32.8" customHeight="1" s="75">
      <c r="A15" s="104" t="n">
        <v>11</v>
      </c>
      <c r="B15" s="105" t="inlineStr">
        <is>
          <t>POL-BE-06</t>
        </is>
      </c>
      <c r="C15" s="81" t="n">
        <v>1</v>
      </c>
      <c r="D15" s="82" t="inlineStr">
        <is>
          <t>A · Money, minors, consent</t>
        </is>
      </c>
      <c r="E15" s="138" t="inlineStr">
        <is>
          <t>BE</t>
        </is>
      </c>
      <c r="F15" s="120" t="inlineStr">
        <is>
          <t>Code</t>
        </is>
      </c>
      <c r="G15" s="80" t="inlineStr">
        <is>
          <t>Duplicate payment creates a refund to send</t>
        </is>
      </c>
      <c r="H15" s="107" t="inlineStr">
        <is>
          <t>A duplicate payment adds a row to Refunds to send and flags the order; BTG can mark it refunded.</t>
        </is>
      </c>
      <c r="I15" s="108" t="inlineStr">
        <is>
          <t>Done</t>
        </is>
      </c>
      <c r="J15" s="108" t="n">
        <v>1</v>
      </c>
      <c r="K15" s="109" t="n">
        <v>46324</v>
      </c>
      <c r="L15" s="109" t="n">
        <v>46324</v>
      </c>
      <c r="M15" s="110" t="inlineStr">
        <is>
          <t>rcfworks</t>
        </is>
      </c>
      <c r="N15" s="81" t="n">
        <v>1</v>
      </c>
      <c r="O15" s="80" t="n"/>
      <c r="P15" s="80" t="inlineStr">
        <is>
          <t>Duplicate shows in Refunds to send and on the order; tests</t>
        </is>
      </c>
      <c r="Q15" s="82" t="inlineStr">
        <is>
          <t>polish.md #6</t>
        </is>
      </c>
      <c r="R15" s="111" t="inlineStr">
        <is>
          <t>Raised 2026-10-28 from the UX review. PR #325: a card payment confirmed for an order already paid (PAID_TWICE) or refunded (PAID_AFTER_REFUND) is its own refund row; refunds of extra payments never shorten the order's own.</t>
        </is>
      </c>
    </row>
    <row r="16" ht="32.8" customHeight="1" s="75">
      <c r="A16" s="104" t="n">
        <v>12</v>
      </c>
      <c r="B16" s="105" t="inlineStr">
        <is>
          <t>POL-FE-06</t>
        </is>
      </c>
      <c r="C16" s="81" t="n">
        <v>1</v>
      </c>
      <c r="D16" s="82" t="inlineStr">
        <is>
          <t>A · Money, minors, consent</t>
        </is>
      </c>
      <c r="E16" s="138" t="inlineStr">
        <is>
          <t>FE</t>
        </is>
      </c>
      <c r="F16" s="120" t="inlineStr">
        <is>
          <t>Code</t>
        </is>
      </c>
      <c r="G16" s="80" t="inlineStr">
        <is>
          <t>Order page shows a duplicate payment</t>
        </is>
      </c>
      <c r="H16" s="107" t="inlineStr">
        <is>
          <t>Order page shows the duplicate and its refund status; BTG gets a Mark refunded button.</t>
        </is>
      </c>
      <c r="I16" s="108" t="inlineStr">
        <is>
          <t>Done</t>
        </is>
      </c>
      <c r="J16" s="108" t="n">
        <v>0.5</v>
      </c>
      <c r="K16" s="163" t="n">
        <v>46324</v>
      </c>
      <c r="L16" s="163" t="n">
        <v>46324</v>
      </c>
      <c r="M16" s="110" t="inlineStr">
        <is>
          <t>HeckerCreatives</t>
        </is>
      </c>
      <c r="N16" s="81" t="n">
        <v>0</v>
      </c>
      <c r="O16" s="80" t="inlineStr">
        <is>
          <t>POL-BE-06</t>
        </is>
      </c>
      <c r="P16" s="80" t="inlineStr">
        <is>
          <t>Sponsor and BTG see the duplicate and refund status</t>
        </is>
      </c>
      <c r="Q16" s="82" t="inlineStr">
        <is>
          <t>polish.md #6</t>
        </is>
      </c>
      <c r="R16" s="111" t="inlineStr">
        <is>
          <t>Raised 2026-10-28 from the UX review. | Built and walked 10-29 on a seeded duplicate: sponsor and BTG wording, Refunds to send label.</t>
        </is>
      </c>
    </row>
    <row r="17" ht="32.8" customHeight="1" s="75">
      <c r="A17" s="104" t="n">
        <v>13</v>
      </c>
      <c r="B17" s="105" t="inlineStr">
        <is>
          <t>POL-BE-07</t>
        </is>
      </c>
      <c r="C17" s="81" t="n">
        <v>1</v>
      </c>
      <c r="D17" s="82" t="inlineStr">
        <is>
          <t>A · Money, minors, consent</t>
        </is>
      </c>
      <c r="E17" s="138" t="inlineStr">
        <is>
          <t>BE</t>
        </is>
      </c>
      <c r="F17" s="120" t="inlineStr">
        <is>
          <t>Code</t>
        </is>
      </c>
      <c r="G17" s="80" t="inlineStr">
        <is>
          <t>Staff redeem needs a venue code, with undo</t>
        </is>
      </c>
      <c r="H17" s="107" t="inlineStr">
        <is>
          <t>Redeem requires a staff PIN per reward or event; a redeem can be undone within a few minutes.</t>
        </is>
      </c>
      <c r="I17" s="108" t="inlineStr">
        <is>
          <t>Done</t>
        </is>
      </c>
      <c r="J17" s="108" t="n">
        <v>2</v>
      </c>
      <c r="K17" s="109" t="n">
        <v>46324</v>
      </c>
      <c r="L17" s="109" t="n">
        <v>46324</v>
      </c>
      <c r="M17" s="110" t="inlineStr">
        <is>
          <t>rcfworks</t>
        </is>
      </c>
      <c r="N17" s="81" t="n">
        <v>1</v>
      </c>
      <c r="O17" s="80" t="n"/>
      <c r="P17" s="80" t="inlineStr">
        <is>
          <t>No redeem without the venue code; undo works in the window; tests</t>
        </is>
      </c>
      <c r="Q17" s="82" t="inlineStr">
        <is>
          <t>polish.md #7</t>
        </is>
      </c>
      <c r="R17" s="111" t="inlineStr">
        <is>
          <t>Raised 2026-10-28 from the UX review. PR #328: six-digit staff code per reward (BTG and sponsor admins), 5 wrong lock 15 min, undo within 5 min; behind REWARD_STAFF_CODE_REQUIRED (off) until POL-FE-07.</t>
        </is>
      </c>
    </row>
    <row r="18" ht="32.8" customHeight="1" s="75">
      <c r="A18" s="104" t="n">
        <v>14</v>
      </c>
      <c r="B18" s="105" t="inlineStr">
        <is>
          <t>POL-FE-07</t>
        </is>
      </c>
      <c r="C18" s="81" t="n">
        <v>1</v>
      </c>
      <c r="D18" s="82" t="inlineStr">
        <is>
          <t>A · Money, minors, consent</t>
        </is>
      </c>
      <c r="E18" s="138" t="inlineStr">
        <is>
          <t>FE</t>
        </is>
      </c>
      <c r="F18" s="120" t="inlineStr">
        <is>
          <t>Code</t>
        </is>
      </c>
      <c r="G18" s="80" t="inlineStr">
        <is>
          <t>Fan page asks for the staff code</t>
        </is>
      </c>
      <c r="H18" s="107" t="inlineStr">
        <is>
          <t>'Staff: redeem now' asks for the code and confirms; shows Undo for a few minutes.</t>
        </is>
      </c>
      <c r="I18" s="108" t="inlineStr">
        <is>
          <t>Done</t>
        </is>
      </c>
      <c r="J18" s="108" t="n">
        <v>1</v>
      </c>
      <c r="K18" s="163" t="n">
        <v>46324</v>
      </c>
      <c r="L18" s="163" t="n">
        <v>46324</v>
      </c>
      <c r="M18" s="110" t="inlineStr">
        <is>
          <t>HeckerCreatives</t>
        </is>
      </c>
      <c r="N18" s="81" t="n">
        <v>0</v>
      </c>
      <c r="O18" s="80" t="inlineStr">
        <is>
          <t>POL-BE-07</t>
        </is>
      </c>
      <c r="P18" s="80" t="inlineStr">
        <is>
          <t>Redeem needs the code and a confirmation; undo shown</t>
        </is>
      </c>
      <c r="Q18" s="82" t="inlineStr">
        <is>
          <t>polish.md #7</t>
        </is>
      </c>
      <c r="R18" s="111" t="inlineStr">
        <is>
          <t>Raised 2026-10-28 from the UX review. | Built and walked 10-29 with the switch on: staff code panel, wrong/right code, undo, New code on the desk. rcfworks: turn REWARD_STAFF_CODE_REQUIRED on (staging first).</t>
        </is>
      </c>
    </row>
    <row r="19" ht="32.8" customHeight="1" s="75">
      <c r="A19" s="104" t="n">
        <v>15</v>
      </c>
      <c r="B19" s="105" t="inlineStr">
        <is>
          <t>POL-BE-08</t>
        </is>
      </c>
      <c r="C19" s="81" t="n">
        <v>1</v>
      </c>
      <c r="D19" s="82" t="inlineStr">
        <is>
          <t>A · Money, minors, consent</t>
        </is>
      </c>
      <c r="E19" s="138" t="inlineStr">
        <is>
          <t>BE</t>
        </is>
      </c>
      <c r="F19" s="120" t="inlineStr">
        <is>
          <t>Code</t>
        </is>
      </c>
      <c r="G19" s="80" t="inlineStr">
        <is>
          <t>Each fan gets their own claim on a shared code</t>
        </is>
      </c>
      <c r="H19" s="107" t="inlineStr">
        <is>
          <t>Claims are per fan, not per code, up to the reward's limit; later fans' emails are collected.</t>
        </is>
      </c>
      <c r="I19" s="108" t="inlineStr">
        <is>
          <t>Done</t>
        </is>
      </c>
      <c r="J19" s="108" t="n">
        <v>2</v>
      </c>
      <c r="K19" s="109" t="n">
        <v>46324</v>
      </c>
      <c r="L19" s="109" t="n">
        <v>46324</v>
      </c>
      <c r="M19" s="110" t="inlineStr">
        <is>
          <t>rcfworks</t>
        </is>
      </c>
      <c r="N19" s="81" t="n">
        <v>1</v>
      </c>
      <c r="O19" s="80" t="n"/>
      <c r="P19" s="80" t="inlineStr">
        <is>
          <t>Two fans on one code each get their own claim; tests</t>
        </is>
      </c>
      <c r="Q19" s="82" t="inlineStr">
        <is>
          <t>polish.md #8</t>
        </is>
      </c>
      <c r="R19" s="111" t="inlineStr">
        <is>
          <t>Raised 2026-10-28 from the UX review. PR #329: a fan claiming through a shared code gets their own code (claim, hold, email, redeem on it); same address gets its code back; behind REWARD_FAN_CODES (off) until POL-FE-08.</t>
        </is>
      </c>
    </row>
    <row r="20" ht="32.8" customHeight="1" s="75">
      <c r="A20" s="104" t="n">
        <v>16</v>
      </c>
      <c r="B20" s="105" t="inlineStr">
        <is>
          <t>POL-FE-08</t>
        </is>
      </c>
      <c r="C20" s="81" t="n">
        <v>1</v>
      </c>
      <c r="D20" s="82" t="inlineStr">
        <is>
          <t>A · Money, minors, consent</t>
        </is>
      </c>
      <c r="E20" s="138" t="inlineStr">
        <is>
          <t>FE</t>
        </is>
      </c>
      <c r="F20" s="120" t="inlineStr">
        <is>
          <t>Code</t>
        </is>
      </c>
      <c r="G20" s="80" t="inlineStr">
        <is>
          <t>Fan page shows the fan's own claim</t>
        </is>
      </c>
      <c r="H20" s="107" t="inlineStr">
        <is>
          <t>The page shows this fan's claim, or 'all claimed', never another fan's hold.</t>
        </is>
      </c>
      <c r="I20" s="108" t="inlineStr">
        <is>
          <t>Done</t>
        </is>
      </c>
      <c r="J20" s="108" t="n">
        <v>0.5</v>
      </c>
      <c r="K20" s="163" t="n">
        <v>46324</v>
      </c>
      <c r="L20" s="163" t="n">
        <v>46324</v>
      </c>
      <c r="M20" s="110" t="inlineStr">
        <is>
          <t>HeckerCreatives</t>
        </is>
      </c>
      <c r="N20" s="81" t="n">
        <v>0</v>
      </c>
      <c r="O20" s="80" t="inlineStr">
        <is>
          <t>POL-BE-08</t>
        </is>
      </c>
      <c r="P20" s="80" t="inlineStr">
        <is>
          <t>Each fan sees only their own claim</t>
        </is>
      </c>
      <c r="Q20" s="82" t="inlineStr">
        <is>
          <t>polish.md #8</t>
        </is>
      </c>
      <c r="R20" s="111" t="inlineStr">
        <is>
          <t>Raised 2026-10-28 from the UX review. | Built and walked 10-29 with the switch on: own code from a shared QR, cookie sends a second scan straight to it. rcfworks: turn REWARD_FAN_CODES on (staging first).</t>
        </is>
      </c>
    </row>
    <row r="21" ht="32.8" customHeight="1" s="75">
      <c r="A21" s="104" t="n">
        <v>17</v>
      </c>
      <c r="B21" s="105" t="inlineStr">
        <is>
          <t>POL-BE-09</t>
        </is>
      </c>
      <c r="C21" s="81" t="n">
        <v>2</v>
      </c>
      <c r="D21" s="82" t="inlineStr">
        <is>
          <t>B · Waiting or stuck</t>
        </is>
      </c>
      <c r="E21" s="138" t="inlineStr">
        <is>
          <t>BE</t>
        </is>
      </c>
      <c r="F21" s="120" t="inlineStr">
        <is>
          <t>Code</t>
        </is>
      </c>
      <c r="G21" s="80" t="inlineStr">
        <is>
          <t>A minor's invitation emails go to the guardian</t>
        </is>
      </c>
      <c r="H21" s="107" t="inlineStr">
        <is>
          <t>Invitation, reminder and expiry emails for a minor go to the guardian (copy to the minor); today they go only to the minor (notify-invitation.mts).</t>
        </is>
      </c>
      <c r="I21" s="108" t="inlineStr">
        <is>
          <t>Done</t>
        </is>
      </c>
      <c r="J21" s="108" t="n">
        <v>1</v>
      </c>
      <c r="K21" s="109" t="n">
        <v>46324</v>
      </c>
      <c r="L21" s="109" t="n">
        <v>46324</v>
      </c>
      <c r="M21" s="110" t="inlineStr">
        <is>
          <t>rcfworks</t>
        </is>
      </c>
      <c r="N21" s="81" t="n">
        <v>0</v>
      </c>
      <c r="O21" s="80" t="n"/>
      <c r="P21" s="80" t="inlineStr">
        <is>
          <t>Guardian gets every email for a minor's invitation; tests</t>
        </is>
      </c>
      <c r="Q21" s="82" t="inlineStr">
        <is>
          <t>polish.md #9</t>
        </is>
      </c>
      <c r="R21" s="111" t="inlineStr">
        <is>
          <t>Raised 2026-10-28 from the UX review. PR #331: invitation, reminder and expiry emails go to the guardian while the guardian decides, copy to the minor.</t>
        </is>
      </c>
    </row>
    <row r="22" ht="32.8" customHeight="1" s="75">
      <c r="A22" s="104" t="n">
        <v>18</v>
      </c>
      <c r="B22" s="105" t="inlineStr">
        <is>
          <t>POL-BE-10</t>
        </is>
      </c>
      <c r="C22" s="81" t="n">
        <v>2</v>
      </c>
      <c r="D22" s="82" t="inlineStr">
        <is>
          <t>B · Waiting or stuck</t>
        </is>
      </c>
      <c r="E22" s="138" t="inlineStr">
        <is>
          <t>BE</t>
        </is>
      </c>
      <c r="F22" s="120" t="inlineStr">
        <is>
          <t>Code</t>
        </is>
      </c>
      <c r="G22" s="80" t="inlineStr">
        <is>
          <t>Guardian handoff reminders and escalation</t>
        </is>
      </c>
      <c r="H22" s="107" t="inlineStr">
        <is>
          <t>Remind the current guardian after 3 days; escalate to BTG after 7, who can decide with the documents.</t>
        </is>
      </c>
      <c r="I22" s="108" t="inlineStr">
        <is>
          <t>Done</t>
        </is>
      </c>
      <c r="J22" s="108" t="n">
        <v>2</v>
      </c>
      <c r="K22" s="109" t="n">
        <v>46324</v>
      </c>
      <c r="L22" s="109" t="n">
        <v>46324</v>
      </c>
      <c r="M22" s="110" t="inlineStr">
        <is>
          <t>rcfworks</t>
        </is>
      </c>
      <c r="N22" s="81" t="n">
        <v>1</v>
      </c>
      <c r="O22" s="80" t="n"/>
      <c r="P22" s="80" t="inlineStr">
        <is>
          <t>Reminders and escalation on schedule; BTG decides an escalated handoff; tests</t>
        </is>
      </c>
      <c r="Q22" s="82" t="inlineStr">
        <is>
          <t>polish.md #10</t>
        </is>
      </c>
      <c r="R22" s="111" t="inlineStr">
        <is>
          <t>Raised 2026-10-28 from the UX review. PR #333: reminder at 3 days, BTG may decide at 7; the guardian can still answer, first answer decides.</t>
        </is>
      </c>
    </row>
    <row r="23" ht="32.8" customHeight="1" s="75">
      <c r="A23" s="104" t="n">
        <v>19</v>
      </c>
      <c r="B23" s="105" t="inlineStr">
        <is>
          <t>POL-FE-10</t>
        </is>
      </c>
      <c r="C23" s="81" t="n">
        <v>2</v>
      </c>
      <c r="D23" s="82" t="inlineStr">
        <is>
          <t>B · Waiting or stuck</t>
        </is>
      </c>
      <c r="E23" s="138" t="inlineStr">
        <is>
          <t>FE</t>
        </is>
      </c>
      <c r="F23" s="120" t="inlineStr">
        <is>
          <t>Code</t>
        </is>
      </c>
      <c r="G23" s="80" t="inlineStr">
        <is>
          <t>Handoff desk shows age and BTG decide</t>
        </is>
      </c>
      <c r="H23" s="107" t="inlineStr">
        <is>
          <t>Handoff desk shows how long each has waited and a Decide button on escalated ones.</t>
        </is>
      </c>
      <c r="I23" s="108" t="inlineStr">
        <is>
          <t>Done</t>
        </is>
      </c>
      <c r="J23" s="108" t="n">
        <v>0.5</v>
      </c>
      <c r="K23" s="163" t="n">
        <v>46324</v>
      </c>
      <c r="L23" s="163" t="n">
        <v>46324</v>
      </c>
      <c r="M23" s="110" t="inlineStr">
        <is>
          <t>HeckerCreatives</t>
        </is>
      </c>
      <c r="N23" s="81" t="n">
        <v>0</v>
      </c>
      <c r="O23" s="80" t="inlineStr">
        <is>
          <t>POL-BE-10</t>
        </is>
      </c>
      <c r="P23" s="80" t="inlineStr">
        <is>
          <t>BTG sees age and can decide escalated handoffs</t>
        </is>
      </c>
      <c r="Q23" s="82" t="inlineStr">
        <is>
          <t>polish.md #10</t>
        </is>
      </c>
      <c r="R23" s="111" t="inlineStr">
        <is>
          <t>Raised 2026-10-28 from the UX review. | Built and walked 10-29: age, 'No answer from the current guardian', Confirm/Decline on the desk; guardian's card line.</t>
        </is>
      </c>
    </row>
    <row r="24" ht="32.8" customHeight="1" s="75">
      <c r="A24" s="104" t="n">
        <v>20</v>
      </c>
      <c r="B24" s="105" t="inlineStr">
        <is>
          <t>POL-BE-11</t>
        </is>
      </c>
      <c r="C24" s="81" t="n">
        <v>2</v>
      </c>
      <c r="D24" s="82" t="inlineStr">
        <is>
          <t>B · Waiting or stuck</t>
        </is>
      </c>
      <c r="E24" s="138" t="inlineStr">
        <is>
          <t>BE</t>
        </is>
      </c>
      <c r="F24" s="120" t="inlineStr">
        <is>
          <t>Code</t>
        </is>
      </c>
      <c r="G24" s="80" t="inlineStr">
        <is>
          <t>Account closure settles live deals first</t>
        </is>
      </c>
      <c r="H24" s="107" t="inlineStr">
        <is>
          <t>With live deals, closing is held for BTG, which settles each deal and tells the sponsor. A minor's closure needs the guardian. Earned money pays to the account on file without a login.</t>
        </is>
      </c>
      <c r="I24" s="108" t="inlineStr">
        <is>
          <t>Done</t>
        </is>
      </c>
      <c r="J24" s="108" t="n">
        <v>2</v>
      </c>
      <c r="K24" s="109" t="n">
        <v>46324</v>
      </c>
      <c r="L24" s="109" t="n">
        <v>46324</v>
      </c>
      <c r="M24" s="110" t="inlineStr">
        <is>
          <t>rcfworks</t>
        </is>
      </c>
      <c r="N24" s="81" t="n">
        <v>1</v>
      </c>
      <c r="O24" s="80" t="n"/>
      <c r="P24" s="80" t="inlineStr">
        <is>
          <t>No closure leaves a live deal unsettled or unannounced; a minor can't close alone; earned money still pays; tests</t>
        </is>
      </c>
      <c r="Q24" s="82" t="inlineStr">
        <is>
          <t>polish.md #11</t>
        </is>
      </c>
      <c r="R24" s="111" t="inlineStr">
        <is>
          <t>Raised 2026-10-28 from the UX review. Decided 2026-10-29: money with no payout account, and a guardian still acting for a minor, also hold the closure for BTG. PR #335: closing with a live deal, money and no payout account, or a minor in the guardian's care is held for BTG; a minor's account is closed by the guardian; earned money requested as the system.</t>
        </is>
      </c>
    </row>
    <row r="25" ht="32.8" customHeight="1" s="75">
      <c r="A25" s="104" t="n">
        <v>21</v>
      </c>
      <c r="B25" s="105" t="inlineStr">
        <is>
          <t>POL-FE-11</t>
        </is>
      </c>
      <c r="C25" s="81" t="n">
        <v>2</v>
      </c>
      <c r="D25" s="82" t="inlineStr">
        <is>
          <t>B · Waiting or stuck</t>
        </is>
      </c>
      <c r="E25" s="138" t="inlineStr">
        <is>
          <t>FE</t>
        </is>
      </c>
      <c r="F25" s="120" t="inlineStr">
        <is>
          <t>Code</t>
        </is>
      </c>
      <c r="G25" s="80" t="inlineStr">
        <is>
          <t>Closing screen lists live deals</t>
        </is>
      </c>
      <c r="H25" s="107" t="inlineStr">
        <is>
          <t>Before confirming, list the live deals and what happens to each; fix the payout promise wording.</t>
        </is>
      </c>
      <c r="I25" s="108" t="inlineStr">
        <is>
          <t>Done</t>
        </is>
      </c>
      <c r="J25" s="108" t="n">
        <v>0.5</v>
      </c>
      <c r="K25" s="163" t="n">
        <v>46324</v>
      </c>
      <c r="L25" s="163" t="n">
        <v>46324</v>
      </c>
      <c r="M25" s="110" t="inlineStr">
        <is>
          <t>HeckerCreatives</t>
        </is>
      </c>
      <c r="N25" s="81" t="n">
        <v>0</v>
      </c>
      <c r="O25" s="80" t="inlineStr">
        <is>
          <t>POL-BE-11</t>
        </is>
      </c>
      <c r="P25" s="80" t="inlineStr">
        <is>
          <t>Closing screen shows live deals and accurate payout wording</t>
        </is>
      </c>
      <c r="Q25" s="82" t="inlineStr">
        <is>
          <t>polish.md #11</t>
        </is>
      </c>
      <c r="R25" s="111" t="inlineStr">
        <is>
          <t>Raised 2026-10-28 from the UX review. | Built and walked 10-29: preview of live deals, held with Withdraw, minor's message, BTG's Waiting to close tab, Close now refused with the open list. Fix: the close dialog was trapped by the card's entrance animation (sx-fade-up now ends on transform: none).</t>
        </is>
      </c>
    </row>
    <row r="26" ht="32.8" customHeight="1" s="75">
      <c r="A26" s="104" t="n">
        <v>22</v>
      </c>
      <c r="B26" s="105" t="inlineStr">
        <is>
          <t>POL-BE-12</t>
        </is>
      </c>
      <c r="C26" s="81" t="n">
        <v>2</v>
      </c>
      <c r="D26" s="82" t="inlineStr">
        <is>
          <t>B · Waiting or stuck</t>
        </is>
      </c>
      <c r="E26" s="138" t="inlineStr">
        <is>
          <t>BE</t>
        </is>
      </c>
      <c r="F26" s="120" t="inlineStr">
        <is>
          <t>Code</t>
        </is>
      </c>
      <c r="G26" s="80" t="inlineStr">
        <is>
          <t>Held payouts email BTG and are counted</t>
        </is>
      </c>
      <c r="H26" s="107" t="inlineStr">
        <is>
          <t>A held payout emails BTG Finance with the reason and is included in the dashboard counts.</t>
        </is>
      </c>
      <c r="I26" s="108" t="inlineStr">
        <is>
          <t>Done</t>
        </is>
      </c>
      <c r="J26" s="108" t="n">
        <v>1</v>
      </c>
      <c r="K26" s="109" t="n">
        <v>46324</v>
      </c>
      <c r="L26" s="109" t="n">
        <v>46324</v>
      </c>
      <c r="M26" s="110" t="inlineStr">
        <is>
          <t>rcfworks</t>
        </is>
      </c>
      <c r="N26" s="81" t="n">
        <v>1</v>
      </c>
      <c r="O26" s="80" t="n"/>
      <c r="P26" s="80" t="inlineStr">
        <is>
          <t>Every held payout emails and is counted; tests</t>
        </is>
      </c>
      <c r="Q26" s="82" t="inlineStr">
        <is>
          <t>polish.md #12</t>
        </is>
      </c>
      <c r="R26" s="111" t="inlineStr">
        <is>
          <t>Raised 2026-10-28 from the UX review. PR #336: a held payout emails Finance and BTG admins with the reasons; the board counts payouts waiting for BTG.</t>
        </is>
      </c>
    </row>
    <row r="27" ht="23.85" customHeight="1" s="75">
      <c r="A27" s="104" t="n">
        <v>23</v>
      </c>
      <c r="B27" s="105" t="inlineStr">
        <is>
          <t>POL-FE-12</t>
        </is>
      </c>
      <c r="C27" s="81" t="n">
        <v>2</v>
      </c>
      <c r="D27" s="82" t="inlineStr">
        <is>
          <t>B · Waiting or stuck</t>
        </is>
      </c>
      <c r="E27" s="138" t="inlineStr">
        <is>
          <t>FE</t>
        </is>
      </c>
      <c r="F27" s="120" t="inlineStr">
        <is>
          <t>Code</t>
        </is>
      </c>
      <c r="G27" s="80" t="inlineStr">
        <is>
          <t>Held payouts on the BTG dashboard</t>
        </is>
      </c>
      <c r="H27" s="107" t="inlineStr">
        <is>
          <t>Dashboard tile for held payouts, linked to the queue.</t>
        </is>
      </c>
      <c r="I27" s="108" t="inlineStr">
        <is>
          <t>Done</t>
        </is>
      </c>
      <c r="J27" s="108" t="n">
        <v>0.5</v>
      </c>
      <c r="K27" s="109" t="n">
        <v>46325</v>
      </c>
      <c r="L27" s="109" t="n">
        <v>46325</v>
      </c>
      <c r="M27" s="110" t="inlineStr">
        <is>
          <t>HeckerCreatives</t>
        </is>
      </c>
      <c r="N27" s="81" t="n">
        <v>0</v>
      </c>
      <c r="O27" s="80" t="inlineStr">
        <is>
          <t>POL-BE-12</t>
        </is>
      </c>
      <c r="P27" s="80" t="inlineStr">
        <is>
          <t>Tile shows the count and opens the queue</t>
        </is>
      </c>
      <c r="Q27" s="82" t="inlineStr">
        <is>
          <t>polish.md #12</t>
        </is>
      </c>
      <c r="R27" s="111" t="inlineStr">
        <is>
          <t>Raised 2026-10-28 from the UX review. Done 2026-10-30: a fifth Needs BTG action card, Payouts to review, from GET /operations/board payouts {waiting, oldestSince}; oldest waiting since; opens /admin/payouts.</t>
        </is>
      </c>
    </row>
    <row r="28" ht="23.85" customHeight="1" s="75">
      <c r="A28" s="104" t="n">
        <v>24</v>
      </c>
      <c r="B28" s="105" t="inlineStr">
        <is>
          <t>POL-FE-13</t>
        </is>
      </c>
      <c r="C28" s="81" t="n">
        <v>2</v>
      </c>
      <c r="D28" s="82" t="inlineStr">
        <is>
          <t>B · Waiting or stuck</t>
        </is>
      </c>
      <c r="E28" s="138" t="inlineStr">
        <is>
          <t>FE</t>
        </is>
      </c>
      <c r="F28" s="120" t="inlineStr">
        <is>
          <t>Code</t>
        </is>
      </c>
      <c r="G28" s="80" t="inlineStr">
        <is>
          <t>Sponsor invoices screen</t>
        </is>
      </c>
      <c r="H28" s="107" t="inlineStr">
        <is>
          <t>'Invoices to pay' and Billing open an invoices screen (GET /campaigns/{id}/invoices already exists) listing each invoice, status and a pay link.</t>
        </is>
      </c>
      <c r="I28" s="108" t="inlineStr">
        <is>
          <t>Done</t>
        </is>
      </c>
      <c r="J28" s="108" t="n">
        <v>1.5</v>
      </c>
      <c r="K28" s="163" t="n">
        <v>46324</v>
      </c>
      <c r="L28" s="163" t="n">
        <v>46324</v>
      </c>
      <c r="M28" s="110" t="inlineStr">
        <is>
          <t>HeckerCreatives</t>
        </is>
      </c>
      <c r="N28" s="81" t="n">
        <v>0</v>
      </c>
      <c r="O28" s="80" t="n"/>
      <c r="P28" s="80" t="inlineStr">
        <is>
          <t>Sponsor can open, see and pay every invoice</t>
        </is>
      </c>
      <c r="Q28" s="82" t="inlineStr">
        <is>
          <t>polish.md #13</t>
        </is>
      </c>
      <c r="R28" s="111" t="inlineStr">
        <is>
          <t>Raised 2026-10-28 from the UX review. | Pay link is a mailto to support until the invoice row carries a pay URL; list reads each campaign's invoices (no sponsor-wide list). | QA walk 10-29 on the local stack: passed. | QA pass 3 10-29: Pay → is a mailto naming the invoice and campaign. | QA pass 6 10-29: one campaign's invoice read failing no longer takes the page down (marked 'couldn't be read'); reads run six at a time. | QA pass 7 10-29: all campaigns unreadable → says so, no $0 tiles; a lapsed session still surfaces.</t>
        </is>
      </c>
    </row>
    <row r="29" ht="23.85" customHeight="1" s="75">
      <c r="A29" s="104" t="n">
        <v>25</v>
      </c>
      <c r="B29" s="105" t="inlineStr">
        <is>
          <t>POL-BE-14</t>
        </is>
      </c>
      <c r="C29" s="81" t="n">
        <v>2</v>
      </c>
      <c r="D29" s="82" t="inlineStr">
        <is>
          <t>B · Waiting or stuck</t>
        </is>
      </c>
      <c r="E29" s="138" t="inlineStr">
        <is>
          <t>BE</t>
        </is>
      </c>
      <c r="F29" s="120" t="inlineStr">
        <is>
          <t>Code</t>
        </is>
      </c>
      <c r="G29" s="80" t="inlineStr">
        <is>
          <t>Held make-goods email BTG and are counted</t>
        </is>
      </c>
      <c r="H29" s="107" t="inlineStr">
        <is>
          <t>A held make-good emails BTG and is included in the dashboard counts (POL-BE-15).</t>
        </is>
      </c>
      <c r="I29" s="108" t="inlineStr">
        <is>
          <t>Done</t>
        </is>
      </c>
      <c r="J29" s="108" t="n">
        <v>0.5</v>
      </c>
      <c r="K29" s="109" t="n">
        <v>46324</v>
      </c>
      <c r="L29" s="109" t="n">
        <v>46324</v>
      </c>
      <c r="M29" s="110" t="inlineStr">
        <is>
          <t>rcfworks</t>
        </is>
      </c>
      <c r="N29" s="81" t="n">
        <v>0</v>
      </c>
      <c r="O29" s="80" t="n"/>
      <c r="P29" s="80" t="inlineStr">
        <is>
          <t>Every held make-good emails and is counted; tests</t>
        </is>
      </c>
      <c r="Q29" s="82" t="inlineStr">
        <is>
          <t>polish.md #14</t>
        </is>
      </c>
      <c r="R29" s="111" t="inlineStr">
        <is>
          <t>Raised 2026-10-28 from the UX review. Merged #338 (2026-10-29); synced to main in #340.</t>
        </is>
      </c>
    </row>
    <row r="30" ht="23.85" customHeight="1" s="75">
      <c r="A30" s="104" t="n">
        <v>26</v>
      </c>
      <c r="B30" s="105" t="inlineStr">
        <is>
          <t>POL-BE-15</t>
        </is>
      </c>
      <c r="C30" s="81" t="n">
        <v>2</v>
      </c>
      <c r="D30" s="82" t="inlineStr">
        <is>
          <t>B · Waiting or stuck</t>
        </is>
      </c>
      <c r="E30" s="138" t="inlineStr">
        <is>
          <t>BE</t>
        </is>
      </c>
      <c r="F30" s="120" t="inlineStr">
        <is>
          <t>Code</t>
        </is>
      </c>
      <c r="G30" s="80" t="inlineStr">
        <is>
          <t>One counts endpoint for every BTG queue</t>
        </is>
      </c>
      <c r="H30" s="107" t="inlineStr">
        <is>
          <t>Counts for sign-ups, organisations, sponsor requests, handoffs, held listings and orders, delivery issues, payouts and make-goods, plus the existing four, with the oldest item's age.</t>
        </is>
      </c>
      <c r="I30" s="108" t="inlineStr">
        <is>
          <t>Done</t>
        </is>
      </c>
      <c r="J30" s="108" t="n">
        <v>1.5</v>
      </c>
      <c r="K30" s="109" t="n">
        <v>46325</v>
      </c>
      <c r="L30" s="109" t="n">
        <v>46325</v>
      </c>
      <c r="M30" s="110" t="inlineStr">
        <is>
          <t>rcfworks</t>
        </is>
      </c>
      <c r="N30" s="81" t="n">
        <v>1</v>
      </c>
      <c r="O30" s="80" t="n"/>
      <c r="P30" s="80" t="inlineStr">
        <is>
          <t>Every queue that waits on BTG has a count; roles and tenants enforced; tests</t>
        </is>
      </c>
      <c r="Q30" s="82" t="inlineStr">
        <is>
          <t>polish.md #15</t>
        </is>
      </c>
      <c r="R30" s="111" t="inlineStr">
        <is>
          <t>Raised 2026-10-28 from the UX review. Merged #345 (2026-10-30): board counts for 15 more queues; screen notes for POL-FE-15 in polish.md.</t>
        </is>
      </c>
    </row>
    <row r="31" ht="23.85" customHeight="1" s="75">
      <c r="A31" s="104" t="n">
        <v>27</v>
      </c>
      <c r="B31" s="105" t="inlineStr">
        <is>
          <t>POL-FE-15</t>
        </is>
      </c>
      <c r="C31" s="81" t="n">
        <v>2</v>
      </c>
      <c r="D31" s="82" t="inlineStr">
        <is>
          <t>B · Waiting or stuck</t>
        </is>
      </c>
      <c r="E31" s="138" t="inlineStr">
        <is>
          <t>FE</t>
        </is>
      </c>
      <c r="F31" s="120" t="inlineStr">
        <is>
          <t>Code</t>
        </is>
      </c>
      <c r="G31" s="80" t="inlineStr">
        <is>
          <t>BTG dashboard shows every queue</t>
        </is>
      </c>
      <c r="H31" s="107" t="inlineStr">
        <is>
          <t>One tile per queue with its count and oldest age, linked to the queue.</t>
        </is>
      </c>
      <c r="I31" s="108" t="inlineStr">
        <is>
          <t>Ready</t>
        </is>
      </c>
      <c r="J31" s="108" t="n">
        <v>1</v>
      </c>
      <c r="K31" s="109" t="n"/>
      <c r="L31" s="109" t="n"/>
      <c r="M31" s="110" t="inlineStr">
        <is>
          <t>HeckerCreatives</t>
        </is>
      </c>
      <c r="N31" s="81" t="n">
        <v>0</v>
      </c>
      <c r="O31" s="80" t="inlineStr">
        <is>
          <t>POL-BE-15</t>
        </is>
      </c>
      <c r="P31" s="80" t="inlineStr">
        <is>
          <t>Every BTG queue has a tile linked to it</t>
        </is>
      </c>
      <c r="Q31" s="82" t="inlineStr">
        <is>
          <t>polish.md #15</t>
        </is>
      </c>
      <c r="R31" s="111" t="inlineStr">
        <is>
          <t>Raised 2026-10-28 from the UX review.</t>
        </is>
      </c>
    </row>
    <row r="32" ht="22.35" customHeight="1" s="75">
      <c r="A32" s="104" t="n">
        <v>28</v>
      </c>
      <c r="B32" s="105" t="inlineStr">
        <is>
          <t>POL-FE-16</t>
        </is>
      </c>
      <c r="C32" s="81" t="n">
        <v>3</v>
      </c>
      <c r="D32" s="82" t="inlineStr">
        <is>
          <t>C · Confusing or extra work</t>
        </is>
      </c>
      <c r="E32" s="138" t="inlineStr">
        <is>
          <t>FE</t>
        </is>
      </c>
      <c r="F32" s="120" t="inlineStr">
        <is>
          <t>Code</t>
        </is>
      </c>
      <c r="G32" s="80" t="inlineStr">
        <is>
          <t>Change guardian email at /join</t>
        </is>
      </c>
      <c r="H32" s="107" t="inlineStr">
        <is>
          <t>Add 'Change guardian email' on the /join status page (the API already allows it).</t>
        </is>
      </c>
      <c r="I32" s="108" t="inlineStr">
        <is>
          <t>Done</t>
        </is>
      </c>
      <c r="J32" s="108" t="n">
        <v>0.5</v>
      </c>
      <c r="K32" s="163" t="n">
        <v>46324</v>
      </c>
      <c r="L32" s="163" t="n">
        <v>46324</v>
      </c>
      <c r="M32" s="110" t="inlineStr">
        <is>
          <t>HeckerCreatives</t>
        </is>
      </c>
      <c r="N32" s="81" t="n">
        <v>0</v>
      </c>
      <c r="O32" s="80" t="n"/>
      <c r="P32" s="80" t="inlineStr">
        <is>
          <t>A mistyped guardian email can be fixed and the invite resent</t>
        </is>
      </c>
      <c r="Q32" s="82" t="inlineStr">
        <is>
          <t>polish.md #16</t>
        </is>
      </c>
      <c r="R32" s="111" t="inlineStr">
        <is>
          <t>Raised 2026-10-28 from the UX review. | QA 10-29: /join status not walked (needs an intake with a guardian). | QA pass 2 10-29: Change guardian email walked on a real intake; new address shown. | QA pass 6 10-29: the Change guardian email form stays open with what was typed when the API refuses.</t>
        </is>
      </c>
    </row>
    <row r="33" ht="23.85" customHeight="1" s="75">
      <c r="A33" s="104" t="n">
        <v>29</v>
      </c>
      <c r="B33" s="105" t="inlineStr">
        <is>
          <t>POL-BE-17</t>
        </is>
      </c>
      <c r="C33" s="81" t="n">
        <v>3</v>
      </c>
      <c r="D33" s="82" t="inlineStr">
        <is>
          <t>C · Confusing or extra work</t>
        </is>
      </c>
      <c r="E33" s="138" t="inlineStr">
        <is>
          <t>BE</t>
        </is>
      </c>
      <c r="F33" s="120" t="inlineStr">
        <is>
          <t>Code</t>
        </is>
      </c>
      <c r="G33" s="80" t="inlineStr">
        <is>
          <t>Withdraw a sponsor request</t>
        </is>
      </c>
      <c r="H33" s="107" t="inlineStr">
        <is>
          <t>Add withdraw for a sent request if missing; confirm PATCH /briefs covers edit while editable.</t>
        </is>
      </c>
      <c r="I33" s="108" t="inlineStr">
        <is>
          <t>Done</t>
        </is>
      </c>
      <c r="J33" s="108" t="n">
        <v>0.5</v>
      </c>
      <c r="K33" s="109" t="n">
        <v>46325</v>
      </c>
      <c r="L33" s="109" t="n">
        <v>46325</v>
      </c>
      <c r="M33" s="110" t="inlineStr">
        <is>
          <t>rcfworks</t>
        </is>
      </c>
      <c r="N33" s="81" t="n">
        <v>1</v>
      </c>
      <c r="O33" s="80" t="n"/>
      <c r="P33" s="80" t="inlineStr">
        <is>
          <t>Sponsor can withdraw; edit allowed only while editable; tests</t>
        </is>
      </c>
      <c r="Q33" s="82" t="inlineStr">
        <is>
          <t>polish.md #17</t>
        </is>
      </c>
      <c r="R33" s="111" t="inlineStr">
        <is>
          <t>Raised 2026-10-28 from the UX review. Merged #349 (2026-10-30): youCan { edit, withdraw } on briefs; BTG emailed when a sponsor withdraws; screen notes for POL-FE-17 in polish.md.</t>
        </is>
      </c>
    </row>
    <row r="34" ht="23.85" customHeight="1" s="75">
      <c r="A34" s="104" t="n">
        <v>30</v>
      </c>
      <c r="B34" s="105" t="inlineStr">
        <is>
          <t>POL-FE-17</t>
        </is>
      </c>
      <c r="C34" s="81" t="n">
        <v>3</v>
      </c>
      <c r="D34" s="82" t="inlineStr">
        <is>
          <t>C · Confusing or extra work</t>
        </is>
      </c>
      <c r="E34" s="138" t="inlineStr">
        <is>
          <t>FE</t>
        </is>
      </c>
      <c r="F34" s="120" t="inlineStr">
        <is>
          <t>Code</t>
        </is>
      </c>
      <c r="G34" s="80" t="inlineStr">
        <is>
          <t>Sponsor request detail with Edit and Withdraw</t>
        </is>
      </c>
      <c r="H34" s="107" t="inlineStr">
        <is>
          <t>The request opens to a detail page with Edit (while editable) and Withdraw.</t>
        </is>
      </c>
      <c r="I34" s="108" t="inlineStr">
        <is>
          <t>Ready</t>
        </is>
      </c>
      <c r="J34" s="108" t="n">
        <v>1</v>
      </c>
      <c r="K34" s="109" t="n"/>
      <c r="L34" s="109" t="n"/>
      <c r="M34" s="110" t="inlineStr">
        <is>
          <t>HeckerCreatives</t>
        </is>
      </c>
      <c r="N34" s="81" t="n">
        <v>0</v>
      </c>
      <c r="O34" s="80" t="inlineStr">
        <is>
          <t>POL-BE-17</t>
        </is>
      </c>
      <c r="P34" s="80" t="inlineStr">
        <is>
          <t>Sponsor can open, edit and withdraw a request</t>
        </is>
      </c>
      <c r="Q34" s="82" t="inlineStr">
        <is>
          <t>polish.md #17</t>
        </is>
      </c>
      <c r="R34" s="111" t="inlineStr">
        <is>
          <t>Raised 2026-10-28 from the UX review.</t>
        </is>
      </c>
    </row>
    <row r="35" ht="23.85" customHeight="1" s="75">
      <c r="A35" s="104" t="n">
        <v>31</v>
      </c>
      <c r="B35" s="105" t="inlineStr">
        <is>
          <t>POL-BE-18</t>
        </is>
      </c>
      <c r="C35" s="81" t="n">
        <v>3</v>
      </c>
      <c r="D35" s="82" t="inlineStr">
        <is>
          <t>C · Confusing or extra work</t>
        </is>
      </c>
      <c r="E35" s="138" t="inlineStr">
        <is>
          <t>BE</t>
        </is>
      </c>
      <c r="F35" s="120" t="inlineStr">
        <is>
          <t>Code</t>
        </is>
      </c>
      <c r="G35" s="80" t="inlineStr">
        <is>
          <t>Resend and change the request confirmation email</t>
        </is>
      </c>
      <c r="H35" s="107" t="inlineStr">
        <is>
          <t>Endpoints to resend the confirmation email and change the address, rate limited (if missing).</t>
        </is>
      </c>
      <c r="I35" s="108" t="inlineStr">
        <is>
          <t>Code review</t>
        </is>
      </c>
      <c r="J35" s="108" t="n">
        <v>0.5</v>
      </c>
      <c r="K35" s="109" t="n">
        <v>46325</v>
      </c>
      <c r="L35" s="109" t="n"/>
      <c r="M35" s="110" t="inlineStr">
        <is>
          <t>rcfworks</t>
        </is>
      </c>
      <c r="N35" s="81" t="n">
        <v>1</v>
      </c>
      <c r="O35" s="80" t="n"/>
      <c r="P35" s="80" t="inlineStr">
        <is>
          <t>Resend and change work, rate limited; tests</t>
        </is>
      </c>
      <c r="Q35" s="82" t="inlineStr">
        <is>
          <t>polish.md #18</t>
        </is>
      </c>
      <c r="R35" s="111" t="inlineStr">
        <is>
          <t>Raised 2026-10-28 from the UX review. Resend and change-email on the status page (3/hour per request); confirmation links bound to the address; screen notes for POL-FE-18 in polish.md.</t>
        </is>
      </c>
    </row>
    <row r="36" ht="23.85" customHeight="1" s="75">
      <c r="A36" s="104" t="n">
        <v>32</v>
      </c>
      <c r="B36" s="105" t="inlineStr">
        <is>
          <t>POL-FE-18</t>
        </is>
      </c>
      <c r="C36" s="81" t="n">
        <v>3</v>
      </c>
      <c r="D36" s="82" t="inlineStr">
        <is>
          <t>C · Confusing or extra work</t>
        </is>
      </c>
      <c r="E36" s="138" t="inlineStr">
        <is>
          <t>FE</t>
        </is>
      </c>
      <c r="F36" s="120" t="inlineStr">
        <is>
          <t>Code</t>
        </is>
      </c>
      <c r="G36" s="80" t="inlineStr">
        <is>
          <t>Resend email and Change email on the request status</t>
        </is>
      </c>
      <c r="H36" s="107" t="inlineStr">
        <is>
          <t>Buttons on the sponsor request status page.</t>
        </is>
      </c>
      <c r="I36" s="108" t="inlineStr">
        <is>
          <t>Ready</t>
        </is>
      </c>
      <c r="J36" s="108" t="n">
        <v>0.5</v>
      </c>
      <c r="K36" s="109" t="n"/>
      <c r="L36" s="109" t="n"/>
      <c r="M36" s="110" t="inlineStr">
        <is>
          <t>HeckerCreatives</t>
        </is>
      </c>
      <c r="N36" s="81" t="n">
        <v>0</v>
      </c>
      <c r="O36" s="80" t="inlineStr">
        <is>
          <t>POL-BE-18</t>
        </is>
      </c>
      <c r="P36" s="80" t="inlineStr">
        <is>
          <t>Sponsor can resend or fix the address</t>
        </is>
      </c>
      <c r="Q36" s="82" t="inlineStr">
        <is>
          <t>polish.md #18</t>
        </is>
      </c>
      <c r="R36" s="111" t="inlineStr">
        <is>
          <t>Raised 2026-10-28 from the UX review.</t>
        </is>
      </c>
    </row>
    <row r="37" ht="23.85" customHeight="1" s="75">
      <c r="A37" s="104" t="n">
        <v>33</v>
      </c>
      <c r="B37" s="105" t="inlineStr">
        <is>
          <t>POL-BE-19</t>
        </is>
      </c>
      <c r="C37" s="81" t="n">
        <v>3</v>
      </c>
      <c r="D37" s="82" t="inlineStr">
        <is>
          <t>C · Confusing or extra work</t>
        </is>
      </c>
      <c r="E37" s="138" t="inlineStr">
        <is>
          <t>BE</t>
        </is>
      </c>
      <c r="F37" s="120" t="inlineStr">
        <is>
          <t>Code</t>
        </is>
      </c>
      <c r="G37" s="80" t="inlineStr">
        <is>
          <t>Sponsor admin invites teammates</t>
        </is>
      </c>
      <c r="H37" s="107" t="inlineStr">
        <is>
          <t>Invite by email and set roles within the sponsor's own organisation (if the API lacks it).</t>
        </is>
      </c>
      <c r="I37" s="108" t="inlineStr">
        <is>
          <t>Code review</t>
        </is>
      </c>
      <c r="J37" s="108" t="n">
        <v>1.5</v>
      </c>
      <c r="K37" s="109" t="n">
        <v>46325</v>
      </c>
      <c r="L37" s="109" t="n"/>
      <c r="M37" s="110" t="inlineStr">
        <is>
          <t>rcfworks</t>
        </is>
      </c>
      <c r="N37" s="81" t="n">
        <v>1</v>
      </c>
      <c r="O37" s="80" t="n"/>
      <c r="P37" s="80" t="inlineStr">
        <is>
          <t>Invite and role change work; own tenant only; tests</t>
        </is>
      </c>
      <c r="Q37" s="82" t="inlineStr">
        <is>
          <t>polish.md #19</t>
        </is>
      </c>
      <c r="R37" s="111" t="inlineStr">
        <is>
          <t>Raised 2026-10-28 from the UX review. /sponsor/team: invite by email, roles, resend, remove; screen notes (and hiding Settings/Messages) for POL-FE-19 in polish.md.</t>
        </is>
      </c>
    </row>
    <row r="38" ht="23.85" customHeight="1" s="75">
      <c r="A38" s="104" t="n">
        <v>34</v>
      </c>
      <c r="B38" s="105" t="inlineStr">
        <is>
          <t>POL-FE-19</t>
        </is>
      </c>
      <c r="C38" s="81" t="n">
        <v>3</v>
      </c>
      <c r="D38" s="82" t="inlineStr">
        <is>
          <t>C · Confusing or extra work</t>
        </is>
      </c>
      <c r="E38" s="138" t="inlineStr">
        <is>
          <t>FE</t>
        </is>
      </c>
      <c r="F38" s="120" t="inlineStr">
        <is>
          <t>Code</t>
        </is>
      </c>
      <c r="G38" s="80" t="inlineStr">
        <is>
          <t>Sponsor team screen; hide dead menu items</t>
        </is>
      </c>
      <c r="H38" s="107" t="inlineStr">
        <is>
          <t>Team screen to invite and set roles; hide Settings and Messages until they work.</t>
        </is>
      </c>
      <c r="I38" s="108" t="inlineStr">
        <is>
          <t>Ready</t>
        </is>
      </c>
      <c r="J38" s="108" t="n">
        <v>1</v>
      </c>
      <c r="K38" s="109" t="n"/>
      <c r="L38" s="109" t="n"/>
      <c r="M38" s="110" t="inlineStr">
        <is>
          <t>HeckerCreatives</t>
        </is>
      </c>
      <c r="N38" s="81" t="n">
        <v>0</v>
      </c>
      <c r="O38" s="80" t="inlineStr">
        <is>
          <t>POL-BE-19</t>
        </is>
      </c>
      <c r="P38" s="80" t="inlineStr">
        <is>
          <t>Sponsor admin can invite teammates; no dead menu items</t>
        </is>
      </c>
      <c r="Q38" s="82" t="inlineStr">
        <is>
          <t>polish.md #19</t>
        </is>
      </c>
      <c r="R38" s="111" t="inlineStr">
        <is>
          <t>Raised 2026-10-28 from the UX review.</t>
        </is>
      </c>
    </row>
    <row r="39" ht="23.85" customHeight="1" s="75">
      <c r="A39" s="104" t="n">
        <v>35</v>
      </c>
      <c r="B39" s="105" t="inlineStr">
        <is>
          <t>POL-FE-20</t>
        </is>
      </c>
      <c r="C39" s="81" t="n">
        <v>3</v>
      </c>
      <c r="D39" s="82" t="inlineStr">
        <is>
          <t>C · Confusing or extra work</t>
        </is>
      </c>
      <c r="E39" s="138" t="inlineStr">
        <is>
          <t>FE</t>
        </is>
      </c>
      <c r="F39" s="120" t="inlineStr">
        <is>
          <t>Code</t>
        </is>
      </c>
      <c r="G39" s="80" t="inlineStr">
        <is>
          <t>'Needs your OK' only when there is an action</t>
        </is>
      </c>
      <c r="H39" s="107" t="inlineStr">
        <is>
          <t>Show it only when the sponsor has an action, linked straight to it.</t>
        </is>
      </c>
      <c r="I39" s="108" t="inlineStr">
        <is>
          <t>Done</t>
        </is>
      </c>
      <c r="J39" s="108" t="n">
        <v>0.5</v>
      </c>
      <c r="K39" s="163" t="n">
        <v>46324</v>
      </c>
      <c r="L39" s="163" t="n">
        <v>46324</v>
      </c>
      <c r="M39" s="110" t="inlineStr">
        <is>
          <t>HeckerCreatives</t>
        </is>
      </c>
      <c r="N39" s="81" t="n">
        <v>0</v>
      </c>
      <c r="O39" s="80" t="n"/>
      <c r="P39" s="80" t="inlineStr">
        <is>
          <t>Never shown without a sponsor action; links to it</t>
        </is>
      </c>
      <c r="Q39" s="82" t="inlineStr">
        <is>
          <t>polish.md #20</t>
        </is>
      </c>
      <c r="R39" s="111" t="inlineStr">
        <is>
          <t>Raised 2026-10-28 from the UX review. | QA walk 10-29 on the local stack: passed. | QA pass 3 10-29: tile lands on ?review=1 with the campaign; Approve posts → opens it.</t>
        </is>
      </c>
    </row>
    <row r="40" ht="23.85" customHeight="1" s="75">
      <c r="A40" s="104" t="n">
        <v>36</v>
      </c>
      <c r="B40" s="105" t="inlineStr">
        <is>
          <t>POL-FE-21</t>
        </is>
      </c>
      <c r="C40" s="81" t="n">
        <v>3</v>
      </c>
      <c r="D40" s="82" t="inlineStr">
        <is>
          <t>C · Confusing or extra work</t>
        </is>
      </c>
      <c r="E40" s="138" t="inlineStr">
        <is>
          <t>FE</t>
        </is>
      </c>
      <c r="F40" s="120" t="inlineStr">
        <is>
          <t>Code</t>
        </is>
      </c>
      <c r="G40" s="80" t="inlineStr">
        <is>
          <t>Request progress steps follow the real state</t>
        </is>
      </c>
      <c r="H40" s="107" t="inlineStr">
        <is>
          <t>No 'Price agreed' or 'Campaign live' before they happen.</t>
        </is>
      </c>
      <c r="I40" s="108" t="inlineStr">
        <is>
          <t>Done</t>
        </is>
      </c>
      <c r="J40" s="108" t="n">
        <v>0.5</v>
      </c>
      <c r="K40" s="163" t="n">
        <v>46324</v>
      </c>
      <c r="L40" s="163" t="n">
        <v>46324</v>
      </c>
      <c r="M40" s="110" t="inlineStr">
        <is>
          <t>HeckerCreatives</t>
        </is>
      </c>
      <c r="N40" s="81" t="n">
        <v>0</v>
      </c>
      <c r="O40" s="80" t="n"/>
      <c r="P40" s="80" t="inlineStr">
        <is>
          <t>Steps match the request's real state</t>
        </is>
      </c>
      <c r="Q40" s="82" t="inlineStr">
        <is>
          <t>polish.md #21</t>
        </is>
      </c>
      <c r="R40" s="111" t="inlineStr">
        <is>
          <t>Raised 2026-10-28 from the UX review. | QA walk 10-29 on the local stack: passed.</t>
        </is>
      </c>
    </row>
    <row r="41" ht="23.85" customHeight="1" s="75">
      <c r="A41" s="104" t="n">
        <v>37</v>
      </c>
      <c r="B41" s="105" t="inlineStr">
        <is>
          <t>POL-BE-22</t>
        </is>
      </c>
      <c r="C41" s="81" t="n">
        <v>3</v>
      </c>
      <c r="D41" s="82" t="inlineStr">
        <is>
          <t>C · Confusing or extra work</t>
        </is>
      </c>
      <c r="E41" s="138" t="inlineStr">
        <is>
          <t>BE</t>
        </is>
      </c>
      <c r="F41" s="120" t="inlineStr">
        <is>
          <t>Code</t>
        </is>
      </c>
      <c r="G41" s="80" t="inlineStr">
        <is>
          <t>Mark a stalled campaign</t>
        </is>
      </c>
      <c r="H41" s="107" t="inlineStr">
        <is>
          <t>The API flags a campaign whose staffing has stalled and when BTG stepped in.</t>
        </is>
      </c>
      <c r="I41" s="108" t="inlineStr">
        <is>
          <t>Code review</t>
        </is>
      </c>
      <c r="J41" s="108" t="n">
        <v>0.5</v>
      </c>
      <c r="K41" s="109" t="n">
        <v>46325</v>
      </c>
      <c r="L41" s="109" t="n"/>
      <c r="M41" s="110" t="inlineStr">
        <is>
          <t>rcfworks</t>
        </is>
      </c>
      <c r="N41" s="81" t="n">
        <v>1</v>
      </c>
      <c r="O41" s="80" t="n"/>
      <c r="P41" s="80" t="inlineStr">
        <is>
          <t>Stalled campaigns flagged; tests</t>
        </is>
      </c>
      <c r="Q41" s="82" t="inlineStr">
        <is>
          <t>polish.md #22</t>
        </is>
      </c>
      <c r="R41" s="111" t="inlineStr">
        <is>
          <t>Raised 2026-10-28 from the UX review. staffing.btgFinding { since } for the sponsor; next step reads "BTG is finding more athletes since …"; screen notes for POL-FE-22 in polish.md.</t>
        </is>
      </c>
    </row>
    <row r="42" ht="22.35" customHeight="1" s="75">
      <c r="A42" s="104" t="n">
        <v>38</v>
      </c>
      <c r="B42" s="105" t="inlineStr">
        <is>
          <t>POL-FE-22</t>
        </is>
      </c>
      <c r="C42" s="81" t="n">
        <v>3</v>
      </c>
      <c r="D42" s="82" t="inlineStr">
        <is>
          <t>C · Confusing or extra work</t>
        </is>
      </c>
      <c r="E42" s="138" t="inlineStr">
        <is>
          <t>FE</t>
        </is>
      </c>
      <c r="F42" s="120" t="inlineStr">
        <is>
          <t>Code</t>
        </is>
      </c>
      <c r="G42" s="80" t="inlineStr">
        <is>
          <t>Sponsor sees 'BTG is finding more athletes'</t>
        </is>
      </c>
      <c r="H42" s="107" t="inlineStr">
        <is>
          <t>Shown on a stalled campaign, with a date.</t>
        </is>
      </c>
      <c r="I42" s="108" t="inlineStr">
        <is>
          <t>Ready</t>
        </is>
      </c>
      <c r="J42" s="108" t="n">
        <v>0.5</v>
      </c>
      <c r="K42" s="109" t="n"/>
      <c r="L42" s="109" t="n"/>
      <c r="M42" s="110" t="inlineStr">
        <is>
          <t>HeckerCreatives</t>
        </is>
      </c>
      <c r="N42" s="81" t="n">
        <v>0</v>
      </c>
      <c r="O42" s="80" t="inlineStr">
        <is>
          <t>POL-BE-22</t>
        </is>
      </c>
      <c r="P42" s="80" t="inlineStr">
        <is>
          <t>Sponsor sees the stalled message</t>
        </is>
      </c>
      <c r="Q42" s="82" t="inlineStr">
        <is>
          <t>polish.md #22</t>
        </is>
      </c>
      <c r="R42" s="111" t="inlineStr">
        <is>
          <t>Raised 2026-10-28 from the UX review.</t>
        </is>
      </c>
    </row>
    <row r="43" ht="23.85" customHeight="1" s="75">
      <c r="A43" s="104" t="n">
        <v>39</v>
      </c>
      <c r="B43" s="105" t="inlineStr">
        <is>
          <t>POL-FE-23</t>
        </is>
      </c>
      <c r="C43" s="81" t="n">
        <v>3</v>
      </c>
      <c r="D43" s="82" t="inlineStr">
        <is>
          <t>C · Confusing or extra work</t>
        </is>
      </c>
      <c r="E43" s="138" t="inlineStr">
        <is>
          <t>FE</t>
        </is>
      </c>
      <c r="F43" s="120" t="inlineStr">
        <is>
          <t>Code</t>
        </is>
      </c>
      <c r="G43" s="80" t="inlineStr">
        <is>
          <t>Content review shows a review-by date and opens the post</t>
        </is>
      </c>
      <c r="H43" s="107" t="inlineStr">
        <is>
          <t>Show the due date (back end adds it if missing); the dashboard link opens the post.</t>
        </is>
      </c>
      <c r="I43" s="108" t="inlineStr">
        <is>
          <t>Done</t>
        </is>
      </c>
      <c r="J43" s="108" t="n">
        <v>0.5</v>
      </c>
      <c r="K43" s="163" t="n">
        <v>46324</v>
      </c>
      <c r="L43" s="163" t="n">
        <v>46324</v>
      </c>
      <c r="M43" s="110" t="inlineStr">
        <is>
          <t>HeckerCreatives</t>
        </is>
      </c>
      <c r="N43" s="81" t="n">
        <v>0</v>
      </c>
      <c r="O43" s="80" t="n"/>
      <c r="P43" s="80" t="inlineStr">
        <is>
          <t>Due date shown; link lands on the post</t>
        </is>
      </c>
      <c r="Q43" s="82" t="inlineStr">
        <is>
          <t>polish.md #23</t>
        </is>
      </c>
      <c r="R43" s="111" t="inlineStr">
        <is>
          <t>Raised 2026-10-28 from the UX review. | Review-by computed as waitingSince + 48 h, never past dueDate, until the API returns it. | QA walk 10-29 on the local stack: passed. | QA pass 3 10-29: board list opens the post's drawer on arrival (client navigation). | QA pass 6 10-29: 'overdue' now flips at the end of the due day locally, not at UTC midnight; the drawer's scroll region is keyboard-focusable (axe). | QA pass 7 10-29: review-by is the end of the due day in America/New_York on any server; invalid dates fall back to the window.</t>
        </is>
      </c>
    </row>
    <row r="44" ht="22.35" customHeight="1" s="75">
      <c r="A44" s="104" t="n">
        <v>40</v>
      </c>
      <c r="B44" s="105" t="inlineStr">
        <is>
          <t>POL-FE-24</t>
        </is>
      </c>
      <c r="C44" s="81" t="n">
        <v>3</v>
      </c>
      <c r="D44" s="82" t="inlineStr">
        <is>
          <t>C · Confusing or extra work</t>
        </is>
      </c>
      <c r="E44" s="138" t="inlineStr">
        <is>
          <t>FE</t>
        </is>
      </c>
      <c r="F44" s="120" t="inlineStr">
        <is>
          <t>Code</t>
        </is>
      </c>
      <c r="G44" s="80" t="inlineStr">
        <is>
          <t>Athlete Campaign Orders list with Accept and Decline</t>
        </is>
      </c>
      <c r="H44" s="107" t="inlineStr">
        <is>
          <t>A Campaign Orders list; Decline uses the existing API; menu labels separate it from marketplace sales.</t>
        </is>
      </c>
      <c r="I44" s="108" t="inlineStr">
        <is>
          <t>Done</t>
        </is>
      </c>
      <c r="J44" s="108" t="n">
        <v>1</v>
      </c>
      <c r="K44" s="163" t="n">
        <v>46324</v>
      </c>
      <c r="L44" s="163" t="n">
        <v>46324</v>
      </c>
      <c r="M44" s="110" t="inlineStr">
        <is>
          <t>HeckerCreatives</t>
        </is>
      </c>
      <c r="N44" s="81" t="n">
        <v>0</v>
      </c>
      <c r="O44" s="80" t="n"/>
      <c r="P44" s="80" t="inlineStr">
        <is>
          <t>Athlete can see, accept and decline Campaign Orders</t>
        </is>
      </c>
      <c r="Q44" s="82" t="inlineStr">
        <is>
          <t>polish.md #24</t>
        </is>
      </c>
      <c r="R44" s="111" t="inlineStr">
        <is>
          <t>Raised 2026-10-28 from the UX review. | Built from GET /invitations?state=accepted (no GET /orders list in the API). | QA walk 10-29 on the local stack: passed.</t>
        </is>
      </c>
    </row>
    <row r="45" ht="23.85" customHeight="1" s="75">
      <c r="A45" s="104" t="n">
        <v>41</v>
      </c>
      <c r="B45" s="105" t="inlineStr">
        <is>
          <t>POL-FE-25</t>
        </is>
      </c>
      <c r="C45" s="81" t="n">
        <v>3</v>
      </c>
      <c r="D45" s="82" t="inlineStr">
        <is>
          <t>C · Confusing or extra work</t>
        </is>
      </c>
      <c r="E45" s="138" t="inlineStr">
        <is>
          <t>FE</t>
        </is>
      </c>
      <c r="F45" s="120" t="inlineStr">
        <is>
          <t>Code</t>
        </is>
      </c>
      <c r="G45" s="80" t="inlineStr">
        <is>
          <t>Earnings and Payouts say the same thing</t>
        </is>
      </c>
      <c r="H45" s="107" t="inlineStr">
        <is>
          <t>Remove 'BTG handles payouts outside the platform' where it contradicts the Payouts page.</t>
        </is>
      </c>
      <c r="I45" s="108" t="inlineStr">
        <is>
          <t>Done</t>
        </is>
      </c>
      <c r="J45" s="108" t="n">
        <v>0.25</v>
      </c>
      <c r="K45" s="163" t="n">
        <v>46324</v>
      </c>
      <c r="L45" s="163" t="n">
        <v>46324</v>
      </c>
      <c r="M45" s="110" t="inlineStr">
        <is>
          <t>HeckerCreatives</t>
        </is>
      </c>
      <c r="N45" s="81" t="n">
        <v>0</v>
      </c>
      <c r="O45" s="80" t="n"/>
      <c r="P45" s="80" t="inlineStr">
        <is>
          <t>One consistent message</t>
        </is>
      </c>
      <c r="Q45" s="82" t="inlineStr">
        <is>
          <t>polish.md #25</t>
        </is>
      </c>
      <c r="R45" s="111" t="inlineStr">
        <is>
          <t>Raised 2026-10-28 from the UX review. | QA walk 10-29 on the local stack: passed.</t>
        </is>
      </c>
    </row>
    <row r="46" ht="23.85" customHeight="1" s="75">
      <c r="A46" s="104" t="n">
        <v>42</v>
      </c>
      <c r="B46" s="105" t="inlineStr">
        <is>
          <t>POL-FE-26</t>
        </is>
      </c>
      <c r="C46" s="81" t="n">
        <v>3</v>
      </c>
      <c r="D46" s="82" t="inlineStr">
        <is>
          <t>C · Confusing or extra work</t>
        </is>
      </c>
      <c r="E46" s="138" t="inlineStr">
        <is>
          <t>FE</t>
        </is>
      </c>
      <c r="F46" s="120" t="inlineStr">
        <is>
          <t>Code</t>
        </is>
      </c>
      <c r="G46" s="80" t="inlineStr">
        <is>
          <t>Minors see 'your guardian sets this up'</t>
        </is>
      </c>
      <c r="H46" s="107" t="inlineStr">
        <is>
          <t>Hide the Stripe setup button for a minor; the guardian sees it.</t>
        </is>
      </c>
      <c r="I46" s="108" t="inlineStr">
        <is>
          <t>Done</t>
        </is>
      </c>
      <c r="J46" s="108" t="n">
        <v>0.5</v>
      </c>
      <c r="K46" s="163" t="n">
        <v>46324</v>
      </c>
      <c r="L46" s="163" t="n">
        <v>46324</v>
      </c>
      <c r="M46" s="110" t="inlineStr">
        <is>
          <t>HeckerCreatives</t>
        </is>
      </c>
      <c r="N46" s="81" t="n">
        <v>0</v>
      </c>
      <c r="O46" s="80" t="n"/>
      <c r="P46" s="80" t="inlineStr">
        <is>
          <t>Minor never sees a button that fails</t>
        </is>
      </c>
      <c r="Q46" s="82" t="inlineStr">
        <is>
          <t>polish.md #26</t>
        </is>
      </c>
      <c r="R46" s="111" t="inlineStr">
        <is>
          <t>Raised 2026-10-28 from the UX review. | QA walk 10-29 on the local stack: passed. | QA pass 4 10-29: a guardian acting for the minor (sx-ward) sees the Stripe button, not the guardian line.</t>
        </is>
      </c>
    </row>
    <row r="47" ht="22.35" customHeight="1" s="75">
      <c r="A47" s="104" t="n">
        <v>43</v>
      </c>
      <c r="B47" s="105" t="inlineStr">
        <is>
          <t>POL-FE-27</t>
        </is>
      </c>
      <c r="C47" s="81" t="n">
        <v>3</v>
      </c>
      <c r="D47" s="82" t="inlineStr">
        <is>
          <t>C · Confusing or extra work</t>
        </is>
      </c>
      <c r="E47" s="138" t="inlineStr">
        <is>
          <t>FE</t>
        </is>
      </c>
      <c r="F47" s="120" t="inlineStr">
        <is>
          <t>Code</t>
        </is>
      </c>
      <c r="G47" s="80" t="inlineStr">
        <is>
          <t>Confirm before declining an invitation</t>
        </is>
      </c>
      <c r="H47" s="107" t="inlineStr">
        <is>
          <t>Add an 'are you sure?' like offers have.</t>
        </is>
      </c>
      <c r="I47" s="108" t="inlineStr">
        <is>
          <t>Done</t>
        </is>
      </c>
      <c r="J47" s="108" t="n">
        <v>0.25</v>
      </c>
      <c r="K47" s="163" t="n">
        <v>46324</v>
      </c>
      <c r="L47" s="163" t="n">
        <v>46324</v>
      </c>
      <c r="M47" s="110" t="inlineStr">
        <is>
          <t>HeckerCreatives</t>
        </is>
      </c>
      <c r="N47" s="81" t="n">
        <v>0</v>
      </c>
      <c r="O47" s="80" t="n"/>
      <c r="P47" s="80" t="inlineStr">
        <is>
          <t>Declining asks first</t>
        </is>
      </c>
      <c r="Q47" s="82" t="inlineStr">
        <is>
          <t>polish.md #27</t>
        </is>
      </c>
      <c r="R47" s="111" t="inlineStr">
        <is>
          <t>Raised 2026-10-28 from the UX review. | QA 10-29: no open invitation locally; dialog not walked. | QA pass 2 10-29: decline confirmation walked; Keep it open leaves it open.</t>
        </is>
      </c>
    </row>
    <row r="48" ht="23.85" customHeight="1" s="75">
      <c r="A48" s="104" t="n">
        <v>44</v>
      </c>
      <c r="B48" s="105" t="inlineStr">
        <is>
          <t>POL-FE-28</t>
        </is>
      </c>
      <c r="C48" s="81" t="n">
        <v>3</v>
      </c>
      <c r="D48" s="82" t="inlineStr">
        <is>
          <t>C · Confusing or extra work</t>
        </is>
      </c>
      <c r="E48" s="138" t="inlineStr">
        <is>
          <t>FE</t>
        </is>
      </c>
      <c r="F48" s="120" t="inlineStr">
        <is>
          <t>Code</t>
        </is>
      </c>
      <c r="G48" s="80" t="inlineStr">
        <is>
          <t>Confirm before 'Confirm delivered'</t>
        </is>
      </c>
      <c r="H48" s="107" t="inlineStr">
        <is>
          <t>Confirmation saying the seller will be paid.</t>
        </is>
      </c>
      <c r="I48" s="108" t="inlineStr">
        <is>
          <t>Done</t>
        </is>
      </c>
      <c r="J48" s="108" t="n">
        <v>0.25</v>
      </c>
      <c r="K48" s="163" t="n">
        <v>46324</v>
      </c>
      <c r="L48" s="163" t="n">
        <v>46324</v>
      </c>
      <c r="M48" s="110" t="inlineStr">
        <is>
          <t>HeckerCreatives</t>
        </is>
      </c>
      <c r="N48" s="81" t="n">
        <v>0</v>
      </c>
      <c r="O48" s="80" t="n"/>
      <c r="P48" s="80" t="inlineStr">
        <is>
          <t>Confirm delivered asks first</t>
        </is>
      </c>
      <c r="Q48" s="82" t="inlineStr">
        <is>
          <t>polish.md #28</t>
        </is>
      </c>
      <c r="R48" s="111" t="inlineStr">
        <is>
          <t>Raised 2026-10-28 from the UX review. | QA 10-29: no delivered line to confirm locally; dialog not walked. | QA pass 2 10-29: confirm dialog walked; names the seller and the amount; Not yet focused.</t>
        </is>
      </c>
    </row>
    <row r="49" ht="23.85" customHeight="1" s="75">
      <c r="A49" s="104" t="n">
        <v>45</v>
      </c>
      <c r="B49" s="105" t="inlineStr">
        <is>
          <t>POL-BE-29</t>
        </is>
      </c>
      <c r="C49" s="81" t="n">
        <v>3</v>
      </c>
      <c r="D49" s="82" t="inlineStr">
        <is>
          <t>C · Confusing or extra work</t>
        </is>
      </c>
      <c r="E49" s="138" t="inlineStr">
        <is>
          <t>BE</t>
        </is>
      </c>
      <c r="F49" s="120" t="inlineStr">
        <is>
          <t>Code</t>
        </is>
      </c>
      <c r="G49" s="80" t="inlineStr">
        <is>
          <t>Handoff queue oldest first</t>
        </is>
      </c>
      <c r="H49" s="107" t="inlineStr">
        <is>
          <t>Sort guardian handoffs oldest first.</t>
        </is>
      </c>
      <c r="I49" s="108" t="inlineStr">
        <is>
          <t>Ready</t>
        </is>
      </c>
      <c r="J49" s="108" t="n">
        <v>0.25</v>
      </c>
      <c r="K49" s="109" t="n"/>
      <c r="L49" s="109" t="n"/>
      <c r="M49" s="110" t="inlineStr">
        <is>
          <t>rcfworks</t>
        </is>
      </c>
      <c r="N49" s="81" t="n">
        <v>0</v>
      </c>
      <c r="O49" s="80" t="n"/>
      <c r="P49" s="80" t="inlineStr">
        <is>
          <t>Oldest first; test</t>
        </is>
      </c>
      <c r="Q49" s="82" t="inlineStr">
        <is>
          <t>polish.md #29</t>
        </is>
      </c>
      <c r="R49" s="111" t="inlineStr">
        <is>
          <t>Raised 2026-10-28 from the UX review.</t>
        </is>
      </c>
    </row>
    <row r="50" ht="23.85" customHeight="1" s="75">
      <c r="A50" s="104" t="n">
        <v>46</v>
      </c>
      <c r="B50" s="105" t="inlineStr">
        <is>
          <t>POL-FE-30</t>
        </is>
      </c>
      <c r="C50" s="81" t="n">
        <v>3</v>
      </c>
      <c r="D50" s="82" t="inlineStr">
        <is>
          <t>C · Confusing or extra work</t>
        </is>
      </c>
      <c r="E50" s="138" t="inlineStr">
        <is>
          <t>FE</t>
        </is>
      </c>
      <c r="F50" s="120" t="inlineStr">
        <is>
          <t>Code</t>
        </is>
      </c>
      <c r="G50" s="80" t="inlineStr">
        <is>
          <t>Unsubscribe fallback points at support</t>
        </is>
      </c>
      <c r="H50" s="107" t="inlineStr">
        <is>
          <t>Replace 'reply to the email' (no-reply sender) with the support address.</t>
        </is>
      </c>
      <c r="I50" s="108" t="inlineStr">
        <is>
          <t>Done</t>
        </is>
      </c>
      <c r="J50" s="108" t="n">
        <v>0.25</v>
      </c>
      <c r="K50" s="163" t="n">
        <v>46324</v>
      </c>
      <c r="L50" s="163" t="n">
        <v>46324</v>
      </c>
      <c r="M50" s="110" t="inlineStr">
        <is>
          <t>HeckerCreatives</t>
        </is>
      </c>
      <c r="N50" s="81" t="n">
        <v>0</v>
      </c>
      <c r="O50" s="80" t="n"/>
      <c r="P50" s="80" t="inlineStr">
        <is>
          <t>Fallback reaches a person</t>
        </is>
      </c>
      <c r="Q50" s="82" t="inlineStr">
        <is>
          <t>polish.md #30</t>
        </is>
      </c>
      <c r="R50" s="111" t="inlineStr">
        <is>
          <t>Raised 2026-10-28 from the UX review. | QA walk 10-29 on the local stack: passed.</t>
        </is>
      </c>
    </row>
    <row r="51" ht="23.85" customHeight="1" s="75">
      <c r="A51" s="104" t="n">
        <v>47</v>
      </c>
      <c r="B51" s="105" t="inlineStr">
        <is>
          <t>POL-FE-31</t>
        </is>
      </c>
      <c r="C51" s="81" t="n">
        <v>4</v>
      </c>
      <c r="D51" s="82" t="inlineStr">
        <is>
          <t>D · Polish</t>
        </is>
      </c>
      <c r="E51" s="138" t="inlineStr">
        <is>
          <t>FE</t>
        </is>
      </c>
      <c r="F51" s="120" t="inlineStr">
        <is>
          <t>Code</t>
        </is>
      </c>
      <c r="G51" s="80" t="inlineStr">
        <is>
          <t>Plain message for a failed card payment</t>
        </is>
      </c>
      <c r="H51" s="107" t="inlineStr">
        <is>
          <t>Replace 'ref: pi_…' with what to do next and how to contact support.</t>
        </is>
      </c>
      <c r="I51" s="108" t="inlineStr">
        <is>
          <t>Done</t>
        </is>
      </c>
      <c r="J51" s="108" t="n">
        <v>0.25</v>
      </c>
      <c r="K51" s="163" t="n">
        <v>46324</v>
      </c>
      <c r="L51" s="163" t="n">
        <v>46324</v>
      </c>
      <c r="M51" s="110" t="inlineStr">
        <is>
          <t>HeckerCreatives</t>
        </is>
      </c>
      <c r="N51" s="81" t="n">
        <v>0</v>
      </c>
      <c r="O51" s="80" t="n"/>
      <c r="P51" s="80" t="inlineStr">
        <is>
          <t>No raw Stripe codes shown</t>
        </is>
      </c>
      <c r="Q51" s="82" t="inlineStr">
        <is>
          <t>polish.md #31</t>
        </is>
      </c>
      <c r="R51" s="111" t="inlineStr">
        <is>
          <t>Raised 2026-10-28 from the UX review. | QA 10-29: no failed payment locally; wording unit-tested only. | QA pass 2 10-29: declined card shows plain words, support address, reference in small text.</t>
        </is>
      </c>
    </row>
    <row r="52" s="75">
      <c r="A52" s="104" t="n">
        <v>48</v>
      </c>
      <c r="B52" s="105" t="inlineStr">
        <is>
          <t>POL-FE-32</t>
        </is>
      </c>
      <c r="C52" s="81" t="n">
        <v>4</v>
      </c>
      <c r="D52" s="82" t="inlineStr">
        <is>
          <t>D · Polish</t>
        </is>
      </c>
      <c r="E52" s="138" t="inlineStr">
        <is>
          <t>FE</t>
        </is>
      </c>
      <c r="F52" s="120" t="inlineStr">
        <is>
          <t>Code</t>
        </is>
      </c>
      <c r="G52" s="80" t="inlineStr">
        <is>
          <t>'Welcome' on first sign-in</t>
        </is>
      </c>
      <c r="H52" s="107" t="inlineStr">
        <is>
          <t>Not 'Welcome back' for a brand-new user.</t>
        </is>
      </c>
      <c r="I52" s="108" t="inlineStr">
        <is>
          <t>Code review</t>
        </is>
      </c>
      <c r="J52" s="108" t="n">
        <v>0.25</v>
      </c>
      <c r="K52" s="163" t="n">
        <v>46324</v>
      </c>
      <c r="L52" s="109" t="n"/>
      <c r="M52" s="110" t="inlineStr">
        <is>
          <t>HeckerCreatives</t>
        </is>
      </c>
      <c r="N52" s="81" t="n">
        <v>0</v>
      </c>
      <c r="O52" s="80" t="n"/>
      <c r="P52" s="80" t="inlineStr">
        <is>
          <t>First sign-in says Welcome</t>
        </is>
      </c>
      <c r="Q52" s="82" t="inlineStr">
        <is>
          <t>polish.md #32</t>
        </is>
      </c>
      <c r="R52" s="111" t="inlineStr">
        <is>
          <t>Raised 2026-10-28 from the UX review. | QA 10-29: 'Welcome back' seen for an old login; first sign-in case not walked.</t>
        </is>
      </c>
    </row>
    <row r="53" s="75">
      <c r="A53" s="104" t="n">
        <v>49</v>
      </c>
      <c r="B53" s="105" t="inlineStr">
        <is>
          <t>POL-FE-33</t>
        </is>
      </c>
      <c r="C53" s="81" t="n">
        <v>4</v>
      </c>
      <c r="D53" s="82" t="inlineStr">
        <is>
          <t>D · Polish</t>
        </is>
      </c>
      <c r="E53" s="138" t="inlineStr">
        <is>
          <t>FE</t>
        </is>
      </c>
      <c r="F53" s="120" t="inlineStr">
        <is>
          <t>Code</t>
        </is>
      </c>
      <c r="G53" s="80" t="inlineStr">
        <is>
          <t>Remove 'Sample screens' for real users</t>
        </is>
      </c>
      <c r="H53" s="107" t="inlineStr">
        <is>
          <t>Settings stops linking real athletes to Riley's sample screens.</t>
        </is>
      </c>
      <c r="I53" s="108" t="inlineStr">
        <is>
          <t>Done</t>
        </is>
      </c>
      <c r="J53" s="108" t="n">
        <v>0.25</v>
      </c>
      <c r="K53" s="163" t="n">
        <v>46324</v>
      </c>
      <c r="L53" s="163" t="n">
        <v>46324</v>
      </c>
      <c r="M53" s="110" t="inlineStr">
        <is>
          <t>HeckerCreatives</t>
        </is>
      </c>
      <c r="N53" s="81" t="n">
        <v>0</v>
      </c>
      <c r="O53" s="80" t="n"/>
      <c r="P53" s="80" t="inlineStr">
        <is>
          <t>Real users see no sample link</t>
        </is>
      </c>
      <c r="Q53" s="82" t="inlineStr">
        <is>
          <t>polish.md #33</t>
        </is>
      </c>
      <c r="R53" s="111" t="inlineStr">
        <is>
          <t>Raised 2026-10-28 from the UX review. | QA walk 10-29 on the local stack: passed.</t>
        </is>
      </c>
    </row>
    <row r="54" s="75">
      <c r="A54" s="104" t="n">
        <v>50</v>
      </c>
      <c r="B54" s="105" t="inlineStr">
        <is>
          <t>POL-FE-34</t>
        </is>
      </c>
      <c r="C54" s="81" t="n">
        <v>4</v>
      </c>
      <c r="D54" s="82" t="inlineStr">
        <is>
          <t>D · Polish</t>
        </is>
      </c>
      <c r="E54" s="138" t="inlineStr">
        <is>
          <t>FE</t>
        </is>
      </c>
      <c r="F54" s="120" t="inlineStr">
        <is>
          <t>Code</t>
        </is>
      </c>
      <c r="G54" s="80" t="inlineStr">
        <is>
          <t>Sign in button on 'You're approved'</t>
        </is>
      </c>
      <c r="H54" s="107" t="inlineStr">
        <is>
          <t>Add a Sign in button to the approved /join status.</t>
        </is>
      </c>
      <c r="I54" s="108" t="inlineStr">
        <is>
          <t>Done</t>
        </is>
      </c>
      <c r="J54" s="108" t="n">
        <v>0.25</v>
      </c>
      <c r="K54" s="163" t="n">
        <v>46324</v>
      </c>
      <c r="L54" s="163" t="n">
        <v>46324</v>
      </c>
      <c r="M54" s="110" t="inlineStr">
        <is>
          <t>HeckerCreatives</t>
        </is>
      </c>
      <c r="N54" s="81" t="n">
        <v>0</v>
      </c>
      <c r="O54" s="80" t="n"/>
      <c r="P54" s="80" t="inlineStr">
        <is>
          <t>Approved person can sign in from the page</t>
        </is>
      </c>
      <c r="Q54" s="82" t="inlineStr">
        <is>
          <t>polish.md #34</t>
        </is>
      </c>
      <c r="R54" s="111" t="inlineStr">
        <is>
          <t>Raised 2026-10-28 from the UX review. | QA 10-29: /join approved state not walked. | QA pass 2 10-29: Sign in button on the approved /join state, links to /login.</t>
        </is>
      </c>
    </row>
    <row r="55" s="75">
      <c r="A55" s="104" t="n">
        <v>51</v>
      </c>
      <c r="B55" s="105" t="inlineStr">
        <is>
          <t>POL-FE-35</t>
        </is>
      </c>
      <c r="C55" s="81" t="n">
        <v>4</v>
      </c>
      <c r="D55" s="82" t="inlineStr">
        <is>
          <t>D · Polish</t>
        </is>
      </c>
      <c r="E55" s="138" t="inlineStr">
        <is>
          <t>FE</t>
        </is>
      </c>
      <c r="F55" s="120" t="inlineStr">
        <is>
          <t>Code</t>
        </is>
      </c>
      <c r="G55" s="80" t="inlineStr">
        <is>
          <t>'Contact BTG' links to support</t>
        </is>
      </c>
      <c r="H55" s="107" t="inlineStr">
        <is>
          <t>Team Documents and Roster pages link 'Contact BTG' to the support address.</t>
        </is>
      </c>
      <c r="I55" s="108" t="inlineStr">
        <is>
          <t>Done</t>
        </is>
      </c>
      <c r="J55" s="108" t="n">
        <v>0.25</v>
      </c>
      <c r="K55" s="163" t="n">
        <v>46324</v>
      </c>
      <c r="L55" s="163" t="n">
        <v>46324</v>
      </c>
      <c r="M55" s="110" t="inlineStr">
        <is>
          <t>HeckerCreatives</t>
        </is>
      </c>
      <c r="N55" s="81" t="n">
        <v>0</v>
      </c>
      <c r="O55" s="80" t="n"/>
      <c r="P55" s="80" t="inlineStr">
        <is>
          <t>Contact BTG opens the support address</t>
        </is>
      </c>
      <c r="Q55" s="82" t="inlineStr">
        <is>
          <t>polish.md #35</t>
        </is>
      </c>
      <c r="R55" s="111" t="inlineStr">
        <is>
          <t>Raised 2026-10-28 from the UX review. | QA 10-29: pages render; the mailto sits on the empty states, not seen with a linked property. | QA pass 2 10-29: a manager with no property sees the mailto on Documents and Roster.</t>
        </is>
      </c>
    </row>
    <row r="56">
      <c r="A56" s="104" t="n">
        <v>52</v>
      </c>
      <c r="B56" s="105" t="inlineStr">
        <is>
          <t>POL-BE-36</t>
        </is>
      </c>
      <c r="C56" s="81" t="n">
        <v>5</v>
      </c>
      <c r="D56" s="82" t="inlineStr">
        <is>
          <t>E · Payments switch</t>
        </is>
      </c>
      <c r="E56" s="138" t="inlineStr">
        <is>
          <t>BE</t>
        </is>
      </c>
      <c r="F56" s="120" t="inlineStr">
        <is>
          <t>Code</t>
        </is>
      </c>
      <c r="G56" s="80" t="inlineStr">
        <is>
          <t>Payments on/off switch, held in the database</t>
        </is>
      </c>
      <c r="H56" s="107" t="inlineStr">
        <is>
          <t>A platform-wide Payments switch BTG Admin and Finance can flip at once without a deploy, with a reason, audited (who, when). Can only turn on when production has a live key and webhook secrets; PAYMENT_PROVIDER stays the master off. Off = no checkout, no transfer, no non-payment cancellation (with POL-BE-04).</t>
        </is>
      </c>
      <c r="I56" s="108" t="inlineStr">
        <is>
          <t>Ready</t>
        </is>
      </c>
      <c r="J56" s="108" t="n">
        <v>1.5</v>
      </c>
      <c r="K56" s="109" t="n"/>
      <c r="L56" s="109" t="n"/>
      <c r="M56" s="110" t="inlineStr">
        <is>
          <t>rcfworks</t>
        </is>
      </c>
      <c r="N56" s="81" t="n">
        <v>1</v>
      </c>
      <c r="O56" s="80" t="n"/>
      <c r="P56" s="80" t="inlineStr">
        <is>
          <t>BTG Admin and Finance can switch payments on and off; each change audited with a reason; other roles refused; off blocks checkout, transfers and non-payment cancellation; can't turn on without keys; tests</t>
        </is>
      </c>
      <c r="Q56" s="82" t="inlineStr">
        <is>
          <t>polish.md #36</t>
        </is>
      </c>
      <c r="R56" s="111" t="inlineStr">
        <is>
          <t>Raised 2026-10-28 by the user: live key ready today, payments stay off until polish is done.</t>
        </is>
      </c>
    </row>
    <row r="57">
      <c r="A57" s="104" t="n">
        <v>53</v>
      </c>
      <c r="B57" s="105" t="inlineStr">
        <is>
          <t>POL-FE-36</t>
        </is>
      </c>
      <c r="C57" s="81" t="n">
        <v>5</v>
      </c>
      <c r="D57" s="82" t="inlineStr">
        <is>
          <t>E · Payments switch</t>
        </is>
      </c>
      <c r="E57" s="138" t="inlineStr">
        <is>
          <t>FE</t>
        </is>
      </c>
      <c r="F57" s="120" t="inlineStr">
        <is>
          <t>Code</t>
        </is>
      </c>
      <c r="G57" s="80" t="inlineStr">
        <is>
          <t>Payments switch on BTG's admin screen</t>
        </is>
      </c>
      <c r="H57" s="107" t="inlineStr">
        <is>
          <t>A Payments on/off control on BTG's admin screen with a reason box and confirmation, showing who changed it and when; pay and payout buttons say payments open soon while it is off.</t>
        </is>
      </c>
      <c r="I57" s="108" t="inlineStr">
        <is>
          <t>Ready</t>
        </is>
      </c>
      <c r="J57" s="108" t="n">
        <v>0.5</v>
      </c>
      <c r="K57" s="109" t="n"/>
      <c r="L57" s="109" t="n"/>
      <c r="M57" s="110" t="inlineStr">
        <is>
          <t>HeckerCreatives</t>
        </is>
      </c>
      <c r="N57" s="81" t="n">
        <v>0</v>
      </c>
      <c r="O57" s="80" t="inlineStr">
        <is>
          <t>POL-BE-36</t>
        </is>
      </c>
      <c r="P57" s="80" t="inlineStr">
        <is>
          <t>BTG Admin and Finance see and use the switch with a reason; others don't see it; screens say payments open soon while off</t>
        </is>
      </c>
      <c r="Q57" s="82" t="inlineStr">
        <is>
          <t>polish.md #36</t>
        </is>
      </c>
      <c r="R57" s="111" t="inlineStr">
        <is>
          <t>Raised 2026-10-28 by the user.</t>
        </is>
      </c>
    </row>
  </sheetData>
  <autoFilter ref="A4:R57"/>
  <mergeCells count="2">
    <mergeCell ref="A2:R2"/>
    <mergeCell ref="A1:R1"/>
  </mergeCells>
  <conditionalFormatting sqref="I5:I5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7">
    <cfRule type="expression" rank="0" priority="7" equalAverage="0" aboveAverage="0" dxfId="32" text="" percent="0" bottom="0">
      <formula>$I5="Done"</formula>
    </cfRule>
  </conditionalFormatting>
  <conditionalFormatting sqref="N5:N57">
    <cfRule type="cellIs" rank="0" priority="8" equalAverage="0" operator="greaterThanOrEqual" aboveAverage="0" dxfId="33" text="" percent="0" bottom="0">
      <formula>50</formula>
    </cfRule>
  </conditionalFormatting>
  <dataValidations count="1">
    <dataValidation sqref="I5:I57"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330"/>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269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 2026-10-24: Zoho production on (key owned by rcfworks, org 4857533000000020005, watch renewed, intel fields created). Edge key and Resend done 2026-10-23. Still open: GEOLITE2_CITY_PATH, BTG_POSTAL_ADDRESS.</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In progress</t>
        </is>
      </c>
      <c r="J184" s="108" t="n">
        <v>1</v>
      </c>
      <c r="K184" s="163" t="n">
        <v>46315</v>
      </c>
      <c r="L184" s="109" t="n"/>
      <c r="M184" s="110" t="inlineStr">
        <is>
          <t>rcfworks</t>
        </is>
      </c>
      <c r="N184" s="85" t="n">
        <v>1</v>
      </c>
      <c r="O184" s="84" t="inlineStr">
        <is>
          <t>P8-QA-02, P8-OPS-01</t>
        </is>
      </c>
      <c r="P184" s="84" t="inlineStr">
        <is>
          <t>§37's pre-pilot and pre-sponsor-pilot gates formally signed off</t>
        </is>
      </c>
      <c r="Q184" s="86" t="inlineStr">
        <is>
          <t>§37</t>
        </is>
      </c>
      <c r="R184" s="111" t="inlineStr">
        <is>
          <t>2026-10-20 (rcfworks): DRAFT, decision pending — documentation/SponsorX-Go-No-Go-Review.md. Software ready (Phases 1–4 signed off). Athlete-pilot and sponsor-pilot gates wait on counsel (P0-LEG-01…06, 2S0-LEG-01/02, 3S0-LEG-01); owner's production switches listed (Stripe live, Zoho keys, Clerk Pro MFA, edge key, GeoLite, email domain). Recommendation: no-go for real outside users until counsel answers; production readiness + BTG-internal dry run meanwhile. | 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s="7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Done</t>
        </is>
      </c>
      <c r="J305" s="108" t="n">
        <v>1</v>
      </c>
      <c r="K305" s="163" t="n">
        <v>46314</v>
      </c>
      <c r="L305" s="163" t="n">
        <v>46314</v>
      </c>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DONE (rcfworks): merged in #255, acceptance met (tests green on CI). | 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row r="306" s="75">
      <c r="A306" s="104" t="n">
        <v>157.6</v>
      </c>
      <c r="B306" s="105" t="inlineStr">
        <is>
          <t>P8-BE-02</t>
        </is>
      </c>
      <c r="C306" s="81" t="n">
        <v>8</v>
      </c>
      <c r="D306" s="82" t="inlineStr">
        <is>
          <t>Integration, Hardening &amp; Launch</t>
        </is>
      </c>
      <c r="E306" s="139" t="inlineStr">
        <is>
          <t>BE</t>
        </is>
      </c>
      <c r="F306" s="120" t="inlineStr">
        <is>
          <t>Code</t>
        </is>
      </c>
      <c r="G306" s="80" t="inlineStr">
        <is>
          <t>The athlete's own rules are their responsibility</t>
        </is>
      </c>
      <c r="H306" s="107" t="inlineStr">
        <is>
          <t>Raised by P0-LEG-06's redefinition (2026-10-20). SponsorX does not research every school's, league's or country's rules: the athlete confirms they follow their own (for a minor, the guardian). Built-in limits stay for everyone.</t>
        </is>
      </c>
      <c r="I306" s="108" t="inlineStr">
        <is>
          <t>Done</t>
        </is>
      </c>
      <c r="J306" s="108" t="n">
        <v>1</v>
      </c>
      <c r="K306" s="163" t="n">
        <v>46315</v>
      </c>
      <c r="L306" s="163" t="n">
        <v>46315</v>
      </c>
      <c r="M306" s="110" t="inlineStr">
        <is>
          <t>rcfworks</t>
        </is>
      </c>
      <c r="N306" s="81" t="n">
        <v>3</v>
      </c>
      <c r="O306" s="80" t="n"/>
      <c r="P306" s="80" t="inlineStr">
        <is>
          <t>The wording is served with its version; an adult confirms on the application or from their login, a minor's guardian on their page or acting for them (a minor's own tick doesn't count, their own login is refused); a stale wording is refused; with BTG's per-tenant switch on, accepting a deal or listing an item waits on a confirmation that counts, and with it off nothing changes</t>
        </is>
      </c>
      <c r="Q306" s="82" t="inlineStr">
        <is>
          <t>§4, §26</t>
        </is>
      </c>
      <c r="R306" s="111" t="inlineStr">
        <is>
          <t>2026-10-20 DONE (rcfworks): merged in #273, acceptance met (CI green). | 2026-10-20 (rcfworks): rules-attestation.ts (wording v2026-10-20, GET /public/rules-attestation); recorded on the application, the guardian's agreement step and GET/POST /me/rules-attestation; Tenant.requireRulesAttestation in /signup-rules/settings, enforced in assertMayCommit. tests/deal-disputes.test.ts. Frontend: the tick on /join and the guardian page, the portal prompt — the switch stays off until they ship.</t>
        </is>
      </c>
    </row>
    <row r="307" s="75">
      <c r="A307" s="104" t="n">
        <v>157.7</v>
      </c>
      <c r="B307" s="105" t="inlineStr">
        <is>
          <t>P8-BE-03</t>
        </is>
      </c>
      <c r="C307" s="81" t="n">
        <v>8</v>
      </c>
      <c r="D307" s="82" t="inlineStr">
        <is>
          <t>Integration, Hardening &amp; Launch</t>
        </is>
      </c>
      <c r="E307" s="139" t="inlineStr">
        <is>
          <t>BE</t>
        </is>
      </c>
      <c r="F307" s="120" t="inlineStr">
        <is>
          <t>Code</t>
        </is>
      </c>
      <c r="G307" s="80" t="inlineStr">
        <is>
          <t>A concern raised about a deal pauses it</t>
        </is>
      </c>
      <c r="H307" s="107" t="inlineStr">
        <is>
          <t>Raised by P0-LEG-06's redefinition (2026-10-20): "if there are disputes, that's the time we should be strict with forms". BTG pauses the deal and asks the athlete for documents; then resumes or cancels it.</t>
        </is>
      </c>
      <c r="I307" s="108" t="inlineStr">
        <is>
          <t>Done</t>
        </is>
      </c>
      <c r="J307" s="108" t="n">
        <v>2</v>
      </c>
      <c r="K307" s="163" t="n">
        <v>46315</v>
      </c>
      <c r="L307" s="163" t="n">
        <v>46315</v>
      </c>
      <c r="M307" s="110" t="inlineStr">
        <is>
          <t>rcfworks</t>
        </is>
      </c>
      <c r="N307" s="81" t="n">
        <v>2</v>
      </c>
      <c r="O307" s="80" t="inlineStr">
        <is>
          <t>P8-BE-02</t>
        </is>
      </c>
      <c r="P307" s="80" t="inlineStr">
        <is>
          <t>BTG opens a dispute on a sent, accepted or active order; while open no deliverable moves, the order can only be cancelled and the earning is held; the athlete (the guardian, for a minor) is emailed what was raised and what to send, sends documents through the private upload, and BTG's admins are emailed; BTG opens them through audited links and resumes (earning back) or cancels (order cancelled, earning left held); sponsors see none of it</t>
        </is>
      </c>
      <c r="Q307" s="82" t="inlineStr">
        <is>
          <t>§4, §21, §26</t>
        </is>
      </c>
      <c r="R307" s="111" t="inlineStr">
        <is>
          <t>2026-10-23 QA (HeckerCreatives): the ten-document cap counted abandoned starts; now counts documents that arrived (tests/qa-p8-disputes-collab.test.ts). | 2026-10-20 DONE (rcfworks): merged in #273, acceptance met (CI green). | 2026-10-20 (rcfworks): DealDispute + DealDisputeDocument (migration 20261020120000), deal-disputes.ts, deal-pause.ts called from order, deliverable and earning moves; /orders/{id}/disputes and /deal-disputes…; RBAC §39 (resource dealDispute). tests/deal-disputes.test.ts + tenant-isolation sweep. Frontend: BTG's dispute desk, the athlete's order banner and upload.</t>
        </is>
      </c>
    </row>
    <row r="308" s="75">
      <c r="A308" s="104" t="n">
        <v>157.8</v>
      </c>
      <c r="B308" s="105" t="inlineStr">
        <is>
          <t>P8-FE-03</t>
        </is>
      </c>
      <c r="C308" s="81" t="n">
        <v>8</v>
      </c>
      <c r="D308" s="82" t="inlineStr">
        <is>
          <t>Integration, Hardening &amp; Launch</t>
        </is>
      </c>
      <c r="E308" s="139" t="inlineStr">
        <is>
          <t>FE</t>
        </is>
      </c>
      <c r="F308" s="120" t="inlineStr">
        <is>
          <t>Code</t>
        </is>
      </c>
      <c r="G308" s="80" t="inlineStr">
        <is>
          <t>The rules tick on the sign-up page and the guardian's page</t>
        </is>
      </c>
      <c r="H308" s="107" t="inlineStr">
        <is>
          <t>Raised with P8-BE-02 (2026-10-20). Show the rules wording from GET /public/rules-attestation as a tick box on /join and on the guardian's set-up page, and send its version with the application (rulesAttestationVersion) and with the guardian agreement acceptance. Once this ships, BTG can switch on 'athletes confirm their own rules' in sign-up settings.</t>
        </is>
      </c>
      <c r="I308" s="108" t="inlineStr">
        <is>
          <t>Done</t>
        </is>
      </c>
      <c r="J308" s="108" t="n">
        <v>1</v>
      </c>
      <c r="K308" s="163" t="n">
        <v>46318</v>
      </c>
      <c r="L308" s="163" t="n">
        <v>46318</v>
      </c>
      <c r="M308" s="110" t="inlineStr">
        <is>
          <t>HeckerCreatives</t>
        </is>
      </c>
      <c r="N308" s="81" t="n">
        <v>0</v>
      </c>
      <c r="O308" s="80" t="inlineStr">
        <is>
          <t>P8-BE-02</t>
        </is>
      </c>
      <c r="P308" s="80" t="inlineStr">
        <is>
          <t>/join and /guardian/setup show the wording and send its version when ticked; a 422 rules_attestation_stale reloads the wording and asks again; for a minor, the guardian's page asks, not the minor's application</t>
        </is>
      </c>
      <c r="Q308" s="82" t="inlineStr">
        <is>
          <t>§4, §26</t>
        </is>
      </c>
      <c r="R308" s="111" t="inlineStr">
        <is>
          <t>2026-10-23 QA (HeckerCreatives): browser probe — join/guardian ticks hold; nothing found. | 2026-10-23 DONE (HeckerCreatives): /join shows the rules wording as a second tick for an adult and sends rulesAttestationVersion; a minor sees that the guardian confirms; the guardian set-up page asks for the ward and sends the version; 422 rules_attestation_stale refreshes and asks again. Walked on the local stack. | 2026-10-20 (rcfworks): raised with P8-BE-02/03 (PR #273) — frontend, for HeckerCreatives.</t>
        </is>
      </c>
    </row>
    <row r="309" s="75">
      <c r="A309" s="104" t="n">
        <v>157.9</v>
      </c>
      <c r="B309" s="105" t="inlineStr">
        <is>
          <t>P8-FE-04</t>
        </is>
      </c>
      <c r="C309" s="81" t="n">
        <v>8</v>
      </c>
      <c r="D309" s="82" t="inlineStr">
        <is>
          <t>Integration, Hardening &amp; Launch</t>
        </is>
      </c>
      <c r="E309" s="139" t="inlineStr">
        <is>
          <t>FE</t>
        </is>
      </c>
      <c r="F309" s="120" t="inlineStr">
        <is>
          <t>Code</t>
        </is>
      </c>
      <c r="G309" s="80" t="inlineStr">
        <is>
          <t>The rules prompt in the athlete portal</t>
        </is>
      </c>
      <c r="H309" s="107" t="inlineStr">
        <is>
          <t>Raised with P8-BE-02. Existing athletes (and guardians acting for a minor) confirm from their login: GET/POST /me/rules-attestation. Show a prompt when it isn't current, and turn a 409 rules_attestation_required on accepting a deal into that prompt. Add the switch to BTG's sign-up settings screen (requireRulesAttestation).</t>
        </is>
      </c>
      <c r="I309" s="108" t="inlineStr">
        <is>
          <t>Done</t>
        </is>
      </c>
      <c r="J309" s="108" t="n">
        <v>1</v>
      </c>
      <c r="K309" s="163" t="n">
        <v>46318</v>
      </c>
      <c r="L309" s="163" t="n">
        <v>46318</v>
      </c>
      <c r="M309" s="110" t="inlineStr">
        <is>
          <t>HeckerCreatives</t>
        </is>
      </c>
      <c r="N309" s="81" t="n">
        <v>0</v>
      </c>
      <c r="O309" s="80" t="inlineStr">
        <is>
          <t>P8-BE-02</t>
        </is>
      </c>
      <c r="P309" s="80" t="inlineStr">
        <is>
          <t>The portal shows the prompt when current is false, confirms with the version, and a refused accept leads to it; a minor's own login sees that the guardian confirms; BTG's sign-up settings show both switches</t>
        </is>
      </c>
      <c r="Q309" s="82" t="inlineStr">
        <is>
          <t>§4, §26</t>
        </is>
      </c>
      <c r="R309" s="111" t="inlineStr">
        <is>
          <t>2026-10-23 QA (HeckerCreatives): open redirect via /\host on ?return fixed; back-nav tick, double-click guard, minor's contradictory 'waits' line fixed. | 2026-10-23 DONE (HeckerCreatives): /athlete/confirmations (GET/POST /me/rules-attestation), the home banner, a minor's own login reads that the guardian confirms; requireRulesAttestation switch on /admin/new-signups/rules. A 409 rules_attestation_required on accept links to the page. Walked: confirm + switch on/off. | 2026-10-20 (rcfworks): raised with P8-BE-02/03 (PR #273) — frontend, for HeckerCreatives.</t>
        </is>
      </c>
    </row>
    <row r="310" s="75">
      <c r="A310" s="104" t="n">
        <v>157.91</v>
      </c>
      <c r="B310" s="105" t="inlineStr">
        <is>
          <t>P8-FE-05</t>
        </is>
      </c>
      <c r="C310" s="81" t="n">
        <v>8</v>
      </c>
      <c r="D310" s="82" t="inlineStr">
        <is>
          <t>Integration, Hardening &amp; Launch</t>
        </is>
      </c>
      <c r="E310" s="139" t="inlineStr">
        <is>
          <t>FE</t>
        </is>
      </c>
      <c r="F310" s="120" t="inlineStr">
        <is>
          <t>Code</t>
        </is>
      </c>
      <c r="G310" s="80" t="inlineStr">
        <is>
          <t>BTG's deal dispute desk</t>
        </is>
      </c>
      <c r="H310" s="107" t="inlineStr">
        <is>
          <t>Raised with P8-BE-03. BTG admin opens a dispute from an order (POST /orders/{id}/disputes: who raised it, the concern, what to send), lists and opens disputes (GET /deal-disputes, /deal-disputes/{id}), opens documents through the audited link, and resumes or cancels with a note (POST /deal-disputes/{id}/resolve).</t>
        </is>
      </c>
      <c r="I310" s="108" t="inlineStr">
        <is>
          <t>Done</t>
        </is>
      </c>
      <c r="J310" s="108" t="n">
        <v>2</v>
      </c>
      <c r="K310" s="163" t="n">
        <v>46318</v>
      </c>
      <c r="L310" s="163" t="n">
        <v>46318</v>
      </c>
      <c r="M310" s="110" t="inlineStr">
        <is>
          <t>HeckerCreatives</t>
        </is>
      </c>
      <c r="N310" s="81" t="n">
        <v>0</v>
      </c>
      <c r="O310" s="80" t="inlineStr">
        <is>
          <t>P8-BE-03</t>
        </is>
      </c>
      <c r="P310" s="80" t="inlineStr">
        <is>
          <t>BTG can open, list, read, view documents and resolve a dispute from the admin workspace; campaign managers and Finance see it read-only; paused orders and held earnings show why</t>
        </is>
      </c>
      <c r="Q310" s="82" t="inlineStr">
        <is>
          <t>§4, §26</t>
        </is>
      </c>
      <c r="R310" s="111" t="inlineStr">
        <is>
          <t>2026-10-23 QA (HeckerCreatives): viewer clipped by backdrop-filter, mobile document rows, typo'd order id wording, malformed id role message, double-click guard fixed; pause joins now read OPEN+DOCUMENTS_IN. | 2026-10-23 DONE (HeckerCreatives): /admin/deal-disputes list + detail, open from the campaign roster or by order id, audited document viewer, Resume/Cancel with a note; /finance/deal-disputes read-only; paused roster rows and HELD earnings (admin Finance Workspace, Treasury) show why. Walked end to end. | 2026-10-20 (rcfworks): raised with P8-BE-02/03 (PR #273) — frontend, for HeckerCreatives.</t>
        </is>
      </c>
    </row>
    <row r="311" s="75">
      <c r="A311" s="104" t="n">
        <v>157.92</v>
      </c>
      <c r="B311" s="105" t="inlineStr">
        <is>
          <t>P8-FE-06</t>
        </is>
      </c>
      <c r="C311" s="81" t="n">
        <v>8</v>
      </c>
      <c r="D311" s="82" t="inlineStr">
        <is>
          <t>Integration, Hardening &amp; Launch</t>
        </is>
      </c>
      <c r="E311" s="139" t="inlineStr">
        <is>
          <t>FE</t>
        </is>
      </c>
      <c r="F311" s="120" t="inlineStr">
        <is>
          <t>Code</t>
        </is>
      </c>
      <c r="G311" s="80" t="inlineStr">
        <is>
          <t>The paused-deal banner and upload on the athlete's order</t>
        </is>
      </c>
      <c r="H311" s="107" t="inlineStr">
        <is>
          <t>Raised with P8-BE-03. On the athlete's order page (and the guardian's, acting for a minor), show that the deal is paused, the concern and what BTG asked for, and the documents sent; upload through POST /deal-disputes/{id}/documents then …/confirm. Show the outcome when decided. A 409 deal_paused anywhere on the order explains the pause.</t>
        </is>
      </c>
      <c r="I311" s="108" t="inlineStr">
        <is>
          <t>Done</t>
        </is>
      </c>
      <c r="J311" s="108" t="n">
        <v>1</v>
      </c>
      <c r="K311" s="163" t="n">
        <v>46318</v>
      </c>
      <c r="L311" s="163" t="n">
        <v>46318</v>
      </c>
      <c r="M311" s="110" t="inlineStr">
        <is>
          <t>HeckerCreatives</t>
        </is>
      </c>
      <c r="N311" s="81" t="n">
        <v>0</v>
      </c>
      <c r="O311" s="80" t="inlineStr">
        <is>
          <t>P8-BE-03</t>
        </is>
      </c>
      <c r="P311" s="80" t="inlineStr">
        <is>
          <t>The order page shows the pause, the request and the outcome; the athlete or guardian uploads a document (PDF, JPEG, PNG or WebP, at most 10 MB) and sees it listed; actions refused with deal_paused say why</t>
        </is>
      </c>
      <c r="Q311" s="82" t="inlineStr">
        <is>
          <t>§4, §26</t>
        </is>
      </c>
      <c r="R311" s="111" t="inlineStr">
        <is>
          <t>2026-10-23 QA (HeckerCreatives): 13,000 px overflow on a long concern, Confirm-now overlap, athlete upload 403 wording fixed. | 2026-10-23 DONE (HeckerCreatives): the athlete's order joins GET /deal-disputes: pause banner, the concern, what BTG asked for, documents (presigned upload + confirm, 10 MB, 10 max), the outcome; 409 deal_paused on accept and deliverable moves says why; a guardian acting for a minor can accept. Walked: upload + resume. | 2026-10-20 (rcfworks): raised with P8-BE-02/03 (PR #273) — frontend, for HeckerCreatives.</t>
        </is>
      </c>
    </row>
    <row r="312" s="75">
      <c r="A312" s="104" t="n">
        <v>157.75</v>
      </c>
      <c r="B312" s="105" t="inlineStr">
        <is>
          <t>P8-BE-04</t>
        </is>
      </c>
      <c r="C312" s="81" t="n">
        <v>8</v>
      </c>
      <c r="D312" s="82" t="inlineStr">
        <is>
          <t>Integration, Hardening &amp; Launch</t>
        </is>
      </c>
      <c r="E312" s="139" t="inlineStr">
        <is>
          <t>BE</t>
        </is>
      </c>
      <c r="F312" s="120" t="inlineStr">
        <is>
          <t>Code</t>
        </is>
      </c>
      <c r="G312" s="80" t="inlineStr">
        <is>
          <t>The athlete's Content Collaboration Agreement is recorded</t>
        </is>
      </c>
      <c r="H312" s="107" t="inlineStr">
        <is>
          <t>Raised 2026-10-21: a gap found while drafting P0-LEG-01. /join showed the agreement, but nothing reached the server — no text file, no acceptance — so a counsel-approved agreement would have no proof anyone accepted it.</t>
        </is>
      </c>
      <c r="I312" s="108" t="inlineStr">
        <is>
          <t>Done</t>
        </is>
      </c>
      <c r="J312" s="108" t="n">
        <v>1</v>
      </c>
      <c r="K312" s="163" t="n">
        <v>46316</v>
      </c>
      <c r="L312" s="163" t="n">
        <v>46316</v>
      </c>
      <c r="M312" s="110" t="inlineStr">
        <is>
          <t>rcfworks</t>
        </is>
      </c>
      <c r="N312" s="81" t="n">
        <v>1</v>
      </c>
      <c r="O312" s="80" t="n"/>
      <c r="P312" s="80" t="inlineStr">
        <is>
          <t>The agreement in force is served with its version, text and fingerprint (registered from agreements/COLLAB.v&lt;n&gt;.txt); the application records the acceptance with the fingerprint, time, IP and browser, refusing changed text or a superseded agreement; an existing athlete accepts from their login and the application's acceptance counts once they have one; a minor is covered by their guardian's agreement; with BTG's switch on a new deal waits for it (accepting the agreement itself never does), off nothing changes</t>
        </is>
      </c>
      <c r="Q312" s="82" t="inlineStr">
        <is>
          <t>§12, §4</t>
        </is>
      </c>
      <c r="R312" s="111" t="inlineStr">
        <is>
          <t>2026-10-23 QA (HeckerCreatives): POST /agreements/accept let a sponsor/BTG admin accept COLLAB (201 + audit row); refused now unless the actor is the athlete or the guardian acting. | 2026-10-21 DONE (rcfworks): merged in #276, acceptance met (CI green). | 2026-10-21 (rcfworks): collab-agreement.ts + current-agreement.ts (shared with the guardian agreement); agreements/COLLAB.v1.txt (today's /join wording, draft); GET /public/agreements/collab, the application's `agreement` field, GET /me/collab-agreement; Tenant.requireCollabAcceptance (/signup-rules/settings) in assertMayCommit. tests/collab-agreement.test.ts.</t>
        </is>
      </c>
    </row>
    <row r="313" s="75">
      <c r="A313" s="104" t="n">
        <v>157.93</v>
      </c>
      <c r="B313" s="105" t="inlineStr">
        <is>
          <t>P8-FE-07</t>
        </is>
      </c>
      <c r="C313" s="81" t="n">
        <v>8</v>
      </c>
      <c r="D313" s="82" t="inlineStr">
        <is>
          <t>Integration, Hardening &amp; Launch</t>
        </is>
      </c>
      <c r="E313" s="139" t="inlineStr">
        <is>
          <t>FE</t>
        </is>
      </c>
      <c r="F313" s="120" t="inlineStr">
        <is>
          <t>Code</t>
        </is>
      </c>
      <c r="G313" s="80" t="inlineStr">
        <is>
          <t>Show the real agreement on /join and record it</t>
        </is>
      </c>
      <c r="H313" s="107" t="inlineStr">
        <is>
          <t>Raised with P8-BE-04. /join shows the text from GET /public/agreements/collab (replacing the hard-coded v0.4 clauses) and sends agreement {agreementId, bodyHashShown} when ticked; the portal prompts an athlete whose GET /me/collab-agreement says current false and accepts through POST /agreements/accept; the requireCollabAcceptance switch on BTG's sign-up settings.</t>
        </is>
      </c>
      <c r="I313" s="108" t="inlineStr">
        <is>
          <t>Done</t>
        </is>
      </c>
      <c r="J313" s="108" t="n">
        <v>1</v>
      </c>
      <c r="K313" s="163" t="n">
        <v>46317</v>
      </c>
      <c r="L313" s="163" t="n">
        <v>46318</v>
      </c>
      <c r="M313" s="110" t="inlineStr">
        <is>
          <t>rcfworks, HeckerCreatives</t>
        </is>
      </c>
      <c r="N313" s="81" t="n">
        <v>0</v>
      </c>
      <c r="O313" s="80" t="inlineStr">
        <is>
          <t>P8-BE-04</t>
        </is>
      </c>
      <c r="P313" s="80" t="inlineStr">
        <is>
          <t>/join shows the served text and version and a ticked application records the acceptance; agreement_text_changed or not_collab_agreement reloads the text; the portal prompt appears when needed and accepts; the switch is on the settings screen</t>
        </is>
      </c>
      <c r="Q313" s="82" t="inlineStr">
        <is>
          <t>§12</t>
        </is>
      </c>
      <c r="R313" s="111" t="inlineStr">
        <is>
          <t>2026-10-23 QA (HeckerCreatives): backend — anyone with agreement.write could accept the collab agreement; now the athlete's (or guardian acting) only. | 2026-10-23 DONE (HeckerCreatives): the portal half — /athlete/confirmations accepts the current agreement (GET /me/collab-agreement, POST /agreements/accept); requireCollabAcceptance switch on sign-up settings; /join reloads the text on not_collab_agreement or the uncoded text-changed 409 and sends signer headers. Wording half by rcfworks 2026-10-22. | Wording and recording done 2026-10-22 (rcfworks, at the user's request): /join shows the served v2 agreement and sends its id and hash. Still open: the athlete-portal prompt and the requireCollabAcceptance switch.</t>
        </is>
      </c>
    </row>
    <row r="314" s="75">
      <c r="A314" s="104" t="n">
        <v>157.76</v>
      </c>
      <c r="B314" s="105" t="inlineStr">
        <is>
          <t>P8-BE-05</t>
        </is>
      </c>
      <c r="C314" s="81" t="n">
        <v>8</v>
      </c>
      <c r="D314" s="82" t="inlineStr">
        <is>
          <t>Integration, Hardening &amp; Launch</t>
        </is>
      </c>
      <c r="E314" s="139" t="inlineStr">
        <is>
          <t>BE</t>
        </is>
      </c>
      <c r="F314" s="120" t="inlineStr">
        <is>
          <t>Code</t>
        </is>
      </c>
      <c r="G314" s="80" t="inlineStr">
        <is>
          <t>A fan's email is deleted after 90 days</t>
        </is>
      </c>
      <c r="H314" s="107" t="inlineStr">
        <is>
          <t>Raised 2026-10-21: a gap found while drafting P0-LEG-04 — a fan's optional email was kept forever. Owner's decision: 90 days.</t>
        </is>
      </c>
      <c r="I314" s="108" t="inlineStr">
        <is>
          <t>Done</t>
        </is>
      </c>
      <c r="J314" s="108" t="n">
        <v>0.5</v>
      </c>
      <c r="K314" s="163" t="n">
        <v>46316</v>
      </c>
      <c r="L314" s="163" t="n">
        <v>46316</v>
      </c>
      <c r="M314" s="110" t="inlineStr">
        <is>
          <t>rcfworks</t>
        </is>
      </c>
      <c r="N314" s="81" t="n">
        <v>0</v>
      </c>
      <c r="O314" s="80" t="n"/>
      <c r="P314" s="80" t="inlineStr">
        <is>
          <t>90 days after the claim every copy SponsorX holds is gone (the claim's, the sent-email log's, the queued-email record's) and nothing newer or of another kind; the consent record and counts stay; each tenant's sweep audited, a second finds nothing; an old unsubscribe link still answers done</t>
        </is>
      </c>
      <c r="Q314" s="82" t="inlineStr">
        <is>
          <t>§16, §26</t>
        </is>
      </c>
      <c r="R314" s="111" t="inlineStr">
        <is>
          <t>2026-10-21 DONE (rcfworks): merged in #276, acceptance met (CI green). | 2026-10-21 (rcfworks): fan-data-retention.ts, run hourly by the worker's retention job; unsubscribe answers without reading an address (fan-pii.test.ts). tests/fan-data-retention.test.ts. A lead already in BTG's Zoho is outside SponsorX.</t>
        </is>
      </c>
    </row>
    <row r="315" s="75">
      <c r="A315" s="104" t="n">
        <v>157.77</v>
      </c>
      <c r="B315" s="105" t="inlineStr">
        <is>
          <t>P8-BE-06</t>
        </is>
      </c>
      <c r="C315" s="81" t="n">
        <v>8</v>
      </c>
      <c r="D315" s="82" t="inlineStr">
        <is>
          <t>Integration, Hardening &amp; Launch</t>
        </is>
      </c>
      <c r="E315" s="139" t="inlineStr">
        <is>
          <t>BE</t>
        </is>
      </c>
      <c r="F315" s="120" t="inlineStr">
        <is>
          <t>Code</t>
        </is>
      </c>
      <c r="G315" s="80" t="inlineStr">
        <is>
          <t>A team's or venue's terms acceptance keeps the IP and browser</t>
        </is>
      </c>
      <c r="H315" s="107" t="inlineStr">
        <is>
          <t>Raised 2026-10-21: a gap found while drafting 2S0-LEG-01 — an organisation's terms acceptance saved only the version, fingerprint and time; every other acceptance also keeps the IP and browser and is audited.</t>
        </is>
      </c>
      <c r="I315" s="108" t="inlineStr">
        <is>
          <t>Done</t>
        </is>
      </c>
      <c r="J315" s="108" t="n">
        <v>0.5</v>
      </c>
      <c r="K315" s="163" t="n">
        <v>46316</v>
      </c>
      <c r="L315" s="163" t="n">
        <v>46316</v>
      </c>
      <c r="M315" s="110" t="inlineStr">
        <is>
          <t>rcfworks</t>
        </is>
      </c>
      <c r="N315" s="81" t="n">
        <v>0</v>
      </c>
      <c r="O315" s="80" t="n"/>
      <c r="P315" s="80" t="inlineStr">
        <is>
          <t>The terms step records the request's IP and browser on the onboarding row beside the fingerprint and time; it is audited like every other acceptance (which terms, version, fingerprint); a stale version is still refused; past acceptances are left without evidence rather than given invented evidence</t>
        </is>
      </c>
      <c r="Q315" s="82" t="inlineStr">
        <is>
          <t>§12</t>
        </is>
      </c>
      <c r="R315" s="111" t="inlineStr">
        <is>
          <t>2026-10-21 DONE (rcfworks): merged in #277, main CI green incl. e2e, deployed to staging. | 2026-10-21 (rcfworks): PropertyOnboarding.termsIp/termsUserAgent (migration 20261021120000); saveStep takes the request's evidence and audits agreement.accept. tests/property-onboarding.test.ts.</t>
        </is>
      </c>
    </row>
    <row r="316" s="75">
      <c r="A316" s="104" t="n">
        <v>157.78</v>
      </c>
      <c r="B316" s="105" t="inlineStr">
        <is>
          <t>P8-OPS-03</t>
        </is>
      </c>
      <c r="C316" s="81" t="n">
        <v>8</v>
      </c>
      <c r="D316" s="82" t="inlineStr">
        <is>
          <t>Integration, Hardening &amp; Launch</t>
        </is>
      </c>
      <c r="E316" s="139" t="inlineStr">
        <is>
          <t>OPS</t>
        </is>
      </c>
      <c r="F316" s="120" t="inlineStr">
        <is>
          <t>Code</t>
        </is>
      </c>
      <c r="G316" s="80" t="inlineStr">
        <is>
          <t>Stripe and Zoho webhooks reach production's private API</t>
        </is>
      </c>
      <c r="H316" s="107" t="inlineStr">
        <is>
          <t>Raised 2026-10-21 preparing Stripe go-live: production's API has no public address and sponsorx.net forwarded only three paths, so Stripe's and Zoho's webhooks could never reach it — a card payment would succeed at Stripe and the order never turn PAID. Staging hid it (its API is public).</t>
        </is>
      </c>
      <c r="I316" s="108" t="inlineStr">
        <is>
          <t>Code review</t>
        </is>
      </c>
      <c r="J316" s="108" t="n">
        <v>0.5</v>
      </c>
      <c r="K316" s="163" t="n">
        <v>46316</v>
      </c>
      <c r="L316" s="163" t="n"/>
      <c r="M316" s="110" t="inlineStr">
        <is>
          <t>rcfworks</t>
        </is>
      </c>
      <c r="N316" s="81" t="n">
        <v>0</v>
      </c>
      <c r="O316" s="80" t="n"/>
      <c r="P316" s="80" t="inlineStr">
        <is>
          <t>sponsorx.net forwards exactly /api/v1/webhooks/payments/stripe, /zoho/invoice and /zoho/crm to the private API untouched; the API's signature checks pass on a forwarded signed delivery and refuse a bad one; nothing else forwarded, no wildcards; the Stripe go-live steps name the production URL</t>
        </is>
      </c>
      <c r="Q316" s="82" t="inlineStr">
        <is>
          <t>§18, §38</t>
        </is>
      </c>
      <c r="R316" s="111" t="inlineStr">
        <is>
          <t>2026-10-21 (rcfworks): frontend/next.config.ts WEBHOOK_PATHS, pinned by frontend/tests/security-review.test.ts; SponsorX-Stripe-Integration.md §3/§6.</t>
        </is>
      </c>
    </row>
    <row r="317" s="75">
      <c r="A317" s="104" t="n">
        <v>157.79</v>
      </c>
      <c r="B317" s="105" t="inlineStr">
        <is>
          <t>P8-BE-07</t>
        </is>
      </c>
      <c r="C317" s="81" t="n">
        <v>8</v>
      </c>
      <c r="D317" s="82" t="inlineStr">
        <is>
          <t>Integration, Hardening &amp; Launch</t>
        </is>
      </c>
      <c r="E317" s="139" t="inlineStr">
        <is>
          <t>BE</t>
        </is>
      </c>
      <c r="F317" s="120" t="inlineStr">
        <is>
          <t>Code</t>
        </is>
      </c>
      <c r="G317" s="80" t="inlineStr">
        <is>
          <t>Issue the approved legal wording in the app</t>
        </is>
      </c>
      <c r="H317" s="107" t="inlineStr">
        <is>
          <t>Raised 2026-10-22, when the legal drafts in the SponsorX Legal folder (documents 1–7) were approved by rcfworks with Rodney's delegated authority. What people accept is fingerprinted, so the approved words become v2 of each agreement: Content Collaboration Agreement, Campaign Order, Guardian Agreement, Marketplace Seller and Payout Terms, Marketplace Order Terms. Every loader registers the newest file on first use. The fan page's consent boxes are re-versioned 2026-10-22, with the sponsor named in box 2. Also new: the notice under the button, the fan email footer, the fan privacy notice (GET /public/fan-privacy) and the 'Campaign Results Report' title and foot note. Governing law is left out until BTG names it (a v3). BTG's postal address is a go-live switch (BTG_POSTAL_ADDRESS).</t>
        </is>
      </c>
      <c r="I317" s="108" t="inlineStr">
        <is>
          <t>Done</t>
        </is>
      </c>
      <c r="J317" s="108" t="n">
        <v>1</v>
      </c>
      <c r="K317" s="163" t="n">
        <v>46317</v>
      </c>
      <c r="L317" s="163" t="n">
        <v>46317</v>
      </c>
      <c r="M317" s="110" t="inlineStr">
        <is>
          <t>rcfworks</t>
        </is>
      </c>
      <c r="N317" s="81" t="n">
        <v>1</v>
      </c>
      <c r="O317" s="80" t="inlineStr">
        <is>
          <t>P0-LEG-01…06, 2S0-LEG-01, 2S0-LEG-02, 3S0-LEG-01 (all approved 2026-10-22)</t>
        </is>
      </c>
      <c r="P317" s="80" t="inlineStr">
        <is>
          <t>Every agreement has an approved v2 with no counsel brackets, draft banners or blanks (v1 kept). v2 is in force for every tenant without a manual step. The fan wording is re-versioned, with the notice, footer and privacy notice served by the API. The rendered report is the Campaign Results Report with the approved foot note. Full backend suite green.</t>
        </is>
      </c>
      <c r="Q317" s="82" t="inlineStr">
        <is>
          <t>§12, §16, §22, §26</t>
        </is>
      </c>
      <c r="R317" s="111" t="inlineStr">
        <is>
          <t>Tests: approved-legal-wording.test.ts; suites that pinned v1 now read the version in force (tests/support/agreements.ts).</t>
        </is>
      </c>
    </row>
    <row r="318" s="75">
      <c r="A318" s="104" t="n">
        <v>157.94</v>
      </c>
      <c r="B318" s="105" t="inlineStr">
        <is>
          <t>P8-FE-08</t>
        </is>
      </c>
      <c r="C318" s="81" t="n">
        <v>8</v>
      </c>
      <c r="D318" s="82" t="inlineStr">
        <is>
          <t>Integration, Hardening &amp; Launch</t>
        </is>
      </c>
      <c r="E318" s="139" t="inlineStr">
        <is>
          <t>FE</t>
        </is>
      </c>
      <c r="F318" s="120" t="inlineStr">
        <is>
          <t>Code</t>
        </is>
      </c>
      <c r="G318" s="80" t="inlineStr">
        <is>
          <t>Show the approved fan-page and results wording</t>
        </is>
      </c>
      <c r="H318" s="107" t="inlineStr">
        <is>
          <t>Raised with P8-BE-07 (2026-10-22). Fan reward page: show `notice` and `eligibilityCheck`, the email-field label, and a link to the fan privacy notice. Unsubscribe confirmation page: the approved wording. Guardian set-up page: the approved acceptance box. Sponsor results screen and report page: the approved labels, captions and foot note, retitled Campaign Results Report with no 'ROI'.</t>
        </is>
      </c>
      <c r="I318" s="108" t="inlineStr">
        <is>
          <t>Done</t>
        </is>
      </c>
      <c r="J318" s="108" t="n">
        <v>1</v>
      </c>
      <c r="K318" s="163" t="n">
        <v>46317</v>
      </c>
      <c r="L318" s="163" t="n">
        <v>46317</v>
      </c>
      <c r="M318" s="110" t="inlineStr">
        <is>
          <t>rcfworks</t>
        </is>
      </c>
      <c r="N318" s="81" t="n">
        <v>0</v>
      </c>
      <c r="O318" s="80" t="inlineStr">
        <is>
          <t>P8-BE-07</t>
        </is>
      </c>
      <c r="P318" s="80" t="inlineStr">
        <is>
          <t>Each screen shows the approved words, taken from the API where the API serves them. No sponsor screen says 'ROI'.</t>
        </is>
      </c>
      <c r="Q318" s="82" t="inlineStr">
        <is>
          <t>§16, §22, Legal folder documents 3 and 5</t>
        </is>
      </c>
      <c r="R318" s="111" t="inlineStr">
        <is>
          <t>Done 2026-10-22 (rcfworks, at the user's request): fan page notice, eligibility check, email label, /r/privacy page, unsubscribe wording, guardian acceptance line (handoff page now shows the served agreement), no 'ROI' on sponsor screens, confidence caption and results foot note. Merged in #287 with all four CI checks green.</t>
        </is>
      </c>
    </row>
    <row r="319" s="75">
      <c r="A319" s="104" t="n">
        <v>157.95</v>
      </c>
      <c r="B319" s="105" t="inlineStr">
        <is>
          <t>P8-SEC-04</t>
        </is>
      </c>
      <c r="C319" s="81" t="n">
        <v>8</v>
      </c>
      <c r="D319" s="82" t="inlineStr">
        <is>
          <t>Integration, Hardening &amp; Launch</t>
        </is>
      </c>
      <c r="E319" s="139" t="inlineStr">
        <is>
          <t>SEC</t>
        </is>
      </c>
      <c r="F319" s="120" t="inlineStr">
        <is>
          <t>Code</t>
        </is>
      </c>
      <c r="G319" s="80" t="inlineStr">
        <is>
          <t>Patch the Next.js and DOMPurify advisories</t>
        </is>
      </c>
      <c r="H319" s="107" t="inlineStr">
        <is>
          <t>Raised 2026-10-23: new advisories turned CI red on every branch. Next.js 16.3.8 had two critical unauthenticated RCEs (GHSA-2464-fhr4-w9xw, GHSA-673q-mjm6-r5xr) and a high DoS (GHSA-p3m5-59mp-jv5r); DOMPurify 3.4.16, via jspdf, one critical and one high. Upgraded next and eslint-config-next to 16.4.2 and dompurify to 3.4.17.</t>
        </is>
      </c>
      <c r="I319" s="108" t="inlineStr">
        <is>
          <t>Done</t>
        </is>
      </c>
      <c r="J319" s="108" t="n">
        <v>0.5</v>
      </c>
      <c r="K319" s="163" t="n">
        <v>46318</v>
      </c>
      <c r="L319" s="163" t="n">
        <v>46318</v>
      </c>
      <c r="M319" s="110" t="inlineStr">
        <is>
          <t>rcfworks</t>
        </is>
      </c>
      <c r="N319" s="81" t="n">
        <v>0</v>
      </c>
      <c r="O319" s="80" t="n"/>
      <c r="P319" s="80" t="inlineStr">
        <is>
          <t>npm run audit:check is clean; builds, lint and every frontend, backend and runnable e2e test pass; staging and production run the patched build.</t>
        </is>
      </c>
      <c r="Q319" s="82" t="inlineStr">
        <is>
          <t>§26</t>
        </is>
      </c>
      <c r="R319" s="111" t="inlineStr">
        <is>
          <t>Merged in #292, synced to main in #293 (all CI green). Deployed to staging and production at 38f800e, 2026-10-23 11:55 UTC; both healthy.</t>
        </is>
      </c>
    </row>
    <row r="320" s="75">
      <c r="A320" s="104" t="n">
        <v>157.96</v>
      </c>
      <c r="B320" s="105" t="inlineStr">
        <is>
          <t>P8-OPS-04</t>
        </is>
      </c>
      <c r="C320" s="81" t="n">
        <v>8</v>
      </c>
      <c r="D320" s="82" t="inlineStr">
        <is>
          <t>Integration, Hardening &amp; Launch</t>
        </is>
      </c>
      <c r="E320" s="139" t="inlineStr">
        <is>
          <t>OPS</t>
        </is>
      </c>
      <c r="F320" s="120" t="inlineStr">
        <is>
          <t>Code + console</t>
        </is>
      </c>
      <c r="G320" s="80" t="inlineStr">
        <is>
          <t>Zoho Books sends invoice changes to SponsorX</t>
        </is>
      </c>
      <c r="H320" s="107" t="inlineStr">
        <is>
          <t>Raised 2026-10-25: SponsorX's invoice webhook had no caller, because the Books workflow planned on 2026-10-02 was never built. Built in Books org The Coffee Stage: the CRM Deal ID invoice field, the custom function sponsorx_send_invoice (signed with ZOHO_WEBHOOK_SECRET) and the workflow rule Send to SponsorX.</t>
        </is>
      </c>
      <c r="I320" s="108" t="inlineStr">
        <is>
          <t>Done</t>
        </is>
      </c>
      <c r="J320" s="108" t="n">
        <v>0.5</v>
      </c>
      <c r="K320" s="163" t="n">
        <v>46320</v>
      </c>
      <c r="L320" s="163" t="n">
        <v>46320</v>
      </c>
      <c r="M320" s="110" t="inlineStr">
        <is>
          <t>rcfworks</t>
        </is>
      </c>
      <c r="N320" s="81" t="inlineStr">
        <is>
          <t>0</t>
        </is>
      </c>
      <c r="O320" s="80" t="n"/>
      <c r="P320" s="80" t="inlineStr">
        <is>
          <t>A draft, a sent and a paid invoice each reach staging signed and APPLIED; staging's copy follows draft -&gt; sent -&gt; paid; a paid invoice carries its paid date</t>
        </is>
      </c>
      <c r="Q320" s="82" t="inlineStr">
        <is>
          <t>§18</t>
        </is>
      </c>
      <c r="R320" s="111" t="inlineStr">
        <is>
          <t>Done 2026-10-25 (rcfworks). Tested on staging with INV-000001 (deal 7554807000012994002): draft, sent and paid each arrived signed and APPLIED, and the order invoice went draft -&gt; sent -&gt; paid. Paid date fixed: the function reads the full invoice when the workflow copy has no last_payment_date; the retest at 04:32 UTC carried paidAt 2026-10-25. Not shown: AWAITING_PAYMENT -&gt; PAID (the test order was already PAID).</t>
        </is>
      </c>
    </row>
    <row r="321" s="75">
      <c r="A321" s="104" t="n">
        <v>157.97</v>
      </c>
      <c r="B321" s="105" t="inlineStr">
        <is>
          <t>P8-SEC-05</t>
        </is>
      </c>
      <c r="C321" s="81" t="n">
        <v>8</v>
      </c>
      <c r="D321" s="82" t="inlineStr">
        <is>
          <t>Integration, Hardening &amp; Launch</t>
        </is>
      </c>
      <c r="E321" s="139" t="inlineStr">
        <is>
          <t>SEC</t>
        </is>
      </c>
      <c r="F321" s="120" t="inlineStr">
        <is>
          <t>Code</t>
        </is>
      </c>
      <c r="G321" s="80" t="inlineStr">
        <is>
          <t>Patch the body-parser, zod and fast-uri advisories</t>
        </is>
      </c>
      <c r="H321" s="107" t="inlineStr">
        <is>
          <t>Raised 2026-10-25: new advisories turned CI's dependency scan red on every branch. body-parser 2.3.0 (high, production, via express), zod 4.6.5 (high, production), fast-uri 3.1.8 (moderate x4, dev only).</t>
        </is>
      </c>
      <c r="I321" s="108" t="inlineStr">
        <is>
          <t>Done</t>
        </is>
      </c>
      <c r="J321" s="108" t="n">
        <v>0.5</v>
      </c>
      <c r="K321" s="163" t="n">
        <v>46320</v>
      </c>
      <c r="L321" s="163" t="n">
        <v>46320</v>
      </c>
      <c r="M321" s="110" t="inlineStr">
        <is>
          <t>rcfworks</t>
        </is>
      </c>
      <c r="N321" s="81" t="inlineStr">
        <is>
          <t>0</t>
        </is>
      </c>
      <c r="O321" s="80" t="n"/>
      <c r="P321" s="80" t="inlineStr">
        <is>
          <t>npm run audit:check is clean; builds, lint and every frontend, backend and runnable e2e test pass; staging and production run the patched build</t>
        </is>
      </c>
      <c r="Q321" s="82" t="inlineStr">
        <is>
          <t>§26</t>
        </is>
      </c>
      <c r="R321" s="111" t="inlineStr">
        <is>
          <t>Done 2026-10-25 (rcfworks): #298, synced in #299. body-parser 2.4.0, zod 4.6.7, fast-uri 3.1.9. Local: FE 1,681, BE 3,511, e2e 31 pass. CI pinned to ubuntu-24.04 (Playwright 1.63 can't install Chromium on 26.04). release -&gt; a87b4713; all four services deployed; staging runs zod@4.6.7 / body-parser@2.4.0; health, /join, webhooks (401) and protected API (401) checked in both environments.</t>
        </is>
      </c>
    </row>
    <row r="322" s="75">
      <c r="A322" s="104" t="n">
        <v>157.98</v>
      </c>
      <c r="B322" s="105" t="inlineStr">
        <is>
          <t>P8-FE-09</t>
        </is>
      </c>
      <c r="C322" s="81" t="n">
        <v>8</v>
      </c>
      <c r="D322" s="82" t="inlineStr">
        <is>
          <t>Integration, Hardening &amp; Launch</t>
        </is>
      </c>
      <c r="E322" s="139" t="inlineStr">
        <is>
          <t>FE</t>
        </is>
      </c>
      <c r="F322" s="120" t="inlineStr">
        <is>
          <t>Code</t>
        </is>
      </c>
      <c r="G322" s="80" t="inlineStr">
        <is>
          <t>Fix the screen findings from the tester-guide dry run</t>
        </is>
      </c>
      <c r="H322" s="107" t="inlineStr">
        <is>
          <t>Raised 2026-10-26 from the tester-guide dry run on staging. Seven screen problems: (1) a real campaign's results page had no PDF / Excel export, only the samples did; (2) the home page's 'Trusted by leading brands' strip showed the mockup's brands (Nike, adidas, Red Bull, Monster Energy, Under Armour) as if they were partners; (3) 'Postgres · read &lt;time&gt;' showed on athlete pages; (4) the offer title said the sponsor twice when the campaign name starts with it; (5) BTG's approvals desk called a PNG draft 'Video · v1'; (6) 'This goes live as soon as the checks pass.' appeared twice under Submit on a new listing; (7) the admin's order view said 'Complete' while the athlete's page still said 'Published — BTG verifying'.</t>
        </is>
      </c>
      <c r="I322" s="108" t="inlineStr">
        <is>
          <t>Done</t>
        </is>
      </c>
      <c r="J322" s="108" t="n">
        <v>1</v>
      </c>
      <c r="K322" s="163" t="n">
        <v>46321</v>
      </c>
      <c r="L322" s="163" t="n">
        <v>46322</v>
      </c>
      <c r="M322" s="110" t="inlineStr">
        <is>
          <t>HeckerCreatives</t>
        </is>
      </c>
      <c r="N322" s="81" t="inlineStr">
        <is>
          <t>0</t>
        </is>
      </c>
      <c r="O322" s="80" t="n"/>
      <c r="P322" s="80" t="inlineStr">
        <is>
          <t>A real campaign's results page exports a PDF and an Excel workbook from its own report read, with reach by source kept apart; the home page shows no brand that hasn't agreed to be named; no athlete page names the database; each finding is fixed and covered by a test where the logic allows.</t>
        </is>
      </c>
      <c r="Q322" s="82" t="inlineStr">
        <is>
          <t>§9, §21, §22</t>
        </is>
      </c>
      <c r="R322" s="111" t="inlineStr">
        <is>
          <t>2026-10-27 (HeckerCreatives): public pages for the inert nav items, built on the landing's parts - /get-started (Get Started no longer goes to /login), /how-it-works and /about (BTG Sports Group, values, the four desks, SponsorX + NEXT); nav items live, page-transition + route map + e2e sweep updated. Device-matrix QA x2 (1,751 + 464 loads, 7 roles, 320-2560 + WebKit iPhone SE/iPad Mini, public pages also signed in). Fixed: iPad (768) sideways scroll on 11 table desks (sr-only column header escaped .sx-table-scroll - now position:relative); /login hydration mismatch under load (Clerk &lt;SignIn&gt; now mounts after hydration); signed-in header '&lt;Role&gt; Dashboard' overflow below 380px (reads 'Dashboard'); lg-only grids on 13 detail layouts + rules board (grid-cols-1); roster at 320; payout chip at 768; Safari select overflow (global rule); loader exit overflow; plus the morning's six 320px fixes. FE tsc + lint clean, vitest 1,712 (security-review graph test is load-sensitive near its 5 s timeout). Merged to main_development and main. | 2026-10-27 QA pass 4 (HeckerCreatives): found local node_modules predated P8-SEC-04/05 (next 16.3.8 vs 16.4.2 etc.) - npm ci, all checks re-run on the lockfile versions. Production build (next start) against the api container (boots with the shared env; OpenAPI lists /public/network-stats as public): walk 5/5, 0 console errors; axe on changed pages found only a pre-existing &lt;dl&gt; issue in the Arena tiles. Third review: stale comments, dead fixtures/buildReportFunnel, a vacuous test, untested Complete rule (now orderJourney + tests), route test for the public endpoint, docs updated. FE 1,712 / BE 3,503 (4 Windows-only); Next 16.4.2 build and lint clean. | 2026-10-26 QA pass 3 (HeckerCreatives): team e2e (public, public-links, landing-city, redeem-flow, P4/P5/P7 loops, marketplace-path) 35 passed; 2 blocked by the Clerk dev user cap, 2 first-compile timeouts passed on re-run. Checked tenant scope and the rate limit of /public/network-stats, viewer-timezone 'Updated' pill, hung-API timeout, property draft listing. Fixed: sample roster 'demo' job; campaignAfterSponsor on punctuation; approvals card 'job' label; internal names in demo views; sample report now exports through campaign-results labelled (sample), old fixture export deleted. FE 1,707 / BE 3,498 tests; build and lint clean. | 2026-10-26 QA pass 2 (HeckerCreatives): independent code review + wider walk (20 athlete pages desktop/phone, approvals edge cases, Complete flipping as posts verify, listing editor, student/advisor/public pages, console errors). Fixed: untyped uploads no longer called images; 'Postgres' removed for sponsors, public property page, student and advisor portals; sponsor roster duplicate React key (rows keyed by athlete+job, job shown, in export too); sponsor name no longer repeated on athlete list sub-lines or the admin approvals drawer; 'goes live' said once on listing pages (athlete and property). FE 1,704 / BE 3,499 tests (4 Windows-only files fail); build and lint clean; walk 6/6, 0 console errors. | 2026-10-26 follow-up (HeckerCreatives): QA findings fixed. Home 'Real Impact' card, closing 'The numbers' panel and /login figures now read GET /public/network-stats (athletes ACTIVE+FEATURED, campaigns COMPLETED, deliverables VERIFIED, rewards REDEEMED; zeros left out, hidden with no read; 'Attributed fan value' dropped, no source); docker-compose worker shares the api's env (was crash-looping on missing Clerk keys); unused variable removed, lint clean. FE 1,701 / BE 3,499 tests; build passes; walked live with the API up and down. Open for the owner: the home page's Featured athletes panel still shows sample athletes. | 2026-10-26 QA (HeckerCreatives): root build and lint pass; FE 1,694 tests; BE 3,497 pass on sponsorx_test (only the four known Windows-only files fail). Playwright walk as QA athlete, admin and sponsor on seeded qa_fe09_* rows (removed after) confirmed all seven fixes, incl. a real PDF and XLSX download. Found and fixed in QA: two 'POSTGRES' chips on athlete earnings (now 'SponsorX records'); the PDF's cost per 1,000 now prints cents like the screen. Not deployed. | 2026-10-26 (HeckerCreatives): on branch fix/P8-FE-09-dry-run-screen-findings. Real-campaign export built from GET /campaigns/{id}/report (campaign-results-report.ts + PDF/XLSX renderers); trustedBrands emptied and the strip hidden while empty; athlete pills read 'Updated &lt;time&gt;' (ArenaUpdated); campaignWithSponsor drops a repeated sponsor; GET /deliverables sends latestAsset.contentType and the desk names the upload's kind; duplicate listing sentence removed; GET /campaigns/{id}/ops sends a per-athlete verified count and 'Complete' waits for it. Frontend build, lint and 1,694 tests pass; backend typecheck and the ops / deliverables read tests pass.</t>
        </is>
      </c>
    </row>
    <row r="323" s="75">
      <c r="A323" s="104" t="n">
        <v>157.99</v>
      </c>
      <c r="B323" s="105" t="inlineStr">
        <is>
          <t>P8-BE-08</t>
        </is>
      </c>
      <c r="C323" s="81" t="n">
        <v>8</v>
      </c>
      <c r="D323" s="82" t="inlineStr">
        <is>
          <t>Integration, Hardening &amp; Launch</t>
        </is>
      </c>
      <c r="E323" s="139" t="inlineStr">
        <is>
          <t>BE</t>
        </is>
      </c>
      <c r="F323" s="120" t="inlineStr">
        <is>
          <t>Code</t>
        </is>
      </c>
      <c r="G323" s="80" t="inlineStr">
        <is>
          <t>Featured athletes list for the home page</t>
        </is>
      </c>
      <c r="H323" s="107" t="inlineStr">
        <is>
          <t>Public list of up to 4 athletes by the approved criteria (photo and every public field required); BTG pin, remove and approve.</t>
        </is>
      </c>
      <c r="I323" s="108" t="inlineStr">
        <is>
          <t>Done</t>
        </is>
      </c>
      <c r="J323" s="108" t="n">
        <v>3</v>
      </c>
      <c r="K323" s="163" t="n">
        <v>46322</v>
      </c>
      <c r="L323" s="163" t="n">
        <v>46322</v>
      </c>
      <c r="M323" s="110" t="inlineStr">
        <is>
          <t>rcfworks</t>
        </is>
      </c>
      <c r="N323" s="81" t="n">
        <v>1</v>
      </c>
      <c r="O323" s="80" t="n"/>
      <c r="P323" s="80" t="inlineStr">
        <is>
          <t>Only qualifying athletes, pinned first, at most 4; minors need approval; removed stay off; nothing private; tenant and role tests</t>
        </is>
      </c>
      <c r="Q323" s="82" t="inlineStr">
        <is>
          <t>§9, §11, §26</t>
        </is>
      </c>
      <c r="R323" s="111" t="inlineStr">
        <is>
          <t>2026-10-27 DONE (rcfworks): criteria approved by the user. Photo upload added (athletes had none). 3,540 backend tests pass.</t>
        </is>
      </c>
    </row>
    <row r="324" s="75">
      <c r="A324" s="104" t="n">
        <v>157.995</v>
      </c>
      <c r="B324" s="105" t="inlineStr">
        <is>
          <t>P8-FE-10</t>
        </is>
      </c>
      <c r="C324" s="81" t="n">
        <v>8</v>
      </c>
      <c r="D324" s="82" t="inlineStr">
        <is>
          <t>Integration, Hardening &amp; Launch</t>
        </is>
      </c>
      <c r="E324" s="139" t="inlineStr">
        <is>
          <t>FE</t>
        </is>
      </c>
      <c r="F324" s="120" t="inlineStr">
        <is>
          <t>Code</t>
        </is>
      </c>
      <c r="G324" s="80" t="inlineStr">
        <is>
          <t>Home page Featured athletes from the API</t>
        </is>
      </c>
      <c r="H324" s="107" t="inlineStr">
        <is>
          <t>Panel reads the API instead of samples; athlete photo upload; BTG pin, remove and approve controls.</t>
        </is>
      </c>
      <c r="I324" s="108" t="inlineStr">
        <is>
          <t>Done</t>
        </is>
      </c>
      <c r="J324" s="108" t="n">
        <v>3</v>
      </c>
      <c r="K324" s="163" t="n">
        <v>46322</v>
      </c>
      <c r="L324" s="163" t="n">
        <v>46322</v>
      </c>
      <c r="M324" s="110" t="inlineStr">
        <is>
          <t>HeckerCreatives</t>
        </is>
      </c>
      <c r="N324" s="81" t="n">
        <v>0</v>
      </c>
      <c r="O324" s="80" t="inlineStr">
        <is>
          <t>P8-BE-08</t>
        </is>
      </c>
      <c r="P324" s="80" t="inlineStr">
        <is>
          <t>Panel shows the API list and hides when empty; photo upload works; controls for BTG admin and Network Manager only</t>
        </is>
      </c>
      <c r="Q324" s="82" t="inlineStr">
        <is>
          <t>§9, §10</t>
        </is>
      </c>
      <c r="R324" s="111" t="inlineStr">
        <is>
          <t>2026-10-27 DONE (HeckerCreatives): five QA passes green; merged to main_development and promoted to main. | 2026-10-27 QA5 (HeckerCreatives): no bugs. Storage-level upload security 12/12 (presigned PUT pinned to type/size/key; SVG, .., other-tenant keys refused); BE/FE contract alignment 7/7; team e2e (public, landing-city, loop-p3-application, public@mobile) 11 passed; latest commit under next start 7/7 incl. the drawer's server action; API 33/33; BE suite 3,526 + 4 Windows-only. | 2026-10-27 QA4 (HeckerCreatives): full regression green (API 33, browser 101, drawer 8, roles 8, robustness 5, extras 17); applications desk unaffected (tabs, Escape/focus, decision bar, axe on drawer); NM uploads from the drawer; missing photo object, reduced motion, no-JS HTML ok. Fixed: 2,147,483,647 followers printed '2147M' - now '2.1B'. | 2026-10-27 QA3 (HeckerCreatives): found the Network Manager couldn't reach the controls (/admin/new-signups is BTG-admin only) - fixed: the Home page section now also opens in the approved athlete's drawer on /admin/applications. Prod server (next start) ok; NM, super, guardian, other-tenant roles ok; stale tab, double-click, focus, hostile name ok. Notes: CSP is report-only - enforcing it needs R2_PUBLIC_BASE_URL on the web service; guardians have no photo screen (pre-existing demo editor). | 2026-10-27 QA (HeckerCreatives): 33 live API probes + 94 browser checks on 11 devices (WebKit incl.) on a staged scenario (restored byte-for-byte); axe clean x3; API-down home still loads without the panel; minor approve/withdraw live. Fixed: /athletes/me reached the public bucket from the route (payments-pii would fail on CI) - now athletePhotoUrl() in the domain; 'Under 18' shown for no-age athletes - now 'Under 18 or no age on file'. npm run build green (worktree); BE suite 3,525 pass + known Windows-only files. | 2026-10-27 (HeckerCreatives): on feature/P8-FE-10-featured-athletes. Home panel reads GET /public/featured-athletes (server/featured-athletes.ts, 1-min keep, edge forward); rows show photo, name, sport/position, city/state, followers tagged Verified/Self-reported; job tag + sample figures dropped; no read or empty list hides it. Athlete photo editor (upload/change/remove, browser type/size check, direct PUT to the public bucket) on the athlete's edit page and BTG's athlete page. BTG 'Home page' section on /admin/new-signups/athletes/{id}: on-panel state, every reason off (missing fields named, minor awaiting approval), pin/unpin, remove/restore, approve/withdraw; drawn only when GET /athletes/{id}/home-page answers (BTG admin, Network Manager). Backend: GET /athletes/me returns photoUrl. FE vitest 1,729; BE DB tests 42/42 on sponsorx_test; walked live on MinIO (QA athlete restored after). | Raised 2026-10-27. API details in the Phase 1 doc.</t>
        </is>
      </c>
    </row>
    <row r="325" s="75">
      <c r="A325" s="104" t="n">
        <v>157.996</v>
      </c>
      <c r="B325" s="105" t="inlineStr">
        <is>
          <t>P8-BE-09</t>
        </is>
      </c>
      <c r="C325" s="81" t="n">
        <v>8</v>
      </c>
      <c r="D325" s="82" t="inlineStr">
        <is>
          <t>Integration, Hardening &amp; Launch</t>
        </is>
      </c>
      <c r="E325" s="139" t="inlineStr">
        <is>
          <t>BE</t>
        </is>
      </c>
      <c r="F325" s="120" t="inlineStr">
        <is>
          <t>Code</t>
        </is>
      </c>
      <c r="G325" s="80" t="inlineStr">
        <is>
          <t>Every document upload checked for a usable file</t>
        </is>
      </c>
      <c r="H325" s="107" t="inlineStr">
        <is>
          <t>Found 2026-10-28: an ID arrived as a near-black blurred photo and nothing stopped it. At the confirm step of all ten document uploads, open the file: real type (first bytes), opens, photo/scanned page not too small, dark, washed out, blank or blurred; PDF not password-locked, has pages. Refused files are deleted and audited, with the reason in plain words.</t>
        </is>
      </c>
      <c r="I325" s="108" t="inlineStr">
        <is>
          <t>Done</t>
        </is>
      </c>
      <c r="J325" s="108" t="n">
        <v>2</v>
      </c>
      <c r="K325" s="163" t="n">
        <v>46323</v>
      </c>
      <c r="L325" s="163" t="n">
        <v>46323</v>
      </c>
      <c r="M325" s="110" t="inlineStr">
        <is>
          <t>rcfworks</t>
        </is>
      </c>
      <c r="N325" s="81" t="n">
        <v>2</v>
      </c>
      <c r="O325" s="80" t="n"/>
      <c r="P325" s="80" t="inlineStr">
        <is>
          <t>Each of the ten uploads refuses a dark, blurred, blank, too-small, renamed, damaged or locked file with its reason, deletes and audits it; good files pass; tests cover every rule and flow</t>
        </is>
      </c>
      <c r="Q325" s="82" t="inlineStr">
        <is>
          <t>§26; 2S8-SEC-03</t>
        </is>
      </c>
      <c r="R325" s="111" t="inlineStr">
        <is>
          <t>2026-10-28 DONE (rcfworks): every document confirm (10 uploads) opens the file: renamed, damaged, locked, too small, dark, washed out, blank or blurred refused in words, deleted, audited. Limits calibrated on the real near-black upload. 3,592 backend tests pass. | 2026-10-28 (rcfworks): raised and started. The user: "do 1 and 2", "do A and B", all documents.</t>
        </is>
      </c>
    </row>
    <row r="326" s="75">
      <c r="A326" s="104" t="n">
        <v>157.997</v>
      </c>
      <c r="B326" s="105" t="inlineStr">
        <is>
          <t>P8-BE-10</t>
        </is>
      </c>
      <c r="C326" s="81" t="n">
        <v>8</v>
      </c>
      <c r="D326" s="82" t="inlineStr">
        <is>
          <t>Integration, Hardening &amp; Launch</t>
        </is>
      </c>
      <c r="E326" s="139" t="inlineStr">
        <is>
          <t>BE</t>
        </is>
      </c>
      <c r="F326" s="120" t="inlineStr">
        <is>
          <t>Code</t>
        </is>
      </c>
      <c r="G326" s="80" t="inlineStr">
        <is>
          <t>BTG sends a document back</t>
        </is>
      </c>
      <c r="H326" s="107" t="inlineStr">
        <is>
          <t>BTG sends any document it reviews back with a reason (sign-up IDs and guardian papers, coming-of-age ID, new legal name ID, handoff papers, organisation papers, sponsor proof of business): it stops counting, the file is deleted, the person is emailed the reason and their upload link, and the checks re-run on the new one.</t>
        </is>
      </c>
      <c r="I326" s="108" t="inlineStr">
        <is>
          <t>Done</t>
        </is>
      </c>
      <c r="J326" s="108" t="n">
        <v>2</v>
      </c>
      <c r="K326" s="163" t="n">
        <v>46323</v>
      </c>
      <c r="L326" s="163" t="n">
        <v>46323</v>
      </c>
      <c r="M326" s="110" t="inlineStr">
        <is>
          <t>rcfworks</t>
        </is>
      </c>
      <c r="N326" s="81" t="n">
        <v>1</v>
      </c>
      <c r="O326" s="80" t="inlineStr">
        <is>
          <t>P8-BE-09</t>
        </is>
      </c>
      <c r="P326" s="80" t="inlineStr">
        <is>
          <t>BTG can send back each kind with a reason; it stops counting and the file is gone; the person is emailed; a new upload re-runs the checks; other roles and tenants refused; tests per flow</t>
        </is>
      </c>
      <c r="Q326" s="82" t="inlineStr">
        <is>
          <t>§10, §26</t>
        </is>
      </c>
      <c r="R326" s="111" t="inlineStr">
        <is>
          <t>2026-10-28 DONE (rcfworks): BTG send-back with a reason on sign-ups (athlete and guardian), organisations, sponsor requests, handoffs and legal-name IDs: stops counting, file deleted, person emailed the reason and their upload link, flow back to waiting, audited. | 2026-10-28 (rcfworks): raised and started (the user: "do 1 and 2").</t>
        </is>
      </c>
    </row>
    <row r="327" s="75">
      <c r="A327" s="104" t="n">
        <v>157.998</v>
      </c>
      <c r="B327" s="105" t="inlineStr">
        <is>
          <t>P8-BE-11</t>
        </is>
      </c>
      <c r="C327" s="81" t="n">
        <v>8</v>
      </c>
      <c r="D327" s="82" t="inlineStr">
        <is>
          <t>Integration, Hardening &amp; Launch</t>
        </is>
      </c>
      <c r="E327" s="139" t="inlineStr">
        <is>
          <t>BE</t>
        </is>
      </c>
      <c r="F327" s="120" t="inlineStr">
        <is>
          <t>Code</t>
        </is>
      </c>
      <c r="G327" s="80" t="inlineStr">
        <is>
          <t>Documents read and compared</t>
        </is>
      </c>
      <c r="H327" s="107" t="inlineStr">
        <is>
          <t>After P8-BE-09 the server reads the document (PDF text, or OCR on our own server; nothing sent out, no text kept) and compares: the right name, the right kind, not expired, the athlete's date of birth. Result clear / flagged (findings in words) / unread. Flagged or unread holds the automatic approval (sign-up, organisation, sponsor request, guardian handoff, legal name) for BTG with the findings as reasons. BTG reads results via GET /document-checks.</t>
        </is>
      </c>
      <c r="I327" s="108" t="inlineStr">
        <is>
          <t>Done</t>
        </is>
      </c>
      <c r="J327" s="108" t="n">
        <v>3</v>
      </c>
      <c r="K327" s="163" t="n">
        <v>46323</v>
      </c>
      <c r="L327" s="163" t="n">
        <v>46323</v>
      </c>
      <c r="M327" s="110" t="inlineStr">
        <is>
          <t>rcfworks</t>
        </is>
      </c>
      <c r="N327" s="81" t="n">
        <v>1</v>
      </c>
      <c r="O327" s="80" t="inlineStr">
        <is>
          <t>P8-BE-09</t>
        </is>
      </c>
      <c r="P327" s="80" t="inlineStr">
        <is>
          <t>Every listed document gets a result; wrong name, kind, expired date or date of birth flagged in words; no text stored; each automatic approval held when flagged and unchanged when clear; BTG reads results; held legal name can be applied or rejected; tests for rules, flows, roles, tenants</t>
        </is>
      </c>
      <c r="Q327" s="82" t="inlineStr">
        <is>
          <t>§10, §26; Phase 2 automation rule</t>
        </is>
      </c>
      <c r="R327" s="111" t="inlineStr">
        <is>
          <t>2026-10-28 DONE (rcfworks): documents read on our own server (PDF text or tesseract OCR; no text stored); name, kind, expiry, birth date compared; flagged/unread holds sign-up, organisation, sponsor request, handoff and legal name for BTG with reasons; BTG apply/decline for a held legal name. | 2026-10-28 (rcfworks): raised and started (the user: "do A and B").</t>
        </is>
      </c>
    </row>
    <row r="328" s="75">
      <c r="A328" s="104" t="n">
        <v>157.999</v>
      </c>
      <c r="B328" s="105" t="inlineStr">
        <is>
          <t>P8-FE-11</t>
        </is>
      </c>
      <c r="C328" s="81" t="n">
        <v>8</v>
      </c>
      <c r="D328" s="82" t="inlineStr">
        <is>
          <t>Integration, Hardening &amp; Launch</t>
        </is>
      </c>
      <c r="E328" s="139" t="inlineStr">
        <is>
          <t>FE</t>
        </is>
      </c>
      <c r="F328" s="120" t="inlineStr">
        <is>
          <t>Code</t>
        </is>
      </c>
      <c r="G328" s="80" t="inlineStr">
        <is>
          <t>Document checks on screen</t>
        </is>
      </c>
      <c r="H328" s="107" t="inlineStr">
        <is>
          <t>Upload screens show the refusal reason and "Checking your document…" while confirming; BTG review screens show each document's check (Clear / Flagged with findings / Couldn't read) and a Send back button with a reason; a held legal name can be applied or rejected.</t>
        </is>
      </c>
      <c r="I328" s="108" t="inlineStr">
        <is>
          <t>Done</t>
        </is>
      </c>
      <c r="J328" s="108" t="n">
        <v>2</v>
      </c>
      <c r="K328" s="163" t="n">
        <v>46324</v>
      </c>
      <c r="L328" s="163" t="n">
        <v>46324</v>
      </c>
      <c r="M328" s="110" t="inlineStr">
        <is>
          <t>HeckerCreatives</t>
        </is>
      </c>
      <c r="N328" s="81" t="n">
        <v>0</v>
      </c>
      <c r="O328" s="80" t="inlineStr">
        <is>
          <t>P8-BE-09, P8-BE-10, P8-BE-11</t>
        </is>
      </c>
      <c r="P328" s="80" t="inlineStr">
        <is>
          <t>People see why a file was refused; BTG sees each result and can send a document back; a held legal name can be applied or rejected</t>
        </is>
      </c>
      <c r="Q328" s="82" t="inlineStr">
        <is>
          <t>§10</t>
        </is>
      </c>
      <c r="R328" s="111" t="inlineStr">
        <is>
          <t>2026-10-28 (rcfworks): unblocked — P8-BE-09/10/11 done; every route and field is in the Phase 1 doc. | 2026-10-28 (rcfworks): raised with P8-BE-09/10/11 — frontend, for HeckerCreatives. API details in the Phase 1 doc. | Where the person's own read filters sent-back documents out, the row reverts to 'still needed'; reason arrives by email. | QA 10-29: flagged findings, Send back dialog and validation walked on new sign-ups; the upload refusal (422) path needs a real upload through MinIO. | QA pass 2 10-29: a dark 120x90 photo refused in plain words with Try again, a crisp ID accepted (real upload through MinIO). Held legal-name Apply/Decline not walked (no data). | QA pass 3 10-29: the whole loop walked with the real OCR — legal name + ID held with findings, Send ID back, athlete told, resubmit, Apply; organisation and sponsor-request documents flagged, sent back, the applicant's checklist asks for a new one. | QA pass 4 10-29: handoff desk (findings, holds box, Send back → REQUESTED), guardian sign-up ID, the public /join ID upload (dark refused, crisp read — flagged on DOB by the real OCR), and the seller's delivery photo (refused at Mark delivered, dropped, crisp accepted → DELIVERED). WebKit smoke at 375 clean. | QA pass 5 10-29: public sponsor-request proof walked with the real OCR (dark refused, crisp read and flagged on the business name, request held, BTG sees it). The repo's e2e suite on the branch: 45 passed, 3 skipped, 2 failed for environment only (Clerk cap; qa-phase2's clinic window drifted past its dates). | QA pass 6 10-29: the seller's uploaded photo is dropped only when the refusal is about the photo. | QA pass 7 10-29: the seller's photo is dropped on the API's 422 (structured), not on wording.</t>
        </is>
      </c>
    </row>
    <row r="329" s="75">
      <c r="A329" s="104" t="n">
        <v>157.9991</v>
      </c>
      <c r="B329" s="105" t="inlineStr">
        <is>
          <t>P8-BE-12</t>
        </is>
      </c>
      <c r="C329" s="81" t="n">
        <v>8</v>
      </c>
      <c r="D329" s="82" t="inlineStr">
        <is>
          <t>Integration, Hardening &amp; Launch</t>
        </is>
      </c>
      <c r="E329" s="139" t="inlineStr">
        <is>
          <t>BE</t>
        </is>
      </c>
      <c r="F329" s="120" t="inlineStr">
        <is>
          <t>Code</t>
        </is>
      </c>
      <c r="G329" s="80" t="inlineStr">
        <is>
          <t>Cancel and change a campaign, automatically</t>
        </is>
      </c>
      <c r="H329" s="107" t="inlineStr">
        <is>
          <t>Rodney's questions (2026-10-28). Impact read before acting (cancel-impact, change-impact: every affected product grouped with its outcome, and the money). Cancel settles everything under the campaign: unaccepted offers/invites withdrawn, accepted orders not started cancelled (athletes emailed), delivered work still paid, rewards paused, placements released, NEXT ads released or refunded, Zoho Closed Lost. Change: name, dates, budget (not below committed). Applied at once when nothing is in progress; otherwise held for BTG with reasons and BTG admins emailed; BTG approves or declines. Sponsor admin (own) and BTG.</t>
        </is>
      </c>
      <c r="I329" s="108" t="inlineStr">
        <is>
          <t>Ready</t>
        </is>
      </c>
      <c r="J329" s="108" t="n">
        <v>3</v>
      </c>
      <c r="K329" s="163" t="n"/>
      <c r="L329" s="163" t="n"/>
      <c r="M329" s="110" t="inlineStr">
        <is>
          <t>rcfworks</t>
        </is>
      </c>
      <c r="N329" s="81" t="n">
        <v>1</v>
      </c>
      <c r="O329" s="80" t="n"/>
      <c r="P329" s="80" t="inlineStr">
        <is>
          <t>Impact lists every affected product, outcome and money; safe cancel/change applies at once and settles everything under the campaign; unsafe ones held with reasons and BTG emailed; BTG approves or declines; sponsor reaches only own campaigns; tests for outcomes, roles, tenants</t>
        </is>
      </c>
      <c r="Q329" s="82" t="inlineStr">
        <is>
          <t>§7, §21; Phase 2 automation rule</t>
        </is>
      </c>
      <c r="R329" s="111" t="inlineStr">
        <is>
          <t>2026-10-28 (rcfworks): raised from Rodney's questions; the user: automate, email BTG when it won't go through, show what's affected first. API contract in the Phase 1 doc.</t>
        </is>
      </c>
    </row>
    <row r="330" s="75">
      <c r="A330" s="104" t="n">
        <v>157.9992</v>
      </c>
      <c r="B330" s="105" t="inlineStr">
        <is>
          <t>P8-FE-12</t>
        </is>
      </c>
      <c r="C330" s="81" t="n">
        <v>8</v>
      </c>
      <c r="D330" s="82" t="inlineStr">
        <is>
          <t>Integration, Hardening &amp; Launch</t>
        </is>
      </c>
      <c r="E330" s="139" t="inlineStr">
        <is>
          <t>FE</t>
        </is>
      </c>
      <c r="F330" s="120" t="inlineStr">
        <is>
          <t>Code</t>
        </is>
      </c>
      <c r="G330" s="80" t="inlineStr">
        <is>
          <t>Cancel and Change buttons, with what they affect</t>
        </is>
      </c>
      <c r="H330" s="107" t="inlineStr">
        <is>
          <t>Change campaign and Cancel campaign on the sponsor's and BTG's campaign page (Edit campaign, which saves nothing, becomes Change). Before confirming, a modal: 'This affects N products', each group with its count and outcome, the money, BTG-approval note and refusals; Cancel asks for a reason; then the outcome (cancelled / saved / sent to BTG). BTG's Campaign requests list with Approve and Decline.</t>
        </is>
      </c>
      <c r="I330" s="108" t="inlineStr">
        <is>
          <t>Code review</t>
        </is>
      </c>
      <c r="J330" s="108" t="n">
        <v>2</v>
      </c>
      <c r="K330" s="163" t="n">
        <v>46324</v>
      </c>
      <c r="L330" s="163" t="n"/>
      <c r="M330" s="110" t="inlineStr">
        <is>
          <t>HeckerCreatives</t>
        </is>
      </c>
      <c r="N330" s="81" t="n">
        <v>0</v>
      </c>
      <c r="O330" s="80" t="inlineStr">
        <is>
          <t>P8-BE-12</t>
        </is>
      </c>
      <c r="P330" s="80" t="inlineStr">
        <is>
          <t>Sponsor admin and BTG can cancel and change from the campaign page; the modal shows affected products, outcomes and money before confirming; held requests say they went to BTG; BTG approves or declines; other roles see no buttons</t>
        </is>
      </c>
      <c r="Q330" s="82" t="inlineStr">
        <is>
          <t>§7, §10</t>
        </is>
      </c>
      <c r="R330" s="111" t="inlineStr">
        <is>
          <t>2026-10-28 (rcfworks): raised for HeckerCreatives (the user). Build against the P8-BE-12 contract in the Phase 1 doc; wire when it lands. | Built against the P8-BE-12 contract; a 404 shows 'Not available yet'. Request-row shape read defensively. | QA 10-29: buttons, Change form, 'Not available yet' and the requests desk walked; the impact modal waits for P8-BE-12. | QA pass 2 10-29: impact modal, Send to BTG, budget refusal, Back keeps the form, Changes saved, requests desk and phone width all walked against a stub of the contract; desk now tolerates a flat campaignId row. | QA pass 3 10-29: 'Campaign cancelled' outcome, blank-name and end-before-start refusals, focus trap, phone width — all against the stub. Only the live API is missing. | QA pass 6 (code review) 10-29: impact rows and groups normalised (no crash on a half shape), the Change form restarts from the campaign on open, odd-cent budgets no longer propose a change, proposalOf shared by both portals. Half-shaped row walked on the desk; axe clean. | QA pass 7 10-29: security review clean (ids now the house shape); proposalOf refuses a wrong field with its reason; the Change form keeps a draft unless the campaign changed.</t>
        </is>
      </c>
    </row>
  </sheetData>
  <autoFilter ref="A4:R330"/>
  <mergeCells count="2">
    <mergeCell ref="A2:R2"/>
    <mergeCell ref="A1:R1"/>
  </mergeCells>
  <conditionalFormatting sqref="I5:I330">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30">
    <cfRule type="expression" rank="0" priority="7" equalAverage="0" aboveAverage="0" dxfId="32" text="" percent="0" bottom="0">
      <formula>$I5="Done"</formula>
    </cfRule>
  </conditionalFormatting>
  <conditionalFormatting sqref="N5:N330">
    <cfRule type="cellIs" rank="0" priority="8" equalAverage="0" operator="greaterThanOrEqual" aboveAverage="0" dxfId="33" text="" percent="0" bottom="0">
      <formula>50</formula>
    </cfRule>
  </conditionalFormatting>
  <dataValidations count="1">
    <dataValidation sqref="I5:I330"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Done</t>
        </is>
      </c>
      <c r="J38" s="108" t="n">
        <v>3</v>
      </c>
      <c r="K38" s="109" t="n">
        <v>46310</v>
      </c>
      <c r="L38" s="163" t="n">
        <v>46314</v>
      </c>
      <c r="M38" s="110" t="inlineStr">
        <is>
          <t>rcfworks</t>
        </is>
      </c>
      <c r="N38" s="81" t="n">
        <v>0</v>
      </c>
      <c r="O38" s="80" t="inlineStr">
        <is>
          <t>3S7-FE-01</t>
        </is>
      </c>
      <c r="P38" s="80" t="inlineStr">
        <is>
          <t>Zoho shows renewal score and recommended next action on the sponsor record</t>
        </is>
      </c>
      <c r="Q38" s="82" t="inlineStr">
        <is>
          <t>Spec §20</t>
        </is>
      </c>
      <c r="R38" s="111" t="inlineStr">
        <is>
          <t>2026-10-19 DONE (rcfworks): shown in the Zoho sandbox — a simulated campaign ending soon on staging (UAT 2610090617 Harborview Bakery) made the worker push SponsorX_Renewal_Score 86 and SponsorX_Next_Action 'Renew: … 86%' onto its Account; the other 22 Accounts carry their next action. Production fields follow P2-OPS-04's Zoho keys. | 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2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19 tasks, all Done and signed off as built (4S9-PMO-03) · SponsorX's side of virtual sponsorship as built: the world and placement registry, bookings, creative and the manifest, pause and rollback, machine login, client endpoints and settings, the telemetry intake, the cross-channel campaign model. Every open task moved on 2026-10-20 to the game phase (Phase 6 since 2026-10-27) (the game is parked).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5</v>
      </c>
      <c r="B7" s="105" t="inlineStr">
        <is>
          <t>4S0-SEC-01</t>
        </is>
      </c>
      <c r="C7" s="81" t="n">
        <v>0</v>
      </c>
      <c r="D7" s="82" t="inlineStr">
        <is>
          <t>Sprint 0 · Contract &amp; taxonomy</t>
        </is>
      </c>
      <c r="E7" s="140" t="inlineStr">
        <is>
          <t>SEC</t>
        </is>
      </c>
      <c r="F7" s="120" t="inlineStr">
        <is>
          <t>Code</t>
        </is>
      </c>
      <c r="G7" s="80" t="inlineStr">
        <is>
          <t>Trusted client authentication design</t>
        </is>
      </c>
      <c r="H7" s="107" t="inlineStr">
        <is>
          <t>The INFINEX client sends telemetry that becomes sponsor billing data. Its authentication has to be strong enough that fabricated events are not possible.</t>
        </is>
      </c>
      <c r="I7" s="108" t="inlineStr">
        <is>
          <t>Done</t>
        </is>
      </c>
      <c r="J7" s="108" t="n">
        <v>3</v>
      </c>
      <c r="K7" s="163" t="n">
        <v>46314</v>
      </c>
      <c r="L7" s="163" t="n">
        <v>46314</v>
      </c>
      <c r="M7" s="110" t="inlineStr">
        <is>
          <t>rcfworks</t>
        </is>
      </c>
      <c r="N7" s="81" t="n">
        <v>0</v>
      </c>
      <c r="O7" s="80" t="inlineStr">
        <is>
          <t>4S0-PMO-01</t>
        </is>
      </c>
      <c r="P7" s="80" t="inlineStr">
        <is>
          <t>Client authentication and event signing design reviewed and approved</t>
        </is>
      </c>
      <c r="Q7" s="82" t="inlineStr">
        <is>
          <t>Spec §29, §31</t>
        </is>
      </c>
      <c r="R7" s="111" t="inlineStr">
        <is>
          <t>2026-10-19 DONE (rcfworks): merged in #259, acceptance met (tests green on CI). | 2026-10-19 (rcfworks): design approved by the user as the plan; API spec §6.2. Built: InfinexCredential (secret shown once, SHA-256 stored, own service user) → POST /infinex/token 15-min sxm_ token; POST /infinex/clients/{id}/sessions → game session token pinned to its world + signing key derived from INFINEX_SIGNING_SECRET (never stored); raw-body HMAC verifier (±300 s). Roles INFINEX_SERVICE/INFINEX_CLIENT (RBAC §38, digest b1f1e50851c850e3), scopes narrow only, all protected fields denied. Checked every call. Migration 20261019180000_infinex_machine_auth. tests/infinex-auth.test.ts (11).</t>
        </is>
      </c>
    </row>
    <row r="8" ht="32.8" customHeight="1" s="75">
      <c r="A8" s="112" t="n">
        <v>6</v>
      </c>
      <c r="B8" s="113" t="inlineStr">
        <is>
          <t>4S1-BE-01</t>
        </is>
      </c>
      <c r="C8" s="85" t="n">
        <v>1</v>
      </c>
      <c r="D8" s="86" t="inlineStr">
        <is>
          <t>Sprint 1 · World &amp; placement registry</t>
        </is>
      </c>
      <c r="E8" s="137" t="inlineStr">
        <is>
          <t>BE</t>
        </is>
      </c>
      <c r="F8" s="122" t="inlineStr">
        <is>
          <t>Code</t>
        </is>
      </c>
      <c r="G8" s="84" t="inlineStr">
        <is>
          <t>World and zone registry</t>
        </is>
      </c>
      <c r="H8" s="116" t="inlineStr">
        <is>
          <t>Register INFINEX worlds and their districts, venues and zones against stable external IDs.</t>
        </is>
      </c>
      <c r="I8" s="108" t="inlineStr">
        <is>
          <t>Done</t>
        </is>
      </c>
      <c r="J8" s="108" t="n">
        <v>3</v>
      </c>
      <c r="K8" s="109" t="n">
        <v>46311</v>
      </c>
      <c r="L8" s="109" t="n">
        <v>46311</v>
      </c>
      <c r="M8" s="110" t="inlineStr">
        <is>
          <t>rcfworks</t>
        </is>
      </c>
      <c r="N8" s="85" t="n">
        <v>0</v>
      </c>
      <c r="O8" s="84" t="inlineStr">
        <is>
          <t>4S0-PMO-02</t>
        </is>
      </c>
      <c r="P8" s="84" t="inlineStr">
        <is>
          <t>SponsorX can register a world and its zones against stable external IDs</t>
        </is>
      </c>
      <c r="Q8" s="86" t="inlineStr">
        <is>
          <t>Spec §28, §30</t>
        </is>
      </c>
      <c r="R8" s="111" t="inlineStr">
        <is>
          <t>Done 2026-10-16 (merged #243) (rcfworks): worlds per environment under the owner's external ID; zones upserted by external ID, all or nothing; IDs fixed by a DB trigger. SponsorX-Virtual-Registry.md §1.</t>
        </is>
      </c>
    </row>
    <row r="9" ht="32.8" customHeight="1" s="75">
      <c r="A9" s="104" t="n">
        <v>7</v>
      </c>
      <c r="B9" s="105" t="inlineStr">
        <is>
          <t>4S1-BE-02</t>
        </is>
      </c>
      <c r="C9" s="81" t="n">
        <v>1</v>
      </c>
      <c r="D9" s="82" t="inlineStr">
        <is>
          <t>Sprint 1 · World &amp; placement registry</t>
        </is>
      </c>
      <c r="E9" s="139" t="inlineStr">
        <is>
          <t>BE</t>
        </is>
      </c>
      <c r="F9" s="120" t="inlineStr">
        <is>
          <t>Code</t>
        </is>
      </c>
      <c r="G9" s="80" t="inlineStr">
        <is>
          <t>Virtual placement model</t>
        </is>
      </c>
      <c r="H9" s="107" t="inlineStr">
        <is>
          <t>Billboards, LED surfaces, naming rights, branded rooms, courts, tunnels, kiosks. Each with technical creative constraints, a viewability rule and capacity.</t>
        </is>
      </c>
      <c r="I9" s="108" t="inlineStr">
        <is>
          <t>Done</t>
        </is>
      </c>
      <c r="J9" s="108" t="n">
        <v>5</v>
      </c>
      <c r="K9" s="109" t="n">
        <v>46311</v>
      </c>
      <c r="L9" s="109" t="n">
        <v>46311</v>
      </c>
      <c r="M9" s="110" t="inlineStr">
        <is>
          <t>rcfworks</t>
        </is>
      </c>
      <c r="N9" s="81" t="n">
        <v>0</v>
      </c>
      <c r="O9" s="80" t="inlineStr">
        <is>
          <t>4S1-BE-01</t>
        </is>
      </c>
      <c r="P9" s="80" t="inlineStr">
        <is>
          <t>A placement can be registered with specs, viewability rule and availability</t>
        </is>
      </c>
      <c r="Q9" s="82" t="inlineStr">
        <is>
          <t>Spec §30</t>
        </is>
      </c>
      <c r="R9" s="111" t="inlineStr">
        <is>
          <t>Done 2026-10-16 (merged #243) (rcfworks): placements with kind, specs, creative types, limits, capacity, viewability rule, price, dates; draft until on sale; specs fixed on sale. §2.</t>
        </is>
      </c>
    </row>
    <row r="10" ht="23.85" customHeight="1" s="75">
      <c r="A10" s="112" t="n">
        <v>8</v>
      </c>
      <c r="B10" s="113" t="inlineStr">
        <is>
          <t>4S1-BE-03</t>
        </is>
      </c>
      <c r="C10" s="85" t="n">
        <v>1</v>
      </c>
      <c r="D10" s="86" t="inlineStr">
        <is>
          <t>Sprint 1 · World &amp; placement registry</t>
        </is>
      </c>
      <c r="E10" s="137" t="inlineStr">
        <is>
          <t>BE</t>
        </is>
      </c>
      <c r="F10" s="122" t="inlineStr">
        <is>
          <t>Code</t>
        </is>
      </c>
      <c r="G10" s="84" t="inlineStr">
        <is>
          <t>Map placements to sellable inventory</t>
        </is>
      </c>
      <c r="H10" s="116" t="inlineStr">
        <is>
          <t>The join that makes virtual surfaces purchasable through the same campaign system as everything else.</t>
        </is>
      </c>
      <c r="I10" s="108" t="inlineStr">
        <is>
          <t>Done</t>
        </is>
      </c>
      <c r="J10" s="108" t="n">
        <v>3</v>
      </c>
      <c r="K10" s="109" t="n">
        <v>46311</v>
      </c>
      <c r="L10" s="109" t="n">
        <v>46311</v>
      </c>
      <c r="M10" s="110" t="inlineStr">
        <is>
          <t>rcfworks</t>
        </is>
      </c>
      <c r="N10" s="85" t="n">
        <v>0</v>
      </c>
      <c r="O10" s="84" t="inlineStr">
        <is>
          <t>4S1-BE-02</t>
        </is>
      </c>
      <c r="P10" s="84" t="inlineStr">
        <is>
          <t>A virtual placement maps to a sellable SponsorX inventory record</t>
        </is>
      </c>
      <c r="Q10" s="86" t="inlineStr">
        <is>
          <t>Spec §27.1</t>
        </is>
      </c>
      <c r="R10" s="111" t="inlineStr">
        <is>
          <t>Done 2026-10-16 (merged #243) (rcfworks): on sale = one InventoryItem VIRTUAL_PLACEMENT owned by the world's property, kept in step; owner cannot edit or list it. §3.</t>
        </is>
      </c>
    </row>
    <row r="11" ht="32.8" customHeight="1" s="75">
      <c r="A11" s="104" t="n">
        <v>9</v>
      </c>
      <c r="B11" s="105" t="inlineStr">
        <is>
          <t>4S1-BE-04</t>
        </is>
      </c>
      <c r="C11" s="81" t="n">
        <v>1</v>
      </c>
      <c r="D11" s="82" t="inlineStr">
        <is>
          <t>Sprint 1 · World &amp; placement registry</t>
        </is>
      </c>
      <c r="E11" s="139" t="inlineStr">
        <is>
          <t>BE</t>
        </is>
      </c>
      <c r="F11" s="120" t="inlineStr">
        <is>
          <t>Code</t>
        </is>
      </c>
      <c r="G11" s="80" t="inlineStr">
        <is>
          <t>Placement availability windows</t>
        </is>
      </c>
      <c r="H11" s="107" t="inlineStr">
        <is>
          <t>Sellable time windows with capacity, so two sponsors cannot buy the same billboard for the same week.</t>
        </is>
      </c>
      <c r="I11" s="108" t="inlineStr">
        <is>
          <t>Done</t>
        </is>
      </c>
      <c r="J11" s="108" t="n">
        <v>3</v>
      </c>
      <c r="K11" s="109" t="n">
        <v>46311</v>
      </c>
      <c r="L11" s="109" t="n">
        <v>46311</v>
      </c>
      <c r="M11" s="110" t="inlineStr">
        <is>
          <t>rcfworks</t>
        </is>
      </c>
      <c r="N11" s="81" t="n">
        <v>0</v>
      </c>
      <c r="O11" s="80" t="inlineStr">
        <is>
          <t>4S1-BE-02</t>
        </is>
      </c>
      <c r="P11" s="80" t="inlineStr">
        <is>
          <t>Overlapping purchases of the same placement are rejected</t>
        </is>
      </c>
      <c r="Q11" s="82" t="inlineStr">
        <is>
          <t>Spec §30</t>
        </is>
      </c>
      <c r="R11"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2" ht="23.85" customHeight="1" s="75">
      <c r="A12" s="104" t="n">
        <v>13</v>
      </c>
      <c r="B12" s="105" t="inlineStr">
        <is>
          <t>4S2-BE-01</t>
        </is>
      </c>
      <c r="C12" s="81" t="n">
        <v>2</v>
      </c>
      <c r="D12" s="82" t="inlineStr">
        <is>
          <t>Sprint 2 · Manifest &amp; creative deployment</t>
        </is>
      </c>
      <c r="E12" s="139" t="inlineStr">
        <is>
          <t>BE</t>
        </is>
      </c>
      <c r="F12" s="120" t="inlineStr">
        <is>
          <t>Code</t>
        </is>
      </c>
      <c r="G12" s="80" t="inlineStr">
        <is>
          <t>Creative deployment model</t>
        </is>
      </c>
      <c r="H12" s="107" t="inlineStr">
        <is>
          <t>Associate approved sponsor assets with placements, versioned, with start and end times.</t>
        </is>
      </c>
      <c r="I12" s="108" t="inlineStr">
        <is>
          <t>Done</t>
        </is>
      </c>
      <c r="J12" s="108" t="n">
        <v>5</v>
      </c>
      <c r="K12" s="109" t="n">
        <v>46311</v>
      </c>
      <c r="L12" s="109" t="n">
        <v>46311</v>
      </c>
      <c r="M12" s="110" t="inlineStr">
        <is>
          <t>rcfworks</t>
        </is>
      </c>
      <c r="N12" s="81" t="n">
        <v>0</v>
      </c>
      <c r="O12" s="80" t="inlineStr">
        <is>
          <t>4S1-BE-03</t>
        </is>
      </c>
      <c r="P12" s="80" t="inlineStr">
        <is>
          <t>A deployment record ties campaign, placement, asset version and schedule</t>
        </is>
      </c>
      <c r="Q12" s="82" t="inlineStr">
        <is>
          <t>Spec §27.2, §30</t>
        </is>
      </c>
      <c r="R12"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3" ht="23.85" customHeight="1" s="75">
      <c r="A13" s="112" t="n">
        <v>14</v>
      </c>
      <c r="B13" s="113" t="inlineStr">
        <is>
          <t>4S2-BE-02</t>
        </is>
      </c>
      <c r="C13" s="85" t="n">
        <v>2</v>
      </c>
      <c r="D13" s="86" t="inlineStr">
        <is>
          <t>Sprint 2 · Manifest &amp; creative deployment</t>
        </is>
      </c>
      <c r="E13" s="137" t="inlineStr">
        <is>
          <t>BE</t>
        </is>
      </c>
      <c r="F13" s="122" t="inlineStr">
        <is>
          <t>Code</t>
        </is>
      </c>
      <c r="G13" s="84" t="inlineStr">
        <is>
          <t>Creative validation against placement specs</t>
        </is>
      </c>
      <c r="H13" s="116" t="inlineStr">
        <is>
          <t>Reject assets that do not fit the surface before they reach the world, not after a sponsor complains.</t>
        </is>
      </c>
      <c r="I13" s="108" t="inlineStr">
        <is>
          <t>Done</t>
        </is>
      </c>
      <c r="J13" s="108" t="n">
        <v>3</v>
      </c>
      <c r="K13" s="109" t="n">
        <v>46311</v>
      </c>
      <c r="L13" s="109" t="n">
        <v>46311</v>
      </c>
      <c r="M13" s="110" t="inlineStr">
        <is>
          <t>rcfworks</t>
        </is>
      </c>
      <c r="N13" s="85" t="n">
        <v>0</v>
      </c>
      <c r="O13" s="84" t="inlineStr">
        <is>
          <t>4S2-BE-01</t>
        </is>
      </c>
      <c r="P13" s="84" t="inlineStr">
        <is>
          <t>An asset failing the placement's technical constraints is rejected at upload</t>
        </is>
      </c>
      <c r="Q13" s="86" t="inlineStr">
        <is>
          <t>Spec §27.2</t>
        </is>
      </c>
      <c r="R13"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4" ht="15" customHeight="1" s="75">
      <c r="A14" s="104" t="n">
        <v>15</v>
      </c>
      <c r="B14" s="105" t="inlineStr">
        <is>
          <t>4S2-BE-03</t>
        </is>
      </c>
      <c r="C14" s="81" t="n">
        <v>2</v>
      </c>
      <c r="D14" s="82" t="inlineStr">
        <is>
          <t>Sprint 2 · Manifest &amp; creative deployment</t>
        </is>
      </c>
      <c r="E14" s="139" t="inlineStr">
        <is>
          <t>BE</t>
        </is>
      </c>
      <c r="F14" s="120" t="inlineStr">
        <is>
          <t>Code</t>
        </is>
      </c>
      <c r="G14" s="80" t="inlineStr">
        <is>
          <t>Active manifest service</t>
        </is>
      </c>
      <c r="H14" s="107" t="inlineStr">
        <is>
          <t>The endpoint INFINEX calls to ask what is live right now. Must return only approved, in-window deployments for the requested world and time.</t>
        </is>
      </c>
      <c r="I14" s="108" t="inlineStr">
        <is>
          <t>Done</t>
        </is>
      </c>
      <c r="J14" s="108" t="n">
        <v>5</v>
      </c>
      <c r="K14" s="109" t="n">
        <v>46311</v>
      </c>
      <c r="L14" s="109" t="n">
        <v>46311</v>
      </c>
      <c r="M14" s="110" t="inlineStr">
        <is>
          <t>rcfworks</t>
        </is>
      </c>
      <c r="N14" s="81" t="n">
        <v>0</v>
      </c>
      <c r="O14" s="80" t="inlineStr">
        <is>
          <t>4S2-BE-01</t>
        </is>
      </c>
      <c r="P14" s="80" t="inlineStr">
        <is>
          <t>Manifest returns only approved, in-window deployments for the requested world and time</t>
        </is>
      </c>
      <c r="Q14" s="82" t="inlineStr">
        <is>
          <t>Spec §28, §34</t>
        </is>
      </c>
      <c r="R14" s="111" t="inlineStr">
        <is>
          <t>Done 2026-10-16 (merged #250) (rcfworks): GET /virtual/worlds/{id}/manifest?at= — only approved, in-date deployments on booked windows, on-sale placements, validated creative, active world; manifestVersion + ETag/304. Download links 4S2-BE-04; game login 4S0-SEC-01. §7.</t>
        </is>
      </c>
    </row>
    <row r="15" ht="22.35" customHeight="1" s="75">
      <c r="A15" s="112" t="n">
        <v>16</v>
      </c>
      <c r="B15" s="113" t="inlineStr">
        <is>
          <t>4S2-BE-04</t>
        </is>
      </c>
      <c r="C15" s="85" t="n">
        <v>2</v>
      </c>
      <c r="D15" s="86" t="inlineStr">
        <is>
          <t>Sprint 2 · Manifest &amp; creative deployment</t>
        </is>
      </c>
      <c r="E15" s="137" t="inlineStr">
        <is>
          <t>BE</t>
        </is>
      </c>
      <c r="F15" s="122" t="inlineStr">
        <is>
          <t>Code</t>
        </is>
      </c>
      <c r="G15" s="84" t="inlineStr">
        <is>
          <t>Signed asset delivery through the CDN</t>
        </is>
      </c>
      <c r="H15" s="116" t="inlineStr">
        <is>
          <t>Creative is served fast and signed, so assets cannot be lifted from the URL.</t>
        </is>
      </c>
      <c r="I15" s="108" t="inlineStr">
        <is>
          <t>Done</t>
        </is>
      </c>
      <c r="J15" s="108" t="n">
        <v>3</v>
      </c>
      <c r="K15" s="163" t="n">
        <v>46314</v>
      </c>
      <c r="L15" s="163" t="n">
        <v>46314</v>
      </c>
      <c r="M15" s="110" t="inlineStr">
        <is>
          <t>rcfworks</t>
        </is>
      </c>
      <c r="N15" s="85" t="n">
        <v>0</v>
      </c>
      <c r="O15" s="84" t="inlineStr">
        <is>
          <t>4S2-BE-03</t>
        </is>
      </c>
      <c r="P15" s="84" t="inlineStr">
        <is>
          <t>Creative is delivered through signed, short-lived CDN URLs</t>
        </is>
      </c>
      <c r="Q15" s="86" t="inlineStr">
        <is>
          <t>Spec §31</t>
        </is>
      </c>
      <c r="R15" s="111" t="inlineStr">
        <is>
          <t>2026-10-19 DONE (rcfworks): merged in #255, acceptance met (tests green on CI). | 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16" ht="23.85" customHeight="1" s="75">
      <c r="A16" s="104" t="n">
        <v>17</v>
      </c>
      <c r="B16" s="105" t="inlineStr">
        <is>
          <t>4S2-BE-05</t>
        </is>
      </c>
      <c r="C16" s="81" t="n">
        <v>2</v>
      </c>
      <c r="D16" s="82" t="inlineStr">
        <is>
          <t>Sprint 2 · Manifest &amp; creative deployment</t>
        </is>
      </c>
      <c r="E16" s="139" t="inlineStr">
        <is>
          <t>BE</t>
        </is>
      </c>
      <c r="F16" s="120" t="inlineStr">
        <is>
          <t>Code</t>
        </is>
      </c>
      <c r="G16" s="80" t="inlineStr">
        <is>
          <t>Deployment pause and rollback</t>
        </is>
      </c>
      <c r="H16" s="107" t="inlineStr">
        <is>
          <t>A sponsor needs their creative down in minutes, not at the next release. Pausing invalidates the manifest and the prior asset state.</t>
        </is>
      </c>
      <c r="I16" s="108" t="inlineStr">
        <is>
          <t>Done</t>
        </is>
      </c>
      <c r="J16" s="108" t="n">
        <v>3</v>
      </c>
      <c r="K16" s="163" t="n">
        <v>46314</v>
      </c>
      <c r="L16" s="163" t="n">
        <v>46314</v>
      </c>
      <c r="M16" s="110" t="inlineStr">
        <is>
          <t>rcfworks</t>
        </is>
      </c>
      <c r="N16" s="81" t="n">
        <v>0</v>
      </c>
      <c r="O16" s="80" t="inlineStr">
        <is>
          <t>4S2-BE-03</t>
        </is>
      </c>
      <c r="P16" s="80" t="inlineStr">
        <is>
          <t>Creative can be paused or rolled back from SponsorX without redeploying the INFINEX application</t>
        </is>
      </c>
      <c r="Q16" s="82" t="inlineStr">
        <is>
          <t>Spec §27.2, §34</t>
        </is>
      </c>
      <c r="R16" s="111" t="inlineStr">
        <is>
          <t>2026-10-19 DONE (rcfworks): merged in #257, acceptance met (tests green on CI). | 2026-10-19 (rcfworks): POST /virtual/deployments/{id}/pause and /resume, POST /virtual/windows/{id}/rollback. Pause takes it off the manifest on the next poll (manifestVersion + ETag change); resume re-checks like approval (and the one-at-a-time rule); rollback puts the previous (or named) validated version on from now to the old end in one transaction. No new links for a paused deployment; issued ones lapse within 15 min. Audited; pausedAt/rolledBackAt/stateReason/replacedById held by a CHECK. Migration 20261019150000_deployment_pause_rollback. tests/virtual-deployment-control.test.ts (6).</t>
        </is>
      </c>
    </row>
    <row r="17" ht="23.85" customHeight="1" s="75">
      <c r="A17" s="112" t="n">
        <v>20</v>
      </c>
      <c r="B17" s="113" t="inlineStr">
        <is>
          <t>4S3-INT-02</t>
        </is>
      </c>
      <c r="C17" s="85" t="n">
        <v>3</v>
      </c>
      <c r="D17" s="86" t="inlineStr">
        <is>
          <t>Sprint 3 · INFINEX client endpoints</t>
        </is>
      </c>
      <c r="E17" s="141" t="inlineStr">
        <is>
          <t>INT</t>
        </is>
      </c>
      <c r="F17" s="122" t="inlineStr">
        <is>
          <t>Code</t>
        </is>
      </c>
      <c r="G17" s="84" t="inlineStr">
        <is>
          <t>Client registry and heartbeat endpoint</t>
        </is>
      </c>
      <c r="H17" s="116" t="inlineStr">
        <is>
          <t>SponsorX's side: the client registry, the heartbeat endpoint and the missing-heartbeat alert, proven with the stand-in world. The game sending it is 6S1-INT-02.</t>
        </is>
      </c>
      <c r="I17" s="108" t="inlineStr">
        <is>
          <t>Done</t>
        </is>
      </c>
      <c r="J17" s="108" t="n">
        <v>2</v>
      </c>
      <c r="K17" s="163" t="n">
        <v>46314</v>
      </c>
      <c r="L17" s="163" t="n">
        <v>46314</v>
      </c>
      <c r="M17" s="110" t="inlineStr">
        <is>
          <t>rcfworks</t>
        </is>
      </c>
      <c r="N17" s="85" t="n">
        <v>0</v>
      </c>
      <c r="O17" s="84" t="inlineStr">
        <is>
          <t>4S2-BE-03</t>
        </is>
      </c>
      <c r="P17" s="84" t="inlineStr">
        <is>
          <t>A registered client's heartbeat is recorded and a missing heartbeat raises an alert (proven with the stand-in world)</t>
        </is>
      </c>
      <c r="Q17" s="86" t="inlineStr">
        <is>
          <t>Spec §28, §30</t>
        </is>
      </c>
      <c r="R17" s="111" t="inlineStr">
        <is>
          <t>2026-10-19 DONE (rcfworks): merged in #262, acceptance met (stand-in world drives it end to end; CI green). | 2026-10-19 (rcfworks): client = one game build per world (unique), registered/revoked by BTG or the world's server (/infinex/clients). POST /infinex/heartbeat from a game session (client/world from the token), latest beat + count on the row. Worker minute sweep marks a build quiet 5 min (after it has reported) missing: audit infinex.heartbeatMissing + Integrations screen (integrationHealth.infinex); next beat recovers (audited). Stand-in world: npm run infinex:standin (server token → session → manifest → heartbeats), driven end to end by tests/infinex-clients.test.ts (5). Sessions now start without INFINEX_SIGNING_SECRET (signingKey null). RBAC §38 INFINEX_CLIENT own client; digest 6c2dbfecd20f5311. Migration 20261019200000_infinex_client_heartbeat. | Split 2026-10-16 (user): the game half moved to Phase 5 as 6S1-INT-02.</t>
        </is>
      </c>
    </row>
    <row r="18" ht="23.85" customHeight="1" s="75">
      <c r="A18" s="104" t="n">
        <v>21</v>
      </c>
      <c r="B18" s="105" t="inlineStr">
        <is>
          <t>4S3-INT-03</t>
        </is>
      </c>
      <c r="C18" s="81" t="n">
        <v>3</v>
      </c>
      <c r="D18" s="82" t="inlineStr">
        <is>
          <t>Sprint 3 · INFINEX client endpoints</t>
        </is>
      </c>
      <c r="E18" s="138" t="inlineStr">
        <is>
          <t>INT</t>
        </is>
      </c>
      <c r="F18" s="120" t="inlineStr">
        <is>
          <t>Code</t>
        </is>
      </c>
      <c r="G18" s="80" t="inlineStr">
        <is>
          <t>Client configuration endpoint</t>
        </is>
      </c>
      <c r="H18" s="107" t="inlineStr">
        <is>
          <t>SponsorX's side: feature flags, telemetry limits and schema versions served per client, so behaviour changes without a client release. The game honouring them is 6S1-INT-03.</t>
        </is>
      </c>
      <c r="I18" s="108" t="inlineStr">
        <is>
          <t>Done</t>
        </is>
      </c>
      <c r="J18" s="108" t="n">
        <v>1</v>
      </c>
      <c r="K18" s="163" t="n">
        <v>46314</v>
      </c>
      <c r="L18" s="163" t="n">
        <v>46314</v>
      </c>
      <c r="M18" s="110" t="inlineStr">
        <is>
          <t>rcfworks</t>
        </is>
      </c>
      <c r="N18" s="81" t="n">
        <v>0</v>
      </c>
      <c r="O18" s="80" t="inlineStr">
        <is>
          <t>4S2-BE-03</t>
        </is>
      </c>
      <c r="P18" s="80" t="inlineStr">
        <is>
          <t>Config is served per client with its telemetry limits, and the stand-in world honours them</t>
        </is>
      </c>
      <c r="Q18" s="82" t="inlineStr">
        <is>
          <t>Spec §28</t>
        </is>
      </c>
      <c r="R18" s="111" t="inlineStr">
        <is>
          <t>2026-10-19 DONE (rcfworks): merged in #263, acceptance met (stand-in honours the config; CI green). | 2026-10-19 (rcfworks): GET /infinex/config (game session, own build, ETag/304): reviewed defaults infinex-config@1.0.0 + BTG's per-build override within LIMITS (GET/PATCH /infinex/clients/{id}/config; 422 with every reason; machines 403; audited). Heartbeat interval × 5 = missing threshold (sweep per build). Stand-in reads config first and honours it (heartbeat/poll intervals, limits reported). Migration 20261019220000_infinex_client_config. tests/infinex-config.test.ts (7). | Split 2026-10-16 (user): the game half moved to Phase 5 as 6S1-INT-03.</t>
        </is>
      </c>
    </row>
    <row r="19" ht="23.85" customHeight="1" s="75">
      <c r="A19" s="104" t="n">
        <v>23</v>
      </c>
      <c r="B19" s="105" t="inlineStr">
        <is>
          <t>4S4-BE-01</t>
        </is>
      </c>
      <c r="C19" s="81" t="n">
        <v>4</v>
      </c>
      <c r="D19" s="82" t="inlineStr">
        <is>
          <t>Sprint 4 · Telemetry ingestion</t>
        </is>
      </c>
      <c r="E19" s="139" t="inlineStr">
        <is>
          <t>BE</t>
        </is>
      </c>
      <c r="F19" s="120" t="inlineStr">
        <is>
          <t>Code</t>
        </is>
      </c>
      <c r="G19" s="80" t="inlineStr">
        <is>
          <t>Telemetry batch ingestion endpoint</t>
        </is>
      </c>
      <c r="H19" s="107" t="inlineStr">
        <is>
          <t>Batched events with service authentication. Validates schema, timestamp, placement-campaign relationship, signature and replay indicators.</t>
        </is>
      </c>
      <c r="I19" s="108" t="inlineStr">
        <is>
          <t>Done</t>
        </is>
      </c>
      <c r="J19" s="108" t="n">
        <v>5</v>
      </c>
      <c r="K19" s="163" t="n">
        <v>46314</v>
      </c>
      <c r="L19" s="163" t="n">
        <v>46314</v>
      </c>
      <c r="M19" s="110" t="inlineStr">
        <is>
          <t>rcfworks</t>
        </is>
      </c>
      <c r="N19" s="81" t="n">
        <v>0</v>
      </c>
      <c r="O19" s="80" t="inlineStr">
        <is>
          <t>4S0-SEC-01</t>
        </is>
      </c>
      <c r="P19" s="80" t="inlineStr">
        <is>
          <t>Batch endpoint supports idempotent event IDs and rejects malformed or unauthorised events</t>
        </is>
      </c>
      <c r="Q19" s="82" t="inlineStr">
        <is>
          <t>Spec §28, §34</t>
        </is>
      </c>
      <c r="R19" s="111" t="inlineStr">
        <is>
          <t>2026-10-19 DONE (rcfworks): merged in #265, acceptance met (CI green). | 2026-10-19 (rcfworks): POST /infinex/telemetry — game session, signed over raw bytes, build's maxBatch/maxBytes (413) and telemetry flag (409); per-event checks with named problems; stored once per (client, eventId) via createManyAndReturn skipDuplicates (resend = duplicate); &gt;72 h quarantined. Path is /infinex/telemetry (the spec's :batch clashes with Express params). Stand-in sends a signed batch. New resource virtualEvent (RBAC §38, digest e42f713e01538f23). tests/infinex-telemetry.test.ts (6).</t>
        </is>
      </c>
    </row>
    <row r="20" ht="23.85" customHeight="1" s="75">
      <c r="A20" s="112" t="n">
        <v>24</v>
      </c>
      <c r="B20" s="113" t="inlineStr">
        <is>
          <t>4S4-BE-02</t>
        </is>
      </c>
      <c r="C20" s="85" t="n">
        <v>4</v>
      </c>
      <c r="D20" s="86" t="inlineStr">
        <is>
          <t>Sprint 4 · Telemetry ingestion</t>
        </is>
      </c>
      <c r="E20" s="137" t="inlineStr">
        <is>
          <t>BE</t>
        </is>
      </c>
      <c r="F20" s="122" t="inlineStr">
        <is>
          <t>Code</t>
        </is>
      </c>
      <c r="G20" s="84" t="inlineStr">
        <is>
          <t>Event schema and versioning</t>
        </is>
      </c>
      <c r="H20" s="116" t="inlineStr">
        <is>
          <t>The shared contract: event_id, schema_version, event_type, occurred_at, world/zone/placement, session, dwell, interaction type. Versioned so client and server can evolve apart.</t>
        </is>
      </c>
      <c r="I20" s="108" t="inlineStr">
        <is>
          <t>Done</t>
        </is>
      </c>
      <c r="J20" s="108" t="n">
        <v>3</v>
      </c>
      <c r="K20" s="163" t="n">
        <v>46314</v>
      </c>
      <c r="L20" s="163" t="n">
        <v>46314</v>
      </c>
      <c r="M20" s="110" t="inlineStr">
        <is>
          <t>rcfworks</t>
        </is>
      </c>
      <c r="N20" s="85" t="n">
        <v>0</v>
      </c>
      <c r="O20" s="84" t="inlineStr">
        <is>
          <t>4S4-BE-01</t>
        </is>
      </c>
      <c r="P20" s="84" t="inlineStr">
        <is>
          <t>Schema is versioned and a mismatched version is rejected with a clear error</t>
        </is>
      </c>
      <c r="Q20" s="86" t="inlineStr">
        <is>
          <t>Spec §29</t>
        </is>
      </c>
      <c r="R20" s="111" t="inlineStr">
        <is>
          <t>2026-10-19 DONE (rcfworks): merged in #265, acceptance met (CI green). | 2026-10-19 (rcfworks), with 4S4-BE-01: envelope + v1 data shapes per event type (SCHEMAS[1]); supported versions from the build's config; mismatched version refused 'unsupported-schema-version' naming the supported ones.</t>
        </is>
      </c>
    </row>
    <row r="21" ht="23.85" customHeight="1" s="75">
      <c r="A21" s="104" t="n">
        <v>27</v>
      </c>
      <c r="B21" s="105" t="inlineStr">
        <is>
          <t>4S4-DATA-01</t>
        </is>
      </c>
      <c r="C21" s="81" t="n">
        <v>4</v>
      </c>
      <c r="D21" s="82" t="inlineStr">
        <is>
          <t>Sprint 4 · Telemetry ingestion</t>
        </is>
      </c>
      <c r="E21" s="143" t="inlineStr">
        <is>
          <t>DATA</t>
        </is>
      </c>
      <c r="F21" s="120" t="inlineStr">
        <is>
          <t>Code</t>
        </is>
      </c>
      <c r="G21" s="80" t="inlineStr">
        <is>
          <t>Raw event storage</t>
        </is>
      </c>
      <c r="H21" s="107" t="inlineStr">
        <is>
          <t>Durable raw telemetry, kept separate from aggregates, so any number can be recomputed from source.</t>
        </is>
      </c>
      <c r="I21" s="108" t="inlineStr">
        <is>
          <t>Done</t>
        </is>
      </c>
      <c r="J21" s="108" t="n">
        <v>3</v>
      </c>
      <c r="K21" s="163" t="n">
        <v>46314</v>
      </c>
      <c r="L21" s="163" t="n">
        <v>46314</v>
      </c>
      <c r="M21" s="110" t="inlineStr">
        <is>
          <t>rcfworks</t>
        </is>
      </c>
      <c r="N21" s="81" t="n">
        <v>0</v>
      </c>
      <c r="O21" s="80" t="inlineStr">
        <is>
          <t>4S4-BE-01</t>
        </is>
      </c>
      <c r="P21" s="80" t="inlineStr">
        <is>
          <t>Raw events are durably stored and aggregates are reproducible from them</t>
        </is>
      </c>
      <c r="Q21" s="82" t="inlineStr">
        <is>
          <t>Spec §30</t>
        </is>
      </c>
      <c r="R21" s="111" t="inlineStr">
        <is>
          <t>2026-10-19 DONE (rcfworks): merged in #265, acceptance met (CI green). | 2026-10-19 (rcfworks), with 4S4-BE-01: VirtualEventRaw keyed (clientId, eventId), append-only trigger virtual_event_append_only, separate from aggregates (4S5-DATA-01 computes from it). Migration 20261019230000_virtual_event_raw.</t>
        </is>
      </c>
    </row>
    <row r="22" ht="23.85" customHeight="1" s="75">
      <c r="A22" s="112" t="n">
        <v>38</v>
      </c>
      <c r="B22" s="113" t="inlineStr">
        <is>
          <t>4S7-BE-01</t>
        </is>
      </c>
      <c r="C22" s="85" t="n">
        <v>7</v>
      </c>
      <c r="D22" s="86" t="inlineStr">
        <is>
          <t>Sprint 7 · Cross-channel reporting</t>
        </is>
      </c>
      <c r="E22" s="137" t="inlineStr">
        <is>
          <t>BE</t>
        </is>
      </c>
      <c r="F22" s="122" t="inlineStr">
        <is>
          <t>Code</t>
        </is>
      </c>
      <c r="G22" s="84" t="inlineStr">
        <is>
          <t>Cross-channel campaign model extension</t>
        </is>
      </c>
      <c r="H22" s="116" t="inlineStr">
        <is>
          <t>One campaign holding real-world, social, athlete, reward and INFINEX inventory together.</t>
        </is>
      </c>
      <c r="I22" s="108" t="inlineStr">
        <is>
          <t>Done</t>
        </is>
      </c>
      <c r="J22" s="108" t="n">
        <v>5</v>
      </c>
      <c r="K22" s="163" t="n">
        <v>46314</v>
      </c>
      <c r="L22" s="163" t="n">
        <v>46314</v>
      </c>
      <c r="M22" s="110" t="inlineStr">
        <is>
          <t>rcfworks</t>
        </is>
      </c>
      <c r="N22" s="85" t="n">
        <v>0</v>
      </c>
      <c r="O22" s="84" t="inlineStr">
        <is>
          <t>4S1-BE-03</t>
        </is>
      </c>
      <c r="P22" s="84" t="inlineStr">
        <is>
          <t>A single campaign can contain virtual and non-virtual inventory</t>
        </is>
      </c>
      <c r="Q22" s="86" t="inlineStr">
        <is>
          <t>Spec §25</t>
        </is>
      </c>
      <c r="R22" s="111" t="inlineStr">
        <is>
          <t>2026-10-19 DONE (rcfworks): merged in #255, acceptance met (tests green on CI). | 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23" ht="23.85" customHeight="1" s="75">
      <c r="A23" s="112" t="n">
        <v>52</v>
      </c>
      <c r="B23" s="113" t="inlineStr">
        <is>
          <t>4S9-PMO-03</t>
        </is>
      </c>
      <c r="C23" s="85" t="n">
        <v>9</v>
      </c>
      <c r="D23" s="86" t="inlineStr">
        <is>
          <t>Sprint 9 · Sign-off</t>
        </is>
      </c>
      <c r="E23" s="137" t="inlineStr">
        <is>
          <t>PMO</t>
        </is>
      </c>
      <c r="F23" s="122" t="inlineStr">
        <is>
          <t>Document</t>
        </is>
      </c>
      <c r="G23" s="84" t="inlineStr">
        <is>
          <t>Phase 4 acceptance record, as built</t>
        </is>
      </c>
      <c r="H23" s="116" t="inlineStr">
        <is>
          <t>Raised 2026-10-20 when the game was parked and every open Phase 4 task moved to the game phase (now Phase 6; the former UAT is 6S8-PMO-01). Records criteria 1–4 with the tasks, PRs and tests that prove them.</t>
        </is>
      </c>
      <c r="I23" s="108" t="inlineStr">
        <is>
          <t>Done</t>
        </is>
      </c>
      <c r="J23" s="108" t="n">
        <v>1</v>
      </c>
      <c r="K23" s="163" t="n">
        <v>46315</v>
      </c>
      <c r="L23" s="163" t="n">
        <v>46315</v>
      </c>
      <c r="M23" s="110" t="inlineStr">
        <is>
          <t>rcfworks</t>
        </is>
      </c>
      <c r="N23" s="85" t="n">
        <v>0</v>
      </c>
      <c r="O23" s="84" t="inlineStr">
        <is>
          <t>4S1-BE-04, 4S2-BE-03, 4S2-BE-05, 4S4-BE-01</t>
        </is>
      </c>
      <c r="P23" s="84" t="inlineStr">
        <is>
          <t>Phase 4's acceptance criteria 1–4 demonstrated and signed off</t>
        </is>
      </c>
      <c r="Q23" s="86" t="inlineStr">
        <is>
          <t>Spec §34</t>
        </is>
      </c>
      <c r="R23" s="111" t="inlineStr">
        <is>
          <t>2026-10-20 DONE (rcfworks, signed off with Rodney's delegated authority): documentation/SponsorX-Phase4-Acceptance-Signoff.md — 75/75 Phase 4 tests pass against 08f10a6b (stand-in world end to end); release 1b198d4b checked on staging.</t>
        </is>
      </c>
    </row>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23"/>
  <mergeCells count="2">
    <mergeCell ref="A2:R2"/>
    <mergeCell ref="A1:R1"/>
  </mergeCells>
  <conditionalFormatting sqref="I5:I23">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
    <cfRule type="expression" rank="0" priority="7" equalAverage="0" aboveAverage="0" dxfId="32" text="" percent="0" bottom="0">
      <formula>$I5="Done"</formula>
    </cfRule>
  </conditionalFormatting>
  <conditionalFormatting sqref="N5:N23">
    <cfRule type="cellIs" rank="0" priority="8" equalAverage="0" operator="greaterThanOrEqual" aboveAverage="0" dxfId="33" text="" percent="0" bottom="0">
      <formula>50</formula>
    </cfRule>
  </conditionalFormatting>
  <dataValidations count="1">
    <dataValidation sqref="I5:I23"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filterMode="0">
    <outlinePr summaryBelow="1" summaryRight="1"/>
    <pageSetUpPr fitToPage="0"/>
  </sheetPr>
  <dimension ref="A1:R6"/>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Certified Recruiting Partnership</t>
        </is>
      </c>
    </row>
    <row r="2" ht="15" customHeight="1" s="75">
      <c r="A2" s="77" t="inlineStr">
        <is>
          <t>2 tasks · links between SponsorX and certified-recruiting.com (the GoDaddy site, already built; BTG already links to it). Added 2026-10-27.</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5S1-FE-01</t>
        </is>
      </c>
      <c r="C5" s="81" t="n">
        <v>1</v>
      </c>
      <c r="D5" s="82" t="inlineStr">
        <is>
          <t>Sprint 1 · Partner links</t>
        </is>
      </c>
      <c r="E5" s="138" t="inlineStr">
        <is>
          <t>FE</t>
        </is>
      </c>
      <c r="F5" s="120" t="inlineStr">
        <is>
          <t>Code</t>
        </is>
      </c>
      <c r="G5" s="80" t="inlineStr">
        <is>
          <t>Certified Recruiting card on SponsorX</t>
        </is>
      </c>
      <c r="H5" s="107" t="inlineStr">
        <is>
          <t>Partner card linking to certified-recruiting.com, on the home page and the athlete dashboard.</t>
        </is>
      </c>
      <c r="I5" s="108" t="inlineStr">
        <is>
          <t>Done</t>
        </is>
      </c>
      <c r="J5" s="108" t="n">
        <v>1</v>
      </c>
      <c r="K5" s="163" t="n">
        <v>46324</v>
      </c>
      <c r="L5" s="163" t="n">
        <v>46324</v>
      </c>
      <c r="M5" s="110" t="inlineStr">
        <is>
          <t>HeckerCreatives</t>
        </is>
      </c>
      <c r="N5" s="81" t="n">
        <v>0</v>
      </c>
      <c r="O5" s="80" t="n"/>
      <c r="P5" s="80" t="inlineStr">
        <is>
          <t>Card shows on both pages, opens certified-recruiting.com, works on phone and desktop</t>
        </is>
      </c>
      <c r="Q5" s="82" t="inlineStr">
        <is>
          <t>SponsorX-Phase5-Certified-Recruiting.md</t>
        </is>
      </c>
      <c r="R5" s="111" t="inlineStr">
        <is>
          <t>Raised 2026-10-27. Slack brief in the phase doc. | Built and walked 10-29: card on the home page's For athletes stop and the athlete dashboard; opens certified-recruiting.com in a new tab.</t>
        </is>
      </c>
    </row>
    <row r="6" ht="32.8" customHeight="1" s="75">
      <c r="A6" s="104" t="n">
        <v>2</v>
      </c>
      <c r="B6" s="105" t="inlineStr">
        <is>
          <t>5S1-FE-02</t>
        </is>
      </c>
      <c r="C6" s="81" t="n">
        <v>1</v>
      </c>
      <c r="D6" s="82" t="inlineStr">
        <is>
          <t>Sprint 1 · Partner links</t>
        </is>
      </c>
      <c r="E6" s="138" t="inlineStr">
        <is>
          <t>FE</t>
        </is>
      </c>
      <c r="F6" s="120" t="inlineStr">
        <is>
          <t>Vendor console</t>
        </is>
      </c>
      <c r="G6" s="80" t="inlineStr">
        <is>
          <t>Fix footer links on certified-recruiting.com</t>
        </is>
      </c>
      <c r="H6" s="107" t="inlineStr">
        <is>
          <t>GoDaddy editor: SponsorX → sponsorx.net, SponsorX Next → sponsorx.net/next/about, real Instagram and X.</t>
        </is>
      </c>
      <c r="I6" s="108" t="inlineStr">
        <is>
          <t>Ready</t>
        </is>
      </c>
      <c r="J6" s="108" t="n">
        <v>1</v>
      </c>
      <c r="K6" s="109" t="n"/>
      <c r="L6" s="109" t="n"/>
      <c r="M6" s="110" t="n"/>
      <c r="N6" s="81" t="n">
        <v>0</v>
      </c>
      <c r="O6" s="80" t="n"/>
      <c r="P6" s="80" t="inlineStr">
        <is>
          <t>Every footer link opens the right page</t>
        </is>
      </c>
      <c r="Q6" s="82" t="inlineStr">
        <is>
          <t>SponsorX-Phase5-Certified-Recruiting.md</t>
        </is>
      </c>
      <c r="R6" s="111" t="inlineStr">
        <is>
          <t>Raised 2026-10-27.</t>
        </is>
      </c>
    </row>
    <row r="7" ht="32.8" customHeight="1" s="75"/>
    <row r="8" ht="32.8" customHeight="1" s="75"/>
    <row r="9" ht="32.8" customHeight="1" s="75"/>
    <row r="10" ht="32.8" customHeight="1" s="75"/>
    <row r="11" ht="32.8" customHeight="1" s="75"/>
    <row r="12" ht="32.8" customHeight="1" s="75"/>
    <row r="13" ht="32.8" customHeight="1" s="75"/>
    <row r="14" ht="32.8" customHeight="1" s="75"/>
    <row r="15" ht="32.8" customHeight="1" s="75"/>
    <row r="16" ht="32.8" customHeight="1" s="75"/>
    <row r="17" ht="32.8" customHeight="1" s="75"/>
    <row r="18" ht="32.8" customHeight="1" s="75"/>
    <row r="19" ht="32.8" customHeight="1" s="75"/>
    <row r="20" ht="32.8" customHeight="1" s="75"/>
    <row r="21" ht="32.8" customHeight="1" s="75"/>
    <row r="22" ht="32.8" customHeight="1" s="75"/>
    <row r="23" ht="32.8" customHeight="1" s="75"/>
    <row r="24" ht="32.8" customHeight="1" s="75"/>
    <row r="25" ht="32.8"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6"/>
  <mergeCells count="2">
    <mergeCell ref="A2:R2"/>
    <mergeCell ref="A1:R1"/>
  </mergeCells>
  <conditionalFormatting sqref="I5:I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
    <cfRule type="expression" rank="0" priority="7" equalAverage="0" aboveAverage="0" dxfId="32" text="" percent="0" bottom="0">
      <formula>$I5="Done"</formula>
    </cfRule>
  </conditionalFormatting>
  <conditionalFormatting sqref="N5:N6">
    <cfRule type="cellIs" rank="0" priority="8" equalAverage="0" operator="greaterThanOrEqual" aboveAverage="0" dxfId="33" text="" percent="0" bottom="0">
      <formula>50</formula>
    </cfRule>
  </conditionalFormatting>
  <dataValidations count="1">
    <dataValidation sqref="I5:I6"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0.xml><?xml version="1.0" encoding="utf-8"?>
<worksheet xmlns="http://schemas.openxmlformats.org/spreadsheetml/2006/main">
  <sheetPr filterMode="0">
    <outlinePr summaryBelow="1" summaryRight="1"/>
    <pageSetUpPr fitToPage="0"/>
  </sheetPr>
  <dimension ref="A1:R54"/>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6 · INFINEX Game Integration</t>
        </is>
      </c>
    </row>
    <row r="2" ht="15" customHeight="1" s="75">
      <c r="A2" s="77" t="inlineStr">
        <is>
          <t>50 tasks across 8 sprints · the game and everything that serves it: the in-game connector, the staging world test, the pilot world, player accounts with a live connection, and (moved from Phase 4 on 2026-10-20, the game being parked) telemetry at scale, viewability and metrics, in-world activations, game reporting and operations, and the virtual-inventory screens, emergency pause, UAT and rollout · Phase 5 until 2026-10-27, when Certified Recruiting took Phase 5; IDs renumbered 5S… → 6S…</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6S1-INT-01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 | Formerly 5S1-INT-01 (Phase 5 became Phase 6, 2026-10-27).</t>
        </is>
      </c>
    </row>
    <row r="6" ht="32.8" customHeight="1" s="75">
      <c r="A6" s="104" t="n">
        <v>2</v>
      </c>
      <c r="B6" s="105" t="inlineStr">
        <is>
          <t>6S1-INT-02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6S1-INT-01, 4S3-INT-02</t>
        </is>
      </c>
      <c r="P6" s="80" t="inlineStr">
        <is>
          <t>The game reports its heartbeat and SponsorX raises an alert when it stops</t>
        </is>
      </c>
      <c r="Q6" s="82" t="inlineStr">
        <is>
          <t>Spec §28, §30</t>
        </is>
      </c>
      <c r="R6" s="111" t="inlineStr">
        <is>
          <t>Game half of 4S3-INT-02 (split 2026-10-16). | Formerly 5S1-INT-02 (Phase 5 became Phase 6, 2026-10-27).</t>
        </is>
      </c>
    </row>
    <row r="7" ht="32.8" customHeight="1" s="75">
      <c r="A7" s="104" t="n">
        <v>3</v>
      </c>
      <c r="B7" s="105" t="inlineStr">
        <is>
          <t>6S1-INT-03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6S1-INT-01, 4S3-INT-03</t>
        </is>
      </c>
      <c r="P7" s="80" t="inlineStr">
        <is>
          <t>The game reads its config remotely and honours telemetry limits</t>
        </is>
      </c>
      <c r="Q7" s="82" t="inlineStr">
        <is>
          <t>Spec §28</t>
        </is>
      </c>
      <c r="R7" s="111" t="inlineStr">
        <is>
          <t>Game half of 4S3-INT-03 (split 2026-10-16). | Formerly 5S1-INT-03 (Phase 5 became Phase 6, 2026-10-27).</t>
        </is>
      </c>
    </row>
    <row r="8" ht="32.8" customHeight="1" s="75">
      <c r="A8" s="104" t="n">
        <v>4</v>
      </c>
      <c r="B8" s="105" t="inlineStr">
        <is>
          <t>6S1-QA-01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6S1-INT-01</t>
        </is>
      </c>
      <c r="P8" s="80" t="inlineStr">
        <is>
          <t>Placement passes the staging test before it can be marked available</t>
        </is>
      </c>
      <c r="Q8" s="82" t="inlineStr">
        <is>
          <t>Spec §27.1</t>
        </is>
      </c>
      <c r="R8" s="111" t="inlineStr">
        <is>
          <t>Formerly 4S3-QA-01 (moved 2026-10-16). | Formerly 5S1-QA-01 (Phase 5 became Phase 6, 2026-10-27).</t>
        </is>
      </c>
    </row>
    <row r="9" ht="32.8" customHeight="1" s="75">
      <c r="A9" s="104" t="n">
        <v>5</v>
      </c>
      <c r="B9" s="105" t="inlineStr">
        <is>
          <t>6S2-QA-01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6S1-INT-01, 6S4-OPS-02</t>
        </is>
      </c>
      <c r="P9" s="80" t="inlineStr">
        <is>
          <t>Telemetry reconciles between client and server within defined tolerance</t>
        </is>
      </c>
      <c r="Q9" s="82" t="inlineStr">
        <is>
          <t>Spec §33</t>
        </is>
      </c>
      <c r="R9" s="111" t="inlineStr">
        <is>
          <t>Formerly 4S9-QA-01 (moved 2026-10-16). | Formerly 5S2-QA-01 (Phase 5 became Phase 6, 2026-10-27).</t>
        </is>
      </c>
    </row>
    <row r="10" ht="32.8" customHeight="1" s="75">
      <c r="A10" s="104" t="n">
        <v>6</v>
      </c>
      <c r="B10" s="105" t="inlineStr">
        <is>
          <t>6S2-PMO-01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6S2-QA-01</t>
        </is>
      </c>
      <c r="P10" s="80" t="inlineStr">
        <is>
          <t>Virtual rates recalibrated against observed traffic, viewability and dwell</t>
        </is>
      </c>
      <c r="Q10" s="82" t="inlineStr">
        <is>
          <t>Spec §32</t>
        </is>
      </c>
      <c r="R10" s="111" t="inlineStr">
        <is>
          <t>Formerly 4S9-PMO-01 (moved 2026-10-16). | Formerly 5S2-PMO-01 (Phase 5 became Phase 6, 2026-10-27).</t>
        </is>
      </c>
    </row>
    <row r="11" ht="32.8" customHeight="1" s="75">
      <c r="A11" s="104" t="n">
        <v>7</v>
      </c>
      <c r="B11" s="105" t="inlineStr">
        <is>
          <t>6S2-PMO-02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6S2-QA-01, 6S3-QA-01</t>
        </is>
      </c>
      <c r="P11" s="80" t="inlineStr">
        <is>
          <t>All 15 Phase 6 acceptance criteria demonstrated and signed off</t>
        </is>
      </c>
      <c r="Q11" s="82" t="inlineStr">
        <is>
          <t>Spec §34</t>
        </is>
      </c>
      <c r="R11" s="111" t="inlineStr">
        <is>
          <t>New 2026-10-16: the real-sponsor pilot, formerly part of 4S9-PMO-02. | Formerly 5S2-PMO-02 (Phase 5 became Phase 6, 2026-10-27).</t>
        </is>
      </c>
    </row>
    <row r="12" ht="32.8" customHeight="1" s="75">
      <c r="A12" s="104" t="n">
        <v>8</v>
      </c>
      <c r="B12" s="105" t="inlineStr">
        <is>
          <t>6S3-PMO-01</t>
        </is>
      </c>
      <c r="C12" s="81" t="n">
        <v>3</v>
      </c>
      <c r="D12" s="82" t="inlineStr">
        <is>
          <t>Sprint 3 · Player accounts and live connection</t>
        </is>
      </c>
      <c r="E12" s="138" t="inlineStr">
        <is>
          <t>PMO</t>
        </is>
      </c>
      <c r="F12" s="120" t="inlineStr">
        <is>
          <t>Document</t>
        </is>
      </c>
      <c r="G12" s="80" t="inlineStr">
        <is>
          <t>Player identity decision</t>
        </is>
      </c>
      <c r="H12" s="107" t="inlineStr">
        <is>
          <t>Who holds player accounts, compared: WorkOS AuthKit, a separate Clerk instance for players, Auth0, or SponsorX's own on the standard protocols (cost at player scale, native game flows, lockout and authenticator support, data location, lock-in). What player data is kept and for how long; the world contract updated from anonymous players to optional accounts. A chosen vendor gets its stack-decision addendum.</t>
        </is>
      </c>
      <c r="I12" s="108" t="inlineStr">
        <is>
          <t>Blocked</t>
        </is>
      </c>
      <c r="J12" s="108" t="n">
        <v>2</v>
      </c>
      <c r="K12" s="109" t="n"/>
      <c r="L12" s="109" t="n"/>
      <c r="M12" s="110" t="n"/>
      <c r="N12" s="81" t="n">
        <v>0</v>
      </c>
      <c r="O12" s="80" t="inlineStr">
        <is>
          <t>4S0-PMO-01</t>
        </is>
      </c>
      <c r="P12" s="80" t="inlineStr">
        <is>
          <t>The provider is chosen with the comparison written down, the player data held and its retention are recorded, the world contract is updated, and any new vendor has its stack-decision addendum</t>
        </is>
      </c>
      <c r="Q12" s="82" t="inlineStr">
        <is>
          <t>Spec §29</t>
        </is>
      </c>
      <c r="R12" s="74" t="inlineStr">
        <is>
          <t>Formerly 5S3-PMO-01 (Phase 5 became Phase 6, 2026-10-27).</t>
        </is>
      </c>
    </row>
    <row r="13" ht="32.8" customHeight="1" s="75">
      <c r="A13" s="104" t="n">
        <v>8.5</v>
      </c>
      <c r="B13" s="105" t="inlineStr">
        <is>
          <t>6S3-PMO-02</t>
        </is>
      </c>
      <c r="C13" s="81" t="n">
        <v>3</v>
      </c>
      <c r="D13" s="82" t="inlineStr">
        <is>
          <t>Sprint 3 · Player accounts and live connection</t>
        </is>
      </c>
      <c r="E13" s="138" t="inlineStr">
        <is>
          <t>PMO</t>
        </is>
      </c>
      <c r="F13" s="120" t="inlineStr">
        <is>
          <t>Document</t>
        </is>
      </c>
      <c r="G13" s="80" t="inlineStr">
        <is>
          <t>Real-time connection decision</t>
        </is>
      </c>
      <c r="H13" s="107" t="inlineStr">
        <is>
          <t>How the live game connection is carried, compared: a plain WebSocket on SponsorX's API (fan-out through Postgres LISTEN/NOTIFY), SpacetimeDB (multiplayer database with WebSocket subscriptions; could also carry live game state), or a managed service such as Ably or Pusher. Latency, connections, cost, how it authenticates, fit with the stack rules. A chosen vendor gets its stack-decision addendum.</t>
        </is>
      </c>
      <c r="I13" s="108" t="inlineStr">
        <is>
          <t>Blocked</t>
        </is>
      </c>
      <c r="J13" s="108" t="n">
        <v>3</v>
      </c>
      <c r="K13" s="109" t="n"/>
      <c r="L13" s="109" t="n"/>
      <c r="M13" s="110" t="n"/>
      <c r="N13" s="81" t="n">
        <v>0</v>
      </c>
      <c r="O13" s="80" t="inlineStr">
        <is>
          <t>4S0-SEC-01</t>
        </is>
      </c>
      <c r="P13" s="80" t="inlineStr">
        <is>
          <t>The real-time option is chosen with the comparison written down, and any new vendor has its stack-decision addendum</t>
        </is>
      </c>
      <c r="Q13" s="82" t="inlineStr">
        <is>
          <t>Spec §28, §31</t>
        </is>
      </c>
      <c r="R13" s="74" t="inlineStr">
        <is>
          <t>Formerly 5S3-PMO-02 (Phase 5 became Phase 6, 2026-10-27).</t>
        </is>
      </c>
    </row>
    <row r="14" ht="32.8" customHeight="1" s="75">
      <c r="A14" s="104" t="n">
        <v>9</v>
      </c>
      <c r="B14" s="105" t="inlineStr">
        <is>
          <t>6S3-SEC-01</t>
        </is>
      </c>
      <c r="C14" s="81" t="n">
        <v>3</v>
      </c>
      <c r="D14" s="82" t="inlineStr">
        <is>
          <t>Sprint 3 · Player accounts and live connection</t>
        </is>
      </c>
      <c r="E14" s="138" t="inlineStr">
        <is>
          <t>SEC</t>
        </is>
      </c>
      <c r="F14" s="120" t="inlineStr">
        <is>
          <t>Code</t>
        </is>
      </c>
      <c r="G14" s="80" t="inlineStr">
        <is>
          <t>Player authentication design</t>
        </is>
      </c>
      <c r="H14" s="107" t="inlineStr">
        <is>
          <t>OAuth 2.0 / OpenID Connect authorization code with PKCE for the game (RFC 8252), token lifetimes and rotating refresh tokens, NIST SP 800-63B passwords, authenticator step, lockout policy and the error codes the game reads; checked against OWASP ASVS Level 2.</t>
        </is>
      </c>
      <c r="I14" s="108" t="inlineStr">
        <is>
          <t>Blocked</t>
        </is>
      </c>
      <c r="J14" s="108" t="n">
        <v>3</v>
      </c>
      <c r="K14" s="109" t="n"/>
      <c r="L14" s="109" t="n"/>
      <c r="M14" s="110" t="n"/>
      <c r="N14" s="81" t="n">
        <v>0</v>
      </c>
      <c r="O14" s="80" t="inlineStr">
        <is>
          <t>6S3-PMO-01, 4S0-SEC-01</t>
        </is>
      </c>
      <c r="P14" s="80" t="inlineStr">
        <is>
          <t>The player authentication design is reviewed and approved</t>
        </is>
      </c>
      <c r="Q14" s="82" t="inlineStr">
        <is>
          <t>Spec §29, §31</t>
        </is>
      </c>
      <c r="R14" s="74" t="inlineStr">
        <is>
          <t>Formerly 5S3-SEC-01 (Phase 5 became Phase 6, 2026-10-27).</t>
        </is>
      </c>
    </row>
    <row r="15" ht="32.8" customHeight="1" s="75">
      <c r="A15" s="104" t="n">
        <v>10</v>
      </c>
      <c r="B15" s="105" t="inlineStr">
        <is>
          <t>6S3-BE-01</t>
        </is>
      </c>
      <c r="C15" s="81" t="n">
        <v>3</v>
      </c>
      <c r="D15" s="82" t="inlineStr">
        <is>
          <t>Sprint 3 · Player accounts and live connection</t>
        </is>
      </c>
      <c r="E15" s="138" t="inlineStr">
        <is>
          <t>BE</t>
        </is>
      </c>
      <c r="F15" s="120" t="inlineStr">
        <is>
          <t>Code</t>
        </is>
      </c>
      <c r="G15" s="80" t="inlineStr">
        <is>
          <t>Player registration with email</t>
        </is>
      </c>
      <c r="H15" s="107" t="inlineStr">
        <is>
          <t>Create an account with email and password, verify the email, minimum length and a breached-password check; an email already registered is answered without revealing it exists.</t>
        </is>
      </c>
      <c r="I15" s="108" t="inlineStr">
        <is>
          <t>Blocked</t>
        </is>
      </c>
      <c r="J15" s="108" t="n">
        <v>4</v>
      </c>
      <c r="K15" s="109" t="n"/>
      <c r="L15" s="109" t="n"/>
      <c r="M15" s="110" t="n"/>
      <c r="N15" s="81" t="n">
        <v>0</v>
      </c>
      <c r="O15" s="80" t="inlineStr">
        <is>
          <t>6S3-SEC-01</t>
        </is>
      </c>
      <c r="P15" s="80" t="inlineStr">
        <is>
          <t>A player creates an account with email and password, verifies the email, and a duplicate or weak password is refused without revealing existing accounts</t>
        </is>
      </c>
      <c r="Q15" s="82" t="inlineStr">
        <is>
          <t>Spec §29</t>
        </is>
      </c>
      <c r="R15" s="74" t="inlineStr">
        <is>
          <t>Formerly 5S3-BE-01 (Phase 5 became Phase 6, 2026-10-27).</t>
        </is>
      </c>
    </row>
    <row r="16" ht="32.8" customHeight="1" s="75">
      <c r="A16" s="104" t="n">
        <v>11</v>
      </c>
      <c r="B16" s="105" t="inlineStr">
        <is>
          <t>6S3-BE-02</t>
        </is>
      </c>
      <c r="C16" s="81" t="n">
        <v>3</v>
      </c>
      <c r="D16" s="82" t="inlineStr">
        <is>
          <t>Sprint 3 · Player accounts and live connection</t>
        </is>
      </c>
      <c r="E16" s="138" t="inlineStr">
        <is>
          <t>BE</t>
        </is>
      </c>
      <c r="F16" s="120" t="inlineStr">
        <is>
          <t>Code</t>
        </is>
      </c>
      <c r="G16" s="80" t="inlineStr">
        <is>
          <t>Email login and the login error contract</t>
        </is>
      </c>
      <c r="H16" s="107" t="inlineStr">
        <is>
          <t>Email and password login; every refusal is a stable code the game acts on: invalid-credentials (same whether or not the email exists), account-locked (with unlock time), email-not-verified, mfa-required, account-disabled, rate-limited.</t>
        </is>
      </c>
      <c r="I16" s="108" t="inlineStr">
        <is>
          <t>Blocked</t>
        </is>
      </c>
      <c r="J16" s="108" t="n">
        <v>3</v>
      </c>
      <c r="K16" s="109" t="n"/>
      <c r="L16" s="109" t="n"/>
      <c r="M16" s="110" t="n"/>
      <c r="N16" s="81" t="n">
        <v>0</v>
      </c>
      <c r="O16" s="80" t="inlineStr">
        <is>
          <t>6S3-BE-01</t>
        </is>
      </c>
      <c r="P16" s="80" t="inlineStr">
        <is>
          <t>The game can tell an invalid login, a locked account, an unverified email and a required authenticator step apart from the server's response, and none of them reveals whether an account exists</t>
        </is>
      </c>
      <c r="Q16" s="82" t="inlineStr">
        <is>
          <t>Spec §29</t>
        </is>
      </c>
      <c r="R16" s="74" t="inlineStr">
        <is>
          <t>Formerly 5S3-BE-02 (Phase 5 became Phase 6, 2026-10-27).</t>
        </is>
      </c>
    </row>
    <row r="17" ht="32.8" customHeight="1" s="75">
      <c r="A17" s="104" t="n">
        <v>12</v>
      </c>
      <c r="B17" s="105" t="inlineStr">
        <is>
          <t>6S3-BE-03</t>
        </is>
      </c>
      <c r="C17" s="81" t="n">
        <v>3</v>
      </c>
      <c r="D17" s="82" t="inlineStr">
        <is>
          <t>Sprint 3 · Player accounts and live connection</t>
        </is>
      </c>
      <c r="E17" s="138" t="inlineStr">
        <is>
          <t>BE</t>
        </is>
      </c>
      <c r="F17" s="120" t="inlineStr">
        <is>
          <t>Code</t>
        </is>
      </c>
      <c r="G17" s="80" t="inlineStr">
        <is>
          <t>Login lockout and throttling</t>
        </is>
      </c>
      <c r="H17" s="107" t="inlineStr">
        <is>
          <t>Growing delays per account and per device or IP, a temporary lock after repeated failures (unlocks by time or an emailed link), the owner told, every lock and unlock audited.</t>
        </is>
      </c>
      <c r="I17" s="108" t="inlineStr">
        <is>
          <t>Blocked</t>
        </is>
      </c>
      <c r="J17" s="108" t="n">
        <v>3</v>
      </c>
      <c r="K17" s="109" t="n"/>
      <c r="L17" s="109" t="n"/>
      <c r="M17" s="110" t="n"/>
      <c r="N17" s="81" t="n">
        <v>0</v>
      </c>
      <c r="O17" s="80" t="inlineStr">
        <is>
          <t>6S3-BE-02</t>
        </is>
      </c>
      <c r="P17" s="80" t="inlineStr">
        <is>
          <t>Repeated failed logins lock the account for a set time, the game shows when it unlocks, the owner can unlock by email, and every lock is audited</t>
        </is>
      </c>
      <c r="Q17" s="82" t="inlineStr">
        <is>
          <t>Spec §29, §31</t>
        </is>
      </c>
      <c r="R17" s="74" t="inlineStr">
        <is>
          <t>Formerly 5S3-BE-03 (Phase 5 became Phase 6, 2026-10-27).</t>
        </is>
      </c>
    </row>
    <row r="18" ht="32.8" customHeight="1" s="75">
      <c r="A18" s="104" t="n">
        <v>13</v>
      </c>
      <c r="B18" s="105" t="inlineStr">
        <is>
          <t>6S3-INT-01</t>
        </is>
      </c>
      <c r="C18" s="81" t="n">
        <v>3</v>
      </c>
      <c r="D18" s="82" t="inlineStr">
        <is>
          <t>Sprint 3 · Player accounts and live connection</t>
        </is>
      </c>
      <c r="E18" s="138" t="inlineStr">
        <is>
          <t>INT</t>
        </is>
      </c>
      <c r="F18" s="120" t="inlineStr">
        <is>
          <t>Code + console</t>
        </is>
      </c>
      <c r="G18" s="80" t="inlineStr">
        <is>
          <t>Sign in with Google</t>
        </is>
      </c>
      <c r="H18" s="107" t="inlineStr">
        <is>
          <t>Google sign-in (OpenID Connect): a new player gets an account from Google's verified email; an existing player can link Google. Google Cloud client set up in the sandbox project first.</t>
        </is>
      </c>
      <c r="I18" s="108" t="inlineStr">
        <is>
          <t>Blocked</t>
        </is>
      </c>
      <c r="J18" s="108" t="n">
        <v>3</v>
      </c>
      <c r="K18" s="109" t="n"/>
      <c r="L18" s="109" t="n"/>
      <c r="M18" s="110" t="n"/>
      <c r="N18" s="81" t="n">
        <v>0</v>
      </c>
      <c r="O18" s="80" t="inlineStr">
        <is>
          <t>6S3-SEC-01, 6S3-BE-01</t>
        </is>
      </c>
      <c r="P18" s="80" t="inlineStr">
        <is>
          <t>A player signs up and signs in with Google, and can link Google to an existing account</t>
        </is>
      </c>
      <c r="Q18" s="82" t="inlineStr">
        <is>
          <t>Spec §29</t>
        </is>
      </c>
      <c r="R18" s="74" t="inlineStr">
        <is>
          <t>Formerly 5S3-INT-01 (Phase 5 became Phase 6, 2026-10-27).</t>
        </is>
      </c>
    </row>
    <row r="19" ht="32.8" customHeight="1" s="75">
      <c r="A19" s="104" t="n">
        <v>14</v>
      </c>
      <c r="B19" s="105" t="inlineStr">
        <is>
          <t>6S3-INT-02</t>
        </is>
      </c>
      <c r="C19" s="81" t="n">
        <v>3</v>
      </c>
      <c r="D19" s="82" t="inlineStr">
        <is>
          <t>Sprint 3 · Player accounts and live connection</t>
        </is>
      </c>
      <c r="E19" s="138" t="inlineStr">
        <is>
          <t>INT</t>
        </is>
      </c>
      <c r="F19" s="120" t="inlineStr">
        <is>
          <t>Code + console</t>
        </is>
      </c>
      <c r="G19" s="80" t="inlineStr">
        <is>
          <t>Sign in with Apple</t>
        </is>
      </c>
      <c r="H19" s="107" t="inlineStr">
        <is>
          <t>Sign in with Apple, including private-relay emails, the name sent only on first sign-in, and the App Store's in-app account deletion rule. Apple developer setup first.</t>
        </is>
      </c>
      <c r="I19" s="108" t="inlineStr">
        <is>
          <t>Blocked</t>
        </is>
      </c>
      <c r="J19" s="108" t="n">
        <v>3</v>
      </c>
      <c r="K19" s="109" t="n"/>
      <c r="L19" s="109" t="n"/>
      <c r="M19" s="110" t="n"/>
      <c r="N19" s="81" t="n">
        <v>0</v>
      </c>
      <c r="O19" s="80" t="inlineStr">
        <is>
          <t>6S3-SEC-01, 6S3-BE-01</t>
        </is>
      </c>
      <c r="P19" s="80" t="inlineStr">
        <is>
          <t>A player signs up and signs in with Apple, including with a hidden (relay) email, and can link Apple to an existing account</t>
        </is>
      </c>
      <c r="Q19" s="82" t="inlineStr">
        <is>
          <t>Spec §29</t>
        </is>
      </c>
      <c r="R19" s="74" t="inlineStr">
        <is>
          <t>Formerly 5S3-INT-02 (Phase 5 became Phase 6, 2026-10-27).</t>
        </is>
      </c>
    </row>
    <row r="20" ht="32.8" customHeight="1" s="75">
      <c r="A20" s="104" t="n">
        <v>15</v>
      </c>
      <c r="B20" s="105" t="inlineStr">
        <is>
          <t>6S3-BE-04</t>
        </is>
      </c>
      <c r="C20" s="81" t="n">
        <v>3</v>
      </c>
      <c r="D20" s="82" t="inlineStr">
        <is>
          <t>Sprint 3 · Player accounts and live connection</t>
        </is>
      </c>
      <c r="E20" s="138" t="inlineStr">
        <is>
          <t>BE</t>
        </is>
      </c>
      <c r="F20" s="120" t="inlineStr">
        <is>
          <t>Code</t>
        </is>
      </c>
      <c r="G20" s="80" t="inlineStr">
        <is>
          <t>Authenticator app two-step login</t>
        </is>
      </c>
      <c r="H20" s="107" t="inlineStr">
        <is>
          <t>Authenticator app codes (RFC 6238): enrol by QR code, recovery codes shown once, turning it off needs a fresh sign-in; login answers mfa-required until the code is given.</t>
        </is>
      </c>
      <c r="I20" s="108" t="inlineStr">
        <is>
          <t>Blocked</t>
        </is>
      </c>
      <c r="J20" s="108" t="n">
        <v>4</v>
      </c>
      <c r="K20" s="109" t="n"/>
      <c r="L20" s="109" t="n"/>
      <c r="M20" s="110" t="n"/>
      <c r="N20" s="81" t="n">
        <v>0</v>
      </c>
      <c r="O20" s="80" t="inlineStr">
        <is>
          <t>6S3-BE-02</t>
        </is>
      </c>
      <c r="P20" s="80" t="inlineStr">
        <is>
          <t>A player turns on an authenticator, every later login asks for its code, recovery codes work once each, and turning it off needs a fresh sign-in</t>
        </is>
      </c>
      <c r="Q20" s="82" t="inlineStr">
        <is>
          <t>Spec §29, §31</t>
        </is>
      </c>
      <c r="R20" s="74" t="inlineStr">
        <is>
          <t>Formerly 5S3-BE-04 (Phase 5 became Phase 6, 2026-10-27).</t>
        </is>
      </c>
    </row>
    <row r="21" ht="32.8" customHeight="1" s="75">
      <c r="A21" s="104" t="n">
        <v>16</v>
      </c>
      <c r="B21" s="105" t="inlineStr">
        <is>
          <t>6S3-BE-05</t>
        </is>
      </c>
      <c r="C21" s="81" t="n">
        <v>3</v>
      </c>
      <c r="D21" s="82" t="inlineStr">
        <is>
          <t>Sprint 3 · Player accounts and live connection</t>
        </is>
      </c>
      <c r="E21" s="138" t="inlineStr">
        <is>
          <t>BE</t>
        </is>
      </c>
      <c r="F21" s="120" t="inlineStr">
        <is>
          <t>Code</t>
        </is>
      </c>
      <c r="G21" s="80" t="inlineStr">
        <is>
          <t>Account recovery, linking and deletion</t>
        </is>
      </c>
      <c r="H21" s="107" t="inlineStr">
        <is>
          <t>Password reset by short-lived emailed link (signs out other devices); link and unlink Google or Apple (never the last way in); delete the account and its personal data from inside the game.</t>
        </is>
      </c>
      <c r="I21" s="108" t="inlineStr">
        <is>
          <t>Blocked</t>
        </is>
      </c>
      <c r="J21" s="108" t="n">
        <v>4</v>
      </c>
      <c r="K21" s="109" t="n"/>
      <c r="L21" s="109" t="n"/>
      <c r="M21" s="110" t="n"/>
      <c r="N21" s="81" t="n">
        <v>0</v>
      </c>
      <c r="O21" s="80" t="inlineStr">
        <is>
          <t>6S3-BE-02, 6S3-INT-01, 6S3-INT-02</t>
        </is>
      </c>
      <c r="P21" s="80" t="inlineStr">
        <is>
          <t>A player resets a forgotten password, links and unlinks Google or Apple without locking themselves out, and deletes their account in the game</t>
        </is>
      </c>
      <c r="Q21" s="82" t="inlineStr">
        <is>
          <t>Spec §29</t>
        </is>
      </c>
      <c r="R21" s="74" t="inlineStr">
        <is>
          <t>Formerly 5S3-BE-05 (Phase 5 became Phase 6, 2026-10-27).</t>
        </is>
      </c>
    </row>
    <row r="22" ht="32.8" customHeight="1" s="75">
      <c r="A22" s="104" t="n">
        <v>17</v>
      </c>
      <c r="B22" s="105" t="inlineStr">
        <is>
          <t>6S3-BE-06</t>
        </is>
      </c>
      <c r="C22" s="81" t="n">
        <v>3</v>
      </c>
      <c r="D22" s="82" t="inlineStr">
        <is>
          <t>Sprint 3 · Player accounts and live connection</t>
        </is>
      </c>
      <c r="E22" s="138" t="inlineStr">
        <is>
          <t>BE</t>
        </is>
      </c>
      <c r="F22" s="120" t="inlineStr">
        <is>
          <t>Code</t>
        </is>
      </c>
      <c r="G22" s="80" t="inlineStr">
        <is>
          <t>Player sessions and tokens</t>
        </is>
      </c>
      <c r="H22" s="107" t="inlineStr">
        <is>
          <t>Short-lived access tokens and refresh tokens that rotate on every use; a reused refresh token ends the session; device list, sign out one device or everywhere.</t>
        </is>
      </c>
      <c r="I22" s="108" t="inlineStr">
        <is>
          <t>Blocked</t>
        </is>
      </c>
      <c r="J22" s="108" t="n">
        <v>3</v>
      </c>
      <c r="K22" s="109" t="n"/>
      <c r="L22" s="109" t="n"/>
      <c r="M22" s="110" t="n"/>
      <c r="N22" s="81" t="n">
        <v>0</v>
      </c>
      <c r="O22" s="80" t="inlineStr">
        <is>
          <t>6S3-BE-02</t>
        </is>
      </c>
      <c r="P22" s="80" t="inlineStr">
        <is>
          <t>Access tokens are short-lived, refresh tokens rotate, a reused refresh token ends the session, and a player can sign out one device or all of them</t>
        </is>
      </c>
      <c r="Q22" s="82" t="inlineStr">
        <is>
          <t>Spec §29, §31</t>
        </is>
      </c>
      <c r="R22" s="74" t="inlineStr">
        <is>
          <t>Formerly 5S3-BE-06 (Phase 5 became Phase 6, 2026-10-27).</t>
        </is>
      </c>
    </row>
    <row r="23" ht="32.8" customHeight="1" s="75">
      <c r="A23" s="104" t="n">
        <v>18</v>
      </c>
      <c r="B23" s="105" t="inlineStr">
        <is>
          <t>6S3-INT-03</t>
        </is>
      </c>
      <c r="C23" s="81" t="n">
        <v>3</v>
      </c>
      <c r="D23" s="82" t="inlineStr">
        <is>
          <t>Sprint 3 · Player accounts and live connection</t>
        </is>
      </c>
      <c r="E23" s="138" t="inlineStr">
        <is>
          <t>INT</t>
        </is>
      </c>
      <c r="F23" s="120" t="inlineStr">
        <is>
          <t>Code</t>
        </is>
      </c>
      <c r="G23" s="80" t="inlineStr">
        <is>
          <t>Game socket connection</t>
        </is>
      </c>
      <c r="H23" s="107" t="inlineStr">
        <is>
          <t>A live connection, carried as 6S3-PMO-02 decides (default: WebSocket on the API, Postgres LISTEN/NOTIFY fan-out; or SpacetimeDB or a managed service). Token in the first message, never the URL; ping/pong and reconnect with back-off; pushes for feed changes, pause and kill switch, settings changes and revoked sessions; falls back to polling.</t>
        </is>
      </c>
      <c r="I23" s="108" t="inlineStr">
        <is>
          <t>Blocked</t>
        </is>
      </c>
      <c r="J23" s="108" t="n">
        <v>5</v>
      </c>
      <c r="K23" s="109" t="n"/>
      <c r="L23" s="109" t="n"/>
      <c r="M23" s="110" t="n"/>
      <c r="N23" s="81" t="n">
        <v>0</v>
      </c>
      <c r="O23" s="80" t="inlineStr">
        <is>
          <t>4S0-SEC-01, 6S3-PMO-02, 6S3-BE-06</t>
        </is>
      </c>
      <c r="P23" s="80" t="inlineStr">
        <is>
          <t>An authenticated game holds a live socket, receives a pause or feed change within seconds, reconnects on its own, falls back to polling, and an expired or revoked session is disconnected</t>
        </is>
      </c>
      <c r="Q23" s="82" t="inlineStr">
        <is>
          <t>Spec §28, §34</t>
        </is>
      </c>
      <c r="R23" s="74" t="inlineStr">
        <is>
          <t>Formerly 5S3-INT-03 (Phase 5 became Phase 6, 2026-10-27).</t>
        </is>
      </c>
    </row>
    <row r="24" ht="32.8" customHeight="1" s="75">
      <c r="A24" s="104" t="n">
        <v>19</v>
      </c>
      <c r="B24" s="105" t="inlineStr">
        <is>
          <t>6S3-INT-04</t>
        </is>
      </c>
      <c r="C24" s="81" t="n">
        <v>3</v>
      </c>
      <c r="D24" s="82" t="inlineStr">
        <is>
          <t>Sprint 3 · Player accounts and live connection</t>
        </is>
      </c>
      <c r="E24" s="138" t="inlineStr">
        <is>
          <t>INT</t>
        </is>
      </c>
      <c r="F24" s="120" t="inlineStr">
        <is>
          <t>Code</t>
        </is>
      </c>
      <c r="G24" s="80" t="inlineStr">
        <is>
          <t>In-game sign-up and login</t>
        </is>
      </c>
      <c r="H24" s="107" t="inlineStr">
        <is>
          <t>The game's screens: sign up, sign in with email, Google or Apple, the authenticator step, a clear message for each error code (including when a locked account unlocks), forgotten password, then open the socket.</t>
        </is>
      </c>
      <c r="I24" s="108" t="inlineStr">
        <is>
          <t>Blocked</t>
        </is>
      </c>
      <c r="J24" s="108" t="n">
        <v>5</v>
      </c>
      <c r="K24" s="109" t="n"/>
      <c r="L24" s="109" t="n"/>
      <c r="M24" s="110" t="n"/>
      <c r="N24" s="81" t="n">
        <v>0</v>
      </c>
      <c r="O24" s="80" t="inlineStr">
        <is>
          <t>6S3-BE-02, 6S3-BE-03, 6S3-BE-04, 6S3-INT-01, 6S3-INT-02, 6S3-INT-03</t>
        </is>
      </c>
      <c r="P24" s="80" t="inlineStr">
        <is>
          <t>A player signs up and signs in inside the game by each method, sees the right message for every refused login, and the game connects its socket after login</t>
        </is>
      </c>
      <c r="Q24" s="82" t="inlineStr">
        <is>
          <t>Spec §29</t>
        </is>
      </c>
      <c r="R24" s="74" t="inlineStr">
        <is>
          <t>Formerly 5S3-INT-04 (Phase 5 became Phase 6, 2026-10-27).</t>
        </is>
      </c>
    </row>
    <row r="25" ht="32.8" customHeight="1" s="75">
      <c r="A25" s="104" t="n">
        <v>20</v>
      </c>
      <c r="B25" s="105" t="inlineStr">
        <is>
          <t>6S3-QA-01</t>
        </is>
      </c>
      <c r="C25" s="81" t="n">
        <v>3</v>
      </c>
      <c r="D25" s="82" t="inlineStr">
        <is>
          <t>Sprint 3 · Player accounts and live connection</t>
        </is>
      </c>
      <c r="E25" s="138" t="inlineStr">
        <is>
          <t>QA</t>
        </is>
      </c>
      <c r="F25" s="120" t="inlineStr">
        <is>
          <t>Code</t>
        </is>
      </c>
      <c r="G25" s="80" t="inlineStr">
        <is>
          <t>Authentication security test</t>
        </is>
      </c>
      <c r="H25" s="107" t="inlineStr">
        <is>
          <t>OWASP ASVS Level 2: brute force and credential stuffing, account enumeration, token theft and replay, bypassing the authenticator, the socket's authentication; every finding fixed or recorded.</t>
        </is>
      </c>
      <c r="I25" s="108" t="inlineStr">
        <is>
          <t>Blocked</t>
        </is>
      </c>
      <c r="J25" s="108" t="n">
        <v>3</v>
      </c>
      <c r="K25" s="109" t="n"/>
      <c r="L25" s="109" t="n"/>
      <c r="M25" s="110" t="n"/>
      <c r="N25" s="81" t="n">
        <v>0</v>
      </c>
      <c r="O25" s="80" t="inlineStr">
        <is>
          <t>6S3-INT-04</t>
        </is>
      </c>
      <c r="P25" s="80" t="inlineStr">
        <is>
          <t>Every check passes, or each open finding is recorded with its risk and its owner</t>
        </is>
      </c>
      <c r="Q25" s="82" t="inlineStr">
        <is>
          <t>Spec §29, §31</t>
        </is>
      </c>
      <c r="R25" s="74" t="inlineStr">
        <is>
          <t>Formerly 5S3-QA-01 (Phase 5 became Phase 6, 2026-10-27).</t>
        </is>
      </c>
    </row>
    <row r="26" ht="32.8" customHeight="1" s="75">
      <c r="A26" s="104" t="n">
        <v>21</v>
      </c>
      <c r="B26" s="105" t="inlineStr">
        <is>
          <t>6S4-PMO-01</t>
        </is>
      </c>
      <c r="C26" s="81" t="n">
        <v>4</v>
      </c>
      <c r="D26" s="82" t="inlineStr">
        <is>
          <t>Sprint 4 · Telemetry at scale</t>
        </is>
      </c>
      <c r="E26" s="138" t="inlineStr">
        <is>
          <t>PMO</t>
        </is>
      </c>
      <c r="F26" s="120" t="inlineStr">
        <is>
          <t>Document</t>
        </is>
      </c>
      <c r="G26" s="80" t="inlineStr">
        <is>
          <t>Estimate telemetry volume and cost</t>
        </is>
      </c>
      <c r="H26" s="107" t="inlineStr">
        <is>
          <t>Formerly 4S0-PMO-03 (moved 2026-10-20: the game is parked). Virtual worlds emit far more events than a QR code does. Size the ingestion, storage and warehouse cost before committing to an architecture.</t>
        </is>
      </c>
      <c r="I26" s="108" t="inlineStr">
        <is>
          <t>Blocked</t>
        </is>
      </c>
      <c r="J26" s="108" t="n">
        <v>3</v>
      </c>
      <c r="K26" s="109" t="n"/>
      <c r="L26" s="109" t="n"/>
      <c r="M26" s="110" t="n"/>
      <c r="N26" s="81" t="n">
        <v>0</v>
      </c>
      <c r="O26" s="80" t="inlineStr">
        <is>
          <t>4S0-PMO-01</t>
        </is>
      </c>
      <c r="P26" s="80" t="inlineStr">
        <is>
          <t>Event volume estimated per concurrent user with an infrastructure cost model</t>
        </is>
      </c>
      <c r="Q26" s="82" t="inlineStr">
        <is>
          <t>Spec §31, §38</t>
        </is>
      </c>
      <c r="R26" s="74" t="inlineStr">
        <is>
          <t>Formerly 5S4-PMO-01 (Phase 5 became Phase 6, 2026-10-27).</t>
        </is>
      </c>
    </row>
    <row r="27" ht="23.85" customHeight="1" s="75">
      <c r="A27" s="104" t="n">
        <v>22</v>
      </c>
      <c r="B27" s="105" t="inlineStr">
        <is>
          <t>6S4-BE-01</t>
        </is>
      </c>
      <c r="C27" s="81" t="n">
        <v>4</v>
      </c>
      <c r="D27" s="82" t="inlineStr">
        <is>
          <t>Sprint 4 · Telemetry at scale</t>
        </is>
      </c>
      <c r="E27" s="138" t="inlineStr">
        <is>
          <t>BE</t>
        </is>
      </c>
      <c r="F27" s="120" t="inlineStr">
        <is>
          <t>Code</t>
        </is>
      </c>
      <c r="G27" s="80" t="inlineStr">
        <is>
          <t>Idempotent de-duplication</t>
        </is>
      </c>
      <c r="H27" s="107" t="inlineStr">
        <is>
          <t>Formerly 4S4-BE-03 (moved 2026-10-20: the game is parked). 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74" t="inlineStr">
        <is>
          <t>Formerly 5S4-BE-01 (Phase 5 became Phase 6, 2026-10-27).</t>
        </is>
      </c>
    </row>
    <row r="28" ht="23.85" customHeight="1" s="75">
      <c r="A28" s="104" t="n">
        <v>23</v>
      </c>
      <c r="B28" s="105" t="inlineStr">
        <is>
          <t>6S4-OPS-01</t>
        </is>
      </c>
      <c r="C28" s="81" t="n">
        <v>4</v>
      </c>
      <c r="D28" s="82" t="inlineStr">
        <is>
          <t>Sprint 4 · Telemetry at scale</t>
        </is>
      </c>
      <c r="E28" s="138" t="inlineStr">
        <is>
          <t>OPS</t>
        </is>
      </c>
      <c r="F28" s="120" t="inlineStr">
        <is>
          <t>Vendor console</t>
        </is>
      </c>
      <c r="G28" s="80" t="inlineStr">
        <is>
          <t>Event streaming and buffering</t>
        </is>
      </c>
      <c r="H28" s="107" t="inlineStr">
        <is>
          <t>Formerly 4S4-OPS-01 (moved 2026-10-20: the game is parked). A queue in front of ingestion so a traffic burst in-world does not drop sponsorship data.</t>
        </is>
      </c>
      <c r="I28" s="108" t="inlineStr">
        <is>
          <t>Blocked</t>
        </is>
      </c>
      <c r="J28" s="108" t="n">
        <v>5</v>
      </c>
      <c r="K28" s="109" t="n"/>
      <c r="L28" s="109" t="n"/>
      <c r="M28" s="110" t="n"/>
      <c r="N28" s="81" t="n">
        <v>0</v>
      </c>
      <c r="O28" s="80" t="inlineStr">
        <is>
          <t>4S4-BE-01</t>
        </is>
      </c>
      <c r="P28" s="80" t="inlineStr">
        <is>
          <t>Ingestion sustains the agreed burst rate with buffering and no event loss</t>
        </is>
      </c>
      <c r="Q28" s="82" t="inlineStr">
        <is>
          <t>Spec §31, §38</t>
        </is>
      </c>
      <c r="R28" s="74" t="inlineStr">
        <is>
          <t>Formerly 5S4-OPS-01 (Phase 5 became Phase 6, 2026-10-27).</t>
        </is>
      </c>
    </row>
    <row r="29" ht="23.85" customHeight="1" s="75">
      <c r="A29" s="104" t="n">
        <v>24</v>
      </c>
      <c r="B29" s="105" t="inlineStr">
        <is>
          <t>6S4-OPS-02</t>
        </is>
      </c>
      <c r="C29" s="81" t="n">
        <v>4</v>
      </c>
      <c r="D29" s="82" t="inlineStr">
        <is>
          <t>Sprint 4 · Telemetry at scale</t>
        </is>
      </c>
      <c r="E29" s="138" t="inlineStr">
        <is>
          <t>OPS</t>
        </is>
      </c>
      <c r="F29" s="120" t="inlineStr">
        <is>
          <t>Code</t>
        </is>
      </c>
      <c r="G29" s="80" t="inlineStr">
        <is>
          <t>Load test event ingestion and dashboards</t>
        </is>
      </c>
      <c r="H29" s="107" t="inlineStr">
        <is>
          <t>Formerly 4S8-OPS-01 (moved 2026-10-20: the game is parked). Prove the throughput and dashboard latency targets hold at expected Phase 4 traffic, before a pilot world goes live.</t>
        </is>
      </c>
      <c r="I29" s="108" t="inlineStr">
        <is>
          <t>Blocked</t>
        </is>
      </c>
      <c r="J29" s="108" t="n">
        <v>5</v>
      </c>
      <c r="K29" s="109" t="n"/>
      <c r="L29" s="109" t="n"/>
      <c r="M29" s="110" t="n"/>
      <c r="N29" s="81" t="n">
        <v>0</v>
      </c>
      <c r="O29" s="80" t="inlineStr">
        <is>
          <t>6S4-OPS-01</t>
        </is>
      </c>
      <c r="P29" s="80" t="inlineStr">
        <is>
          <t>Load test meets the agreed ingestion throughput and dashboard latency targets</t>
        </is>
      </c>
      <c r="Q29" s="82" t="inlineStr">
        <is>
          <t>Spec §34</t>
        </is>
      </c>
      <c r="R29" s="74" t="inlineStr">
        <is>
          <t>Formerly 5S4-OPS-02 (Phase 5 became Phase 6, 2026-10-27).</t>
        </is>
      </c>
    </row>
    <row r="30" ht="23.85" customHeight="1" s="75">
      <c r="A30" s="104" t="n">
        <v>25</v>
      </c>
      <c r="B30" s="105" t="inlineStr">
        <is>
          <t>6S5-BE-01</t>
        </is>
      </c>
      <c r="C30" s="81" t="n">
        <v>5</v>
      </c>
      <c r="D30" s="82" t="inlineStr">
        <is>
          <t>Sprint 5 · Viewability, metrics and pricing</t>
        </is>
      </c>
      <c r="E30" s="138" t="inlineStr">
        <is>
          <t>BE</t>
        </is>
      </c>
      <c r="F30" s="120" t="inlineStr">
        <is>
          <t>Code</t>
        </is>
      </c>
      <c r="G30" s="80" t="inlineStr">
        <is>
          <t>Viewability rule engine</t>
        </is>
      </c>
      <c r="H30" s="107" t="inlineStr">
        <is>
          <t>Formerly 4S5-BE-01 (moved 2026-10-20: the game is parked). Versioned rules — minimum visible percentage and minimum dwell — decide which renders count as viewable impressions.</t>
        </is>
      </c>
      <c r="I30" s="108" t="inlineStr">
        <is>
          <t>Blocked</t>
        </is>
      </c>
      <c r="J30" s="108" t="n">
        <v>5</v>
      </c>
      <c r="K30" s="109" t="n"/>
      <c r="L30" s="109" t="n"/>
      <c r="M30" s="110" t="n"/>
      <c r="N30" s="81" t="n">
        <v>0</v>
      </c>
      <c r="O30" s="80" t="inlineStr">
        <is>
          <t>4S4-DATA-01</t>
        </is>
      </c>
      <c r="P30" s="80" t="inlineStr">
        <is>
          <t>Viewable impressions are calculated per versioned rule and remain distinct from gross renders</t>
        </is>
      </c>
      <c r="Q30" s="82" t="inlineStr">
        <is>
          <t>Spec §30, §34</t>
        </is>
      </c>
      <c r="R30" s="74" t="inlineStr">
        <is>
          <t>Formerly 5S5-BE-01 (Phase 5 became Phase 6, 2026-10-27).</t>
        </is>
      </c>
    </row>
    <row r="31" ht="23.85" customHeight="1" s="75">
      <c r="A31" s="104" t="n">
        <v>26</v>
      </c>
      <c r="B31" s="105" t="inlineStr">
        <is>
          <t>6S5-DATA-01</t>
        </is>
      </c>
      <c r="C31" s="81" t="n">
        <v>5</v>
      </c>
      <c r="D31" s="82" t="inlineStr">
        <is>
          <t>Sprint 5 · Viewability, metrics and pricing</t>
        </is>
      </c>
      <c r="E31" s="138" t="inlineStr">
        <is>
          <t>DATA</t>
        </is>
      </c>
      <c r="F31" s="120" t="inlineStr">
        <is>
          <t>Code</t>
        </is>
      </c>
      <c r="G31" s="80" t="inlineStr">
        <is>
          <t>Virtual metric aggregation job</t>
        </is>
      </c>
      <c r="H31" s="107" t="inlineStr">
        <is>
          <t>Formerly 4S5-DATA-01 (moved 2026-10-20: the game is parked). Visits, gross impressions, viewable impressions, dwell, interactions, challenge metrics and session-level uniques.</t>
        </is>
      </c>
      <c r="I31" s="108" t="inlineStr">
        <is>
          <t>Blocked</t>
        </is>
      </c>
      <c r="J31" s="108" t="n">
        <v>5</v>
      </c>
      <c r="K31" s="109" t="n"/>
      <c r="L31" s="109" t="n"/>
      <c r="M31" s="110" t="n"/>
      <c r="N31" s="81" t="n">
        <v>0</v>
      </c>
      <c r="O31" s="80" t="inlineStr">
        <is>
          <t>6S5-BE-01</t>
        </is>
      </c>
      <c r="P31" s="80" t="inlineStr">
        <is>
          <t>Aggregates compute on schedule and dashboards read aggregates, never raw telemetry</t>
        </is>
      </c>
      <c r="Q31" s="82" t="inlineStr">
        <is>
          <t>Spec §27.3</t>
        </is>
      </c>
      <c r="R31" s="74" t="inlineStr">
        <is>
          <t>Formerly 5S5-DATA-01 (Phase 5 became Phase 6, 2026-10-27).</t>
        </is>
      </c>
    </row>
    <row r="32" ht="22.35" customHeight="1" s="75">
      <c r="A32" s="104" t="n">
        <v>27</v>
      </c>
      <c r="B32" s="105" t="inlineStr">
        <is>
          <t>6S5-DATA-02</t>
        </is>
      </c>
      <c r="C32" s="81" t="n">
        <v>5</v>
      </c>
      <c r="D32" s="82" t="inlineStr">
        <is>
          <t>Sprint 5 · Viewability, metrics and pricing</t>
        </is>
      </c>
      <c r="E32" s="138" t="inlineStr">
        <is>
          <t>DATA</t>
        </is>
      </c>
      <c r="F32" s="120" t="inlineStr">
        <is>
          <t>Code</t>
        </is>
      </c>
      <c r="G32" s="80" t="inlineStr">
        <is>
          <t>World traffic benchmarks</t>
        </is>
      </c>
      <c r="H32" s="107" t="inlineStr">
        <is>
          <t>Formerly 4S5-DATA-02 (moved 2026-10-20: the game is parked). Baseline visits, dwell and interaction rates per world and zone — the inputs to virtual pricing.</t>
        </is>
      </c>
      <c r="I32" s="108" t="inlineStr">
        <is>
          <t>Blocked</t>
        </is>
      </c>
      <c r="J32" s="108" t="n">
        <v>3</v>
      </c>
      <c r="K32" s="109" t="n"/>
      <c r="L32" s="109" t="n"/>
      <c r="M32" s="110" t="n"/>
      <c r="N32" s="81" t="n">
        <v>0</v>
      </c>
      <c r="O32" s="80" t="inlineStr">
        <is>
          <t>6S5-DATA-01</t>
        </is>
      </c>
      <c r="P32" s="80" t="inlineStr">
        <is>
          <t>Traffic benchmarks compute per world and zone</t>
        </is>
      </c>
      <c r="Q32" s="82" t="inlineStr">
        <is>
          <t>Spec §30, §32</t>
        </is>
      </c>
      <c r="R32" s="74" t="inlineStr">
        <is>
          <t>Formerly 5S5-DATA-02 (Phase 5 became Phase 6, 2026-10-27).</t>
        </is>
      </c>
    </row>
    <row r="33" ht="23.85" customHeight="1" s="75">
      <c r="A33" s="104" t="n">
        <v>28</v>
      </c>
      <c r="B33" s="105" t="inlineStr">
        <is>
          <t>6S5-FE-01</t>
        </is>
      </c>
      <c r="C33" s="81" t="n">
        <v>5</v>
      </c>
      <c r="D33" s="82" t="inlineStr">
        <is>
          <t>Sprint 5 · Viewability, metrics and pricing</t>
        </is>
      </c>
      <c r="E33" s="138" t="inlineStr">
        <is>
          <t>FE</t>
        </is>
      </c>
      <c r="F33" s="120" t="inlineStr">
        <is>
          <t>Code</t>
        </is>
      </c>
      <c r="G33" s="80" t="inlineStr">
        <is>
          <t>Build the virtual metrics dashboard</t>
        </is>
      </c>
      <c r="H33" s="107" t="inlineStr">
        <is>
          <t>Formerly 4S5-FE-01 (moved 2026-10-20: the game is parked). Visits, impressions, viewable impressions, dwell, interactions, completion and the reward funnel.</t>
        </is>
      </c>
      <c r="I33" s="108" t="inlineStr">
        <is>
          <t>Blocked</t>
        </is>
      </c>
      <c r="J33" s="108" t="n">
        <v>5</v>
      </c>
      <c r="K33" s="109" t="n"/>
      <c r="L33" s="109" t="n"/>
      <c r="M33" s="110" t="n"/>
      <c r="N33" s="81" t="n">
        <v>0</v>
      </c>
      <c r="O33" s="80" t="inlineStr">
        <is>
          <t>6S5-DATA-01</t>
        </is>
      </c>
      <c r="P33" s="80" t="inlineStr">
        <is>
          <t>Dashboard renders virtual delivery with gross and viewable clearly separated</t>
        </is>
      </c>
      <c r="Q33" s="82" t="inlineStr">
        <is>
          <t>Spec §26 P4-07</t>
        </is>
      </c>
      <c r="R33" s="74" t="inlineStr">
        <is>
          <t>Formerly 5S5-FE-01 (Phase 5 became Phase 6, 2026-10-27).</t>
        </is>
      </c>
    </row>
    <row r="34" ht="23.85" customHeight="1" s="75">
      <c r="A34" s="104" t="n">
        <v>29</v>
      </c>
      <c r="B34" s="105" t="inlineStr">
        <is>
          <t>6S5-BE-02</t>
        </is>
      </c>
      <c r="C34" s="81" t="n">
        <v>5</v>
      </c>
      <c r="D34" s="82" t="inlineStr">
        <is>
          <t>Sprint 5 · Viewability, metrics and pricing</t>
        </is>
      </c>
      <c r="E34" s="138" t="inlineStr">
        <is>
          <t>BE</t>
        </is>
      </c>
      <c r="F34" s="120" t="inlineStr">
        <is>
          <t>Code</t>
        </is>
      </c>
      <c r="G34" s="80" t="inlineStr">
        <is>
          <t>Virtual pricing model</t>
        </is>
      </c>
      <c r="H34" s="107" t="inlineStr">
        <is>
          <t>Formerly 4S5-BE-02 (moved 2026-10-20: the game is parked). Rules-based and transparent first: base rate × traffic × viewability × dwell × scarcity × exclusivity × seasonality × integration depth.</t>
        </is>
      </c>
      <c r="I34" s="108" t="inlineStr">
        <is>
          <t>Blocked</t>
        </is>
      </c>
      <c r="J34" s="108" t="n">
        <v>5</v>
      </c>
      <c r="K34" s="109" t="n"/>
      <c r="L34" s="109" t="n"/>
      <c r="M34" s="110" t="n"/>
      <c r="N34" s="81" t="n">
        <v>0</v>
      </c>
      <c r="O34" s="80" t="inlineStr">
        <is>
          <t>6S5-DATA-02</t>
        </is>
      </c>
      <c r="P34" s="80" t="inlineStr">
        <is>
          <t>A virtual placement produces a recommended rate with its factor breakdown visible</t>
        </is>
      </c>
      <c r="Q34" s="82" t="inlineStr">
        <is>
          <t>Spec §32</t>
        </is>
      </c>
      <c r="R34" s="74" t="inlineStr">
        <is>
          <t>Formerly 5S5-BE-02 (Phase 5 became Phase 6, 2026-10-27).</t>
        </is>
      </c>
    </row>
    <row r="35" ht="23.85" customHeight="1" s="75">
      <c r="A35" s="104" t="n">
        <v>30</v>
      </c>
      <c r="B35" s="105" t="inlineStr">
        <is>
          <t>6S6-BE-01</t>
        </is>
      </c>
      <c r="C35" s="81" t="n">
        <v>6</v>
      </c>
      <c r="D35" s="82" t="inlineStr">
        <is>
          <t>Sprint 6 · In-world activations and rewards</t>
        </is>
      </c>
      <c r="E35" s="138" t="inlineStr">
        <is>
          <t>BE</t>
        </is>
      </c>
      <c r="F35" s="120" t="inlineStr">
        <is>
          <t>Code</t>
        </is>
      </c>
      <c r="G35" s="80" t="inlineStr">
        <is>
          <t>Activation definition model</t>
        </is>
      </c>
      <c r="H35" s="107" t="inlineStr">
        <is>
          <t>Formerly 4S6-BE-01 (moved 2026-10-20: the game is parked). 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74" t="inlineStr">
        <is>
          <t>Formerly 5S6-BE-01 (Phase 5 became Phase 6, 2026-10-27).</t>
        </is>
      </c>
    </row>
    <row r="36" ht="23.85" customHeight="1" s="75">
      <c r="A36" s="104" t="n">
        <v>31</v>
      </c>
      <c r="B36" s="105" t="inlineStr">
        <is>
          <t>6S6-BE-02</t>
        </is>
      </c>
      <c r="C36" s="81" t="n">
        <v>6</v>
      </c>
      <c r="D36" s="82" t="inlineStr">
        <is>
          <t>Sprint 6 · In-world activations and rewards</t>
        </is>
      </c>
      <c r="E36" s="138" t="inlineStr">
        <is>
          <t>BE</t>
        </is>
      </c>
      <c r="F36" s="120" t="inlineStr">
        <is>
          <t>Code</t>
        </is>
      </c>
      <c r="G36" s="80" t="inlineStr">
        <is>
          <t>Activation start and complete flow</t>
        </is>
      </c>
      <c r="H36" s="107" t="inlineStr">
        <is>
          <t>Formerly 4S6-BE-02 (moved 2026-10-20: the game is parked). Validate completion against activation, session and user constraints before anything is awarded.</t>
        </is>
      </c>
      <c r="I36" s="108" t="inlineStr">
        <is>
          <t>Blocked</t>
        </is>
      </c>
      <c r="J36" s="108" t="n">
        <v>5</v>
      </c>
      <c r="K36" s="109" t="n"/>
      <c r="L36" s="109" t="n"/>
      <c r="M36" s="110" t="n"/>
      <c r="N36" s="81" t="n">
        <v>0</v>
      </c>
      <c r="O36" s="80" t="inlineStr">
        <is>
          <t>6S6-BE-01</t>
        </is>
      </c>
      <c r="P36" s="80" t="inlineStr">
        <is>
          <t>Activation can start and complete, validated against its eligibility rules</t>
        </is>
      </c>
      <c r="Q36" s="82" t="inlineStr">
        <is>
          <t>Spec §27.4</t>
        </is>
      </c>
      <c r="R36" s="74" t="inlineStr">
        <is>
          <t>Formerly 5S6-BE-02 (Phase 5 became Phase 6, 2026-10-27).</t>
        </is>
      </c>
    </row>
    <row r="37" ht="23.85" customHeight="1" s="75">
      <c r="A37" s="104" t="n">
        <v>32</v>
      </c>
      <c r="B37" s="105" t="inlineStr">
        <is>
          <t>6S6-BE-03</t>
        </is>
      </c>
      <c r="C37" s="81" t="n">
        <v>6</v>
      </c>
      <c r="D37" s="82" t="inlineStr">
        <is>
          <t>Sprint 6 · In-world activations and rewards</t>
        </is>
      </c>
      <c r="E37" s="138" t="inlineStr">
        <is>
          <t>BE</t>
        </is>
      </c>
      <c r="F37" s="120" t="inlineStr">
        <is>
          <t>Code</t>
        </is>
      </c>
      <c r="G37" s="80" t="inlineStr">
        <is>
          <t>Reward trigger with exactly-once guarantee</t>
        </is>
      </c>
      <c r="H37" s="107" t="inlineStr">
        <is>
          <t>Formerly 4S6-BE-03 (moved 2026-10-20: the game is parked). 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6S6-BE-02</t>
        </is>
      </c>
      <c r="P37" s="80" t="inlineStr">
        <is>
          <t>An activation triggers a SponsorX reward exactly once per configured eligibility rule</t>
        </is>
      </c>
      <c r="Q37" s="82" t="inlineStr">
        <is>
          <t>Spec §34</t>
        </is>
      </c>
      <c r="R37" s="74" t="inlineStr">
        <is>
          <t>Formerly 5S6-BE-03 (Phase 5 became Phase 6, 2026-10-27).</t>
        </is>
      </c>
    </row>
    <row r="38" ht="23.85" customHeight="1" s="75">
      <c r="A38" s="104" t="n">
        <v>33</v>
      </c>
      <c r="B38" s="105" t="inlineStr">
        <is>
          <t>6S6-INT-01</t>
        </is>
      </c>
      <c r="C38" s="81" t="n">
        <v>6</v>
      </c>
      <c r="D38" s="82" t="inlineStr">
        <is>
          <t>Sprint 6 · In-world activations and rewards</t>
        </is>
      </c>
      <c r="E38" s="138" t="inlineStr">
        <is>
          <t>INT</t>
        </is>
      </c>
      <c r="F38" s="120" t="inlineStr">
        <is>
          <t>Code</t>
        </is>
      </c>
      <c r="G38" s="80" t="inlineStr">
        <is>
          <t>Wire in-world rewards to the wallet service</t>
        </is>
      </c>
      <c r="H38" s="107" t="inlineStr">
        <is>
          <t>Formerly 4S6-INT-01 (moved 2026-10-20: the game is parked). Completion produces a claim token and deep link; the fan receives it in-world and optionally by wallet, SMS or email.</t>
        </is>
      </c>
      <c r="I38" s="108" t="inlineStr">
        <is>
          <t>Blocked</t>
        </is>
      </c>
      <c r="J38" s="108" t="n">
        <v>3</v>
      </c>
      <c r="K38" s="109" t="n"/>
      <c r="L38" s="109" t="n"/>
      <c r="M38" s="110" t="n"/>
      <c r="N38" s="81" t="n">
        <v>0</v>
      </c>
      <c r="O38" s="80" t="inlineStr">
        <is>
          <t>6S6-BE-03</t>
        </is>
      </c>
      <c r="P38" s="80" t="inlineStr">
        <is>
          <t>A completed activation delivers a reward through the existing reward and wallet services</t>
        </is>
      </c>
      <c r="Q38" s="82" t="inlineStr">
        <is>
          <t>Spec §27.4</t>
        </is>
      </c>
      <c r="R38" s="74" t="inlineStr">
        <is>
          <t>Formerly 5S6-INT-01 (Phase 5 became Phase 6, 2026-10-27).</t>
        </is>
      </c>
    </row>
    <row r="39" ht="23.85" customHeight="1" s="75">
      <c r="A39" s="104" t="n">
        <v>34</v>
      </c>
      <c r="B39" s="105" t="inlineStr">
        <is>
          <t>6S6-FE-01</t>
        </is>
      </c>
      <c r="C39" s="81" t="n">
        <v>6</v>
      </c>
      <c r="D39" s="82" t="inlineStr">
        <is>
          <t>Sprint 6 · In-world activations and rewards</t>
        </is>
      </c>
      <c r="E39" s="138" t="inlineStr">
        <is>
          <t>FE</t>
        </is>
      </c>
      <c r="F39" s="120" t="inlineStr">
        <is>
          <t>Code</t>
        </is>
      </c>
      <c r="G39" s="80" t="inlineStr">
        <is>
          <t>Build the activation builder</t>
        </is>
      </c>
      <c r="H39" s="107" t="inlineStr">
        <is>
          <t>Formerly 4S6-FE-01 (moved 2026-10-20: the game is parked). Challenge rules, start condition, completion criteria, reward trigger and sponsor content.</t>
        </is>
      </c>
      <c r="I39" s="108" t="inlineStr">
        <is>
          <t>Blocked</t>
        </is>
      </c>
      <c r="J39" s="108" t="n">
        <v>5</v>
      </c>
      <c r="K39" s="109" t="n"/>
      <c r="L39" s="109" t="n"/>
      <c r="M39" s="110" t="n"/>
      <c r="N39" s="81" t="n">
        <v>0</v>
      </c>
      <c r="O39" s="80" t="inlineStr">
        <is>
          <t>6S8-ART-01</t>
        </is>
      </c>
      <c r="P39" s="80" t="inlineStr">
        <is>
          <t>A campaign manager can build and publish an activation without engineering help</t>
        </is>
      </c>
      <c r="Q39" s="82" t="inlineStr">
        <is>
          <t>Spec §26 P4-06</t>
        </is>
      </c>
      <c r="R39" s="74" t="inlineStr">
        <is>
          <t>Formerly 5S6-FE-01 (Phase 5 became Phase 6, 2026-10-27).</t>
        </is>
      </c>
    </row>
    <row r="40" ht="23.85" customHeight="1" s="75">
      <c r="A40" s="104" t="n">
        <v>35</v>
      </c>
      <c r="B40" s="105" t="inlineStr">
        <is>
          <t>6S7-DATA-01</t>
        </is>
      </c>
      <c r="C40" s="81" t="n">
        <v>7</v>
      </c>
      <c r="D40" s="82" t="inlineStr">
        <is>
          <t>Sprint 7 · Game reporting and operations</t>
        </is>
      </c>
      <c r="E40" s="138" t="inlineStr">
        <is>
          <t>DATA</t>
        </is>
      </c>
      <c r="F40" s="120" t="inlineStr">
        <is>
          <t>Code</t>
        </is>
      </c>
      <c r="G40" s="80" t="inlineStr">
        <is>
          <t>Cross-channel aggregation without double counting</t>
        </is>
      </c>
      <c r="H40" s="107" t="inlineStr">
        <is>
          <t>Formerly 4S7-DATA-01 (moved 2026-10-20: the game is parked). The hard part. A fan who scans a QR and completes an in-world challenge is one person, and must not be counted twice.</t>
        </is>
      </c>
      <c r="I40" s="108" t="inlineStr">
        <is>
          <t>Blocked</t>
        </is>
      </c>
      <c r="J40" s="108" t="n">
        <v>5</v>
      </c>
      <c r="K40" s="109" t="n"/>
      <c r="L40" s="109" t="n"/>
      <c r="M40" s="110" t="n"/>
      <c r="N40" s="81" t="n">
        <v>0</v>
      </c>
      <c r="O40" s="80" t="inlineStr">
        <is>
          <t>4S7-BE-01</t>
        </is>
      </c>
      <c r="P40" s="80" t="inlineStr">
        <is>
          <t>Cross-channel dashboard shows INFINEX metrics alongside other channels without double counting</t>
        </is>
      </c>
      <c r="Q40" s="82" t="inlineStr">
        <is>
          <t>Spec §34</t>
        </is>
      </c>
      <c r="R40" s="74" t="inlineStr">
        <is>
          <t>Formerly 5S7-DATA-01 (Phase 5 became Phase 6, 2026-10-27).</t>
        </is>
      </c>
    </row>
    <row r="41" ht="23.85" customHeight="1" s="75">
      <c r="A41" s="104" t="n">
        <v>36</v>
      </c>
      <c r="B41" s="105" t="inlineStr">
        <is>
          <t>6S7-FE-01</t>
        </is>
      </c>
      <c r="C41" s="81" t="n">
        <v>7</v>
      </c>
      <c r="D41" s="82" t="inlineStr">
        <is>
          <t>Sprint 7 · Game reporting and operations</t>
        </is>
      </c>
      <c r="E41" s="138" t="inlineStr">
        <is>
          <t>FE</t>
        </is>
      </c>
      <c r="F41" s="120" t="inlineStr">
        <is>
          <t>Code</t>
        </is>
      </c>
      <c r="G41" s="80" t="inlineStr">
        <is>
          <t>Build the cross-channel campaign dashboard</t>
        </is>
      </c>
      <c r="H41" s="107" t="inlineStr">
        <is>
          <t>Formerly 4S7-FE-01 (moved 2026-10-20: the game is parked). Compare INFINEX against social, streaming, event and athlete inventory in one view.</t>
        </is>
      </c>
      <c r="I41" s="108" t="inlineStr">
        <is>
          <t>Blocked</t>
        </is>
      </c>
      <c r="J41" s="108" t="n">
        <v>5</v>
      </c>
      <c r="K41" s="109" t="n"/>
      <c r="L41" s="109" t="n"/>
      <c r="M41" s="110" t="n"/>
      <c r="N41" s="81" t="n">
        <v>0</v>
      </c>
      <c r="O41" s="80" t="inlineStr">
        <is>
          <t>6S7-DATA-01</t>
        </is>
      </c>
      <c r="P41" s="80" t="inlineStr">
        <is>
          <t>Dashboard compares all channels on consistent metrics</t>
        </is>
      </c>
      <c r="Q41" s="82" t="inlineStr">
        <is>
          <t>Spec §26 P4-08</t>
        </is>
      </c>
      <c r="R41" s="74" t="inlineStr">
        <is>
          <t>Formerly 5S7-FE-01 (Phase 5 became Phase 6, 2026-10-27).</t>
        </is>
      </c>
    </row>
    <row r="42" ht="22.35" customHeight="1" s="75">
      <c r="A42" s="104" t="n">
        <v>37</v>
      </c>
      <c r="B42" s="105" t="inlineStr">
        <is>
          <t>6S7-FE-02</t>
        </is>
      </c>
      <c r="C42" s="81" t="n">
        <v>7</v>
      </c>
      <c r="D42" s="82" t="inlineStr">
        <is>
          <t>Sprint 7 · Game reporting and operations</t>
        </is>
      </c>
      <c r="E42" s="138" t="inlineStr">
        <is>
          <t>FE</t>
        </is>
      </c>
      <c r="F42" s="120" t="inlineStr">
        <is>
          <t>Code</t>
        </is>
      </c>
      <c r="G42" s="80" t="inlineStr">
        <is>
          <t>Build the sponsor activation report</t>
        </is>
      </c>
      <c r="H42" s="107" t="inlineStr">
        <is>
          <t>Formerly 4S7-FE-02 (moved 2026-10-20: the game is parked). Virtual activation summary with content, engagement, rewards, screenshots and proofs, and recommended next actions.</t>
        </is>
      </c>
      <c r="I42" s="108" t="inlineStr">
        <is>
          <t>Blocked</t>
        </is>
      </c>
      <c r="J42" s="108" t="n">
        <v>5</v>
      </c>
      <c r="K42" s="109" t="n"/>
      <c r="L42" s="109" t="n"/>
      <c r="M42" s="110" t="n"/>
      <c r="N42" s="81" t="n">
        <v>0</v>
      </c>
      <c r="O42" s="80" t="inlineStr">
        <is>
          <t>6S5-FE-01</t>
        </is>
      </c>
      <c r="P42" s="80" t="inlineStr">
        <is>
          <t>A pilot sponsor receives a report with virtual delivery, interaction, reward funnel and creative proof</t>
        </is>
      </c>
      <c r="Q42" s="82" t="inlineStr">
        <is>
          <t>Spec §26 P4-11, §34</t>
        </is>
      </c>
      <c r="R42" s="74" t="inlineStr">
        <is>
          <t>Formerly 5S7-FE-02 (Phase 5 became Phase 6, 2026-10-27).</t>
        </is>
      </c>
    </row>
    <row r="43" ht="23.85" customHeight="1" s="75">
      <c r="A43" s="104" t="n">
        <v>38</v>
      </c>
      <c r="B43" s="105" t="inlineStr">
        <is>
          <t>6S7-FE-03</t>
        </is>
      </c>
      <c r="C43" s="81" t="n">
        <v>7</v>
      </c>
      <c r="D43" s="82" t="inlineStr">
        <is>
          <t>Sprint 7 · Game reporting and operations</t>
        </is>
      </c>
      <c r="E43" s="138" t="inlineStr">
        <is>
          <t>FE</t>
        </is>
      </c>
      <c r="F43" s="120" t="inlineStr">
        <is>
          <t>Code</t>
        </is>
      </c>
      <c r="G43" s="80" t="inlineStr">
        <is>
          <t>Build the world heatmap and zone insights</t>
        </is>
      </c>
      <c r="H43" s="107" t="inlineStr">
        <is>
          <t>Formerly 4S7-FE-03 (moved 2026-10-20: the game is parked). Aggregated zone traffic and engagement, where INFINEX telemetry supports it.</t>
        </is>
      </c>
      <c r="I43" s="108" t="inlineStr">
        <is>
          <t>Blocked</t>
        </is>
      </c>
      <c r="J43" s="108" t="n">
        <v>5</v>
      </c>
      <c r="K43" s="109" t="n"/>
      <c r="L43" s="109" t="n"/>
      <c r="M43" s="110" t="n"/>
      <c r="N43" s="81" t="n">
        <v>0</v>
      </c>
      <c r="O43" s="80" t="inlineStr">
        <is>
          <t>6S5-DATA-02</t>
        </is>
      </c>
      <c r="P43" s="80" t="inlineStr">
        <is>
          <t>Heatmap renders zone-level traffic and engagement</t>
        </is>
      </c>
      <c r="Q43" s="82" t="inlineStr">
        <is>
          <t>Spec §26 P4-12</t>
        </is>
      </c>
      <c r="R43" s="74" t="inlineStr">
        <is>
          <t>Formerly 5S7-FE-03 (Phase 5 became Phase 6, 2026-10-27).</t>
        </is>
      </c>
    </row>
    <row r="44" ht="22.35" customHeight="1" s="75">
      <c r="A44" s="104" t="n">
        <v>39</v>
      </c>
      <c r="B44" s="105" t="inlineStr">
        <is>
          <t>6S7-FE-04</t>
        </is>
      </c>
      <c r="C44" s="81" t="n">
        <v>7</v>
      </c>
      <c r="D44" s="82" t="inlineStr">
        <is>
          <t>Sprint 7 · Game reporting and operations</t>
        </is>
      </c>
      <c r="E44" s="138" t="inlineStr">
        <is>
          <t>FE</t>
        </is>
      </c>
      <c r="F44" s="120" t="inlineStr">
        <is>
          <t>Code</t>
        </is>
      </c>
      <c r="G44" s="80" t="inlineStr">
        <is>
          <t>Build the INFINEX operations console</t>
        </is>
      </c>
      <c r="H44" s="107" t="inlineStr">
        <is>
          <t>Formerly 4S8-FE-01 (moved 2026-10-20: the game is parked). Health, event lag, placement failures, creative mismatch, kill switch and incident log.</t>
        </is>
      </c>
      <c r="I44" s="108" t="inlineStr">
        <is>
          <t>Blocked</t>
        </is>
      </c>
      <c r="J44" s="108" t="n">
        <v>5</v>
      </c>
      <c r="K44" s="109" t="n"/>
      <c r="L44" s="109" t="n"/>
      <c r="M44" s="110" t="n"/>
      <c r="N44" s="81" t="n">
        <v>0</v>
      </c>
      <c r="O44" s="80" t="inlineStr">
        <is>
          <t>4S3-INT-02</t>
        </is>
      </c>
      <c r="P44" s="80" t="inlineStr">
        <is>
          <t>Console displays event lag, client heartbeat, deployment failures and active incidents</t>
        </is>
      </c>
      <c r="Q44" s="82" t="inlineStr">
        <is>
          <t>Spec §26 P4-09, §34</t>
        </is>
      </c>
      <c r="R44" s="74" t="inlineStr">
        <is>
          <t>Formerly 5S7-FE-04 (Phase 5 became Phase 6, 2026-10-27).</t>
        </is>
      </c>
    </row>
    <row r="45" ht="23.85" customHeight="1" s="75">
      <c r="A45" s="104" t="n">
        <v>40</v>
      </c>
      <c r="B45" s="105" t="inlineStr">
        <is>
          <t>6S7-DATA-02</t>
        </is>
      </c>
      <c r="C45" s="81" t="n">
        <v>7</v>
      </c>
      <c r="D45" s="82" t="inlineStr">
        <is>
          <t>Sprint 7 · Game reporting and operations</t>
        </is>
      </c>
      <c r="E45" s="138" t="inlineStr">
        <is>
          <t>DATA</t>
        </is>
      </c>
      <c r="F45" s="120" t="inlineStr">
        <is>
          <t>Code</t>
        </is>
      </c>
      <c r="G45" s="80" t="inlineStr">
        <is>
          <t>Virtual fraud and anomaly checks</t>
        </is>
      </c>
      <c r="H45" s="107" t="inlineStr">
        <is>
          <t>Formerly 4S8-DATA-01 (moved 2026-10-20: the game is parked). Invalid or suspicious event patterns flagged before they reach a sponsor report — this is Phase 3's anomaly work applied to telemetry.</t>
        </is>
      </c>
      <c r="I45" s="108" t="inlineStr">
        <is>
          <t>Blocked</t>
        </is>
      </c>
      <c r="J45" s="108" t="n">
        <v>5</v>
      </c>
      <c r="K45" s="109" t="n"/>
      <c r="L45" s="109" t="n"/>
      <c r="M45" s="110" t="n"/>
      <c r="N45" s="81" t="n">
        <v>0</v>
      </c>
      <c r="O45" s="80" t="inlineStr">
        <is>
          <t>6S4-BE-01</t>
        </is>
      </c>
      <c r="P45" s="80" t="inlineStr">
        <is>
          <t>Suspicious event patterns are flagged and excluded from sponsor-facing aggregates</t>
        </is>
      </c>
      <c r="Q45" s="82" t="inlineStr">
        <is>
          <t>Spec §27.3</t>
        </is>
      </c>
      <c r="R45" s="74" t="inlineStr">
        <is>
          <t>Formerly 5S7-DATA-02 (Phase 5 became Phase 6, 2026-10-27).</t>
        </is>
      </c>
    </row>
    <row r="46" ht="23.85" customHeight="1" s="75">
      <c r="A46" s="104" t="n">
        <v>41</v>
      </c>
      <c r="B46" s="105" t="inlineStr">
        <is>
          <t>6S8-ART-01</t>
        </is>
      </c>
      <c r="C46" s="81" t="n">
        <v>8</v>
      </c>
      <c r="D46" s="82" t="inlineStr">
        <is>
          <t>Sprint 8 · Virtual inventory screens, controls and launch</t>
        </is>
      </c>
      <c r="E46" s="138" t="inlineStr">
        <is>
          <t>ART</t>
        </is>
      </c>
      <c r="F46" s="120" t="inlineStr">
        <is>
          <t>Design tool</t>
        </is>
      </c>
      <c r="G46" s="80" t="inlineStr">
        <is>
          <t>Design the virtual admin and sponsor screens</t>
        </is>
      </c>
      <c r="H46" s="107" t="inlineStr">
        <is>
          <t>Formerly 4S0-ART-01 (moved 2026-10-20: the game is parked). Twelve new screens including placement preview metadata, activation builder and the world heatmap. Placement specs need a designer who understands 3D constraints.</t>
        </is>
      </c>
      <c r="I46" s="108" t="inlineStr">
        <is>
          <t>Code review</t>
        </is>
      </c>
      <c r="J46" s="108" t="n">
        <v>5</v>
      </c>
      <c r="K46" s="109" t="n">
        <v>46294</v>
      </c>
      <c r="L46" s="109" t="n"/>
      <c r="M46" s="110" t="inlineStr">
        <is>
          <t>rcfworks</t>
        </is>
      </c>
      <c r="N46" s="81" t="n">
        <v>0</v>
      </c>
      <c r="O46" s="80" t="inlineStr">
        <is>
          <t>4S0-PMO-02</t>
        </is>
      </c>
      <c r="P46" s="80" t="inlineStr">
        <is>
          <t>All 12 Phase 4 screens designed, with creative technical constraints specified per placement type</t>
        </is>
      </c>
      <c r="Q46" s="82" t="inlineStr">
        <is>
          <t>Spec §26</t>
        </is>
      </c>
      <c r="R46" s="74"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 | Formerly 5S8-ART-01 (Phase 5 became Phase 6, 2026-10-27).</t>
        </is>
      </c>
    </row>
    <row r="47" ht="22.35" customHeight="1" s="75">
      <c r="A47" s="104" t="n">
        <v>42</v>
      </c>
      <c r="B47" s="105" t="inlineStr">
        <is>
          <t>6S8-FE-01</t>
        </is>
      </c>
      <c r="C47" s="81" t="n">
        <v>8</v>
      </c>
      <c r="D47" s="82" t="inlineStr">
        <is>
          <t>Sprint 8 · Virtual inventory screens, controls and launch</t>
        </is>
      </c>
      <c r="E47" s="138" t="inlineStr">
        <is>
          <t>FE</t>
        </is>
      </c>
      <c r="F47" s="120" t="inlineStr">
        <is>
          <t>Code</t>
        </is>
      </c>
      <c r="G47" s="80" t="inlineStr">
        <is>
          <t>Build the world registry screen</t>
        </is>
      </c>
      <c r="H47" s="107" t="inlineStr">
        <is>
          <t>Formerly 4S1-FE-01 (moved 2026-10-20: the game is parked). Worlds, districts, venues, zones, environment IDs and operational status.</t>
        </is>
      </c>
      <c r="I47" s="108" t="inlineStr">
        <is>
          <t>Blocked</t>
        </is>
      </c>
      <c r="J47" s="108" t="n">
        <v>3</v>
      </c>
      <c r="K47" s="109" t="n"/>
      <c r="L47" s="109" t="n"/>
      <c r="M47" s="110" t="n"/>
      <c r="N47" s="81" t="n">
        <v>0</v>
      </c>
      <c r="O47" s="80" t="inlineStr">
        <is>
          <t>6S8-ART-01</t>
        </is>
      </c>
      <c r="P47" s="80" t="inlineStr">
        <is>
          <t>Admin can register and manage worlds and zones</t>
        </is>
      </c>
      <c r="Q47" s="82" t="inlineStr">
        <is>
          <t>Spec §26 P4-01</t>
        </is>
      </c>
      <c r="R47" s="74" t="inlineStr">
        <is>
          <t>Formerly 5S8-FE-01 (Phase 5 became Phase 6, 2026-10-27).</t>
        </is>
      </c>
    </row>
    <row r="48" ht="23.85" customHeight="1" s="75">
      <c r="A48" s="104" t="n">
        <v>43</v>
      </c>
      <c r="B48" s="105" t="inlineStr">
        <is>
          <t>6S8-FE-02</t>
        </is>
      </c>
      <c r="C48" s="81" t="n">
        <v>8</v>
      </c>
      <c r="D48" s="82" t="inlineStr">
        <is>
          <t>Sprint 8 · Virtual inventory screens, controls and launch</t>
        </is>
      </c>
      <c r="E48" s="138" t="inlineStr">
        <is>
          <t>FE</t>
        </is>
      </c>
      <c r="F48" s="120" t="inlineStr">
        <is>
          <t>Code</t>
        </is>
      </c>
      <c r="G48" s="80" t="inlineStr">
        <is>
          <t>Build the placement manager</t>
        </is>
      </c>
      <c r="H48" s="107" t="inlineStr">
        <is>
          <t>Formerly 4S1-FE-02 (moved 2026-10-20: the game is parked). Placement IDs, dimensions and type, zone, viewability rules, dates and pricing.</t>
        </is>
      </c>
      <c r="I48" s="108" t="inlineStr">
        <is>
          <t>Blocked</t>
        </is>
      </c>
      <c r="J48" s="108" t="n">
        <v>5</v>
      </c>
      <c r="K48" s="109" t="n"/>
      <c r="L48" s="109" t="n"/>
      <c r="M48" s="110" t="n"/>
      <c r="N48" s="81" t="n">
        <v>0</v>
      </c>
      <c r="O48" s="80" t="inlineStr">
        <is>
          <t>4S1-BE-02</t>
        </is>
      </c>
      <c r="P48" s="80" t="inlineStr">
        <is>
          <t>Admin can create, configure and price placements</t>
        </is>
      </c>
      <c r="Q48" s="82" t="inlineStr">
        <is>
          <t>Spec §26 P4-02</t>
        </is>
      </c>
      <c r="R48" s="74" t="inlineStr">
        <is>
          <t>Formerly 5S8-FE-02 (Phase 5 became Phase 6, 2026-10-27).</t>
        </is>
      </c>
    </row>
    <row r="49" ht="23.85" customHeight="1" s="75">
      <c r="A49" s="104" t="n">
        <v>44</v>
      </c>
      <c r="B49" s="105" t="inlineStr">
        <is>
          <t>6S8-FE-03</t>
        </is>
      </c>
      <c r="C49" s="81" t="n">
        <v>8</v>
      </c>
      <c r="D49" s="82" t="inlineStr">
        <is>
          <t>Sprint 8 · Virtual inventory screens, controls and launch</t>
        </is>
      </c>
      <c r="E49" s="138" t="inlineStr">
        <is>
          <t>FE</t>
        </is>
      </c>
      <c r="F49" s="120" t="inlineStr">
        <is>
          <t>Code</t>
        </is>
      </c>
      <c r="G49" s="80" t="inlineStr">
        <is>
          <t>Build placement preview metadata</t>
        </is>
      </c>
      <c r="H49" s="107" t="inlineStr">
        <is>
          <t>Formerly 4S1-FE-03 (moved 2026-10-20: the game is parked). Thumbnail, orientation, allowed creative types, technical constraints and placement test status — so a sponsor knows what they are buying.</t>
        </is>
      </c>
      <c r="I49" s="108" t="inlineStr">
        <is>
          <t>Blocked</t>
        </is>
      </c>
      <c r="J49" s="108" t="n">
        <v>3</v>
      </c>
      <c r="K49" s="109" t="n"/>
      <c r="L49" s="109" t="n"/>
      <c r="M49" s="110" t="n"/>
      <c r="N49" s="81" t="n">
        <v>0</v>
      </c>
      <c r="O49" s="80" t="inlineStr">
        <is>
          <t>4S1-BE-02</t>
        </is>
      </c>
      <c r="P49" s="80" t="inlineStr">
        <is>
          <t>Preview metadata renders and shows the placement's staging test status</t>
        </is>
      </c>
      <c r="Q49" s="82" t="inlineStr">
        <is>
          <t>Spec §26 P4-03</t>
        </is>
      </c>
      <c r="R49" s="74" t="inlineStr">
        <is>
          <t>Formerly 5S8-FE-03 (Phase 5 became Phase 6, 2026-10-27).</t>
        </is>
      </c>
    </row>
    <row r="50" ht="23.85" customHeight="1" s="75">
      <c r="A50" s="104" t="n">
        <v>45</v>
      </c>
      <c r="B50" s="105" t="inlineStr">
        <is>
          <t>6S8-FE-04</t>
        </is>
      </c>
      <c r="C50" s="81" t="n">
        <v>8</v>
      </c>
      <c r="D50" s="82" t="inlineStr">
        <is>
          <t>Sprint 8 · Virtual inventory screens, controls and launch</t>
        </is>
      </c>
      <c r="E50" s="138" t="inlineStr">
        <is>
          <t>FE</t>
        </is>
      </c>
      <c r="F50" s="120" t="inlineStr">
        <is>
          <t>Code</t>
        </is>
      </c>
      <c r="G50" s="80" t="inlineStr">
        <is>
          <t>Build the creative deployment console</t>
        </is>
      </c>
      <c r="H50" s="107" t="inlineStr">
        <is>
          <t>Formerly 4S2-FE-01 (moved 2026-10-20: the game is parked). Assign creative version, approve, schedule, publish and roll back.</t>
        </is>
      </c>
      <c r="I50" s="108" t="inlineStr">
        <is>
          <t>Blocked</t>
        </is>
      </c>
      <c r="J50" s="108" t="n">
        <v>5</v>
      </c>
      <c r="K50" s="109" t="n"/>
      <c r="L50" s="109" t="n"/>
      <c r="M50" s="110" t="n"/>
      <c r="N50" s="81" t="n">
        <v>0</v>
      </c>
      <c r="O50" s="80" t="inlineStr">
        <is>
          <t>6S8-ART-01</t>
        </is>
      </c>
      <c r="P50" s="80" t="inlineStr">
        <is>
          <t>Staff can run the full deployment lifecycle from the console</t>
        </is>
      </c>
      <c r="Q50" s="82" t="inlineStr">
        <is>
          <t>Spec §26 P4-05</t>
        </is>
      </c>
      <c r="R50" s="74" t="inlineStr">
        <is>
          <t>Formerly 5S8-FE-04 (Phase 5 became Phase 6, 2026-10-27).</t>
        </is>
      </c>
    </row>
    <row r="51" ht="23.85" customHeight="1" s="75">
      <c r="A51" s="104" t="n">
        <v>46</v>
      </c>
      <c r="B51" s="105" t="inlineStr">
        <is>
          <t>6S8-BE-01</t>
        </is>
      </c>
      <c r="C51" s="81" t="n">
        <v>8</v>
      </c>
      <c r="D51" s="82" t="inlineStr">
        <is>
          <t>Sprint 8 · Virtual inventory screens, controls and launch</t>
        </is>
      </c>
      <c r="E51" s="138" t="inlineStr">
        <is>
          <t>BE</t>
        </is>
      </c>
      <c r="F51" s="120" t="inlineStr">
        <is>
          <t>Code</t>
        </is>
      </c>
      <c r="G51" s="80" t="inlineStr">
        <is>
          <t>Emergency pause and kill switch</t>
        </is>
      </c>
      <c r="H51" s="107" t="inlineStr">
        <is>
          <t>Formerly 4S8-BE-01 (moved 2026-10-20: the game is parked). One control that takes a sponsor's creative down across every world immediately. You will need it on a Friday evening.</t>
        </is>
      </c>
      <c r="I51" s="108" t="inlineStr">
        <is>
          <t>Blocked</t>
        </is>
      </c>
      <c r="J51" s="108" t="n">
        <v>3</v>
      </c>
      <c r="K51" s="109" t="n"/>
      <c r="L51" s="109" t="n"/>
      <c r="M51" s="110" t="n"/>
      <c r="N51" s="81" t="n">
        <v>0</v>
      </c>
      <c r="O51" s="80" t="inlineStr">
        <is>
          <t>4S2-BE-05</t>
        </is>
      </c>
      <c r="P51" s="80" t="inlineStr">
        <is>
          <t>Emergency pause removes creative from all worlds within the agreed time target</t>
        </is>
      </c>
      <c r="Q51" s="82" t="inlineStr">
        <is>
          <t>Spec §28</t>
        </is>
      </c>
      <c r="R51" s="74" t="inlineStr">
        <is>
          <t>Formerly 5S8-BE-01 (Phase 5 became Phase 6, 2026-10-27).</t>
        </is>
      </c>
    </row>
    <row r="52" s="75">
      <c r="A52" s="104" t="n">
        <v>47</v>
      </c>
      <c r="B52" s="105" t="inlineStr">
        <is>
          <t>6S8-BE-02</t>
        </is>
      </c>
      <c r="C52" s="81" t="n">
        <v>8</v>
      </c>
      <c r="D52" s="82" t="inlineStr">
        <is>
          <t>Sprint 8 · Virtual inventory screens, controls and launch</t>
        </is>
      </c>
      <c r="E52" s="138" t="inlineStr">
        <is>
          <t>BE</t>
        </is>
      </c>
      <c r="F52" s="120" t="inlineStr">
        <is>
          <t>Code</t>
        </is>
      </c>
      <c r="G52" s="80" t="inlineStr">
        <is>
          <t>Deployment incident log</t>
        </is>
      </c>
      <c r="H52" s="107" t="inlineStr">
        <is>
          <t>Formerly 4S8-BE-02 (moved 2026-10-20: the game is parked). Type, severity, opened and closed times, notes. Ops history a sponsor can be shown.</t>
        </is>
      </c>
      <c r="I52" s="108" t="inlineStr">
        <is>
          <t>Blocked</t>
        </is>
      </c>
      <c r="J52" s="108" t="n">
        <v>3</v>
      </c>
      <c r="K52" s="109" t="n"/>
      <c r="L52" s="109" t="n"/>
      <c r="M52" s="110" t="n"/>
      <c r="N52" s="81" t="n">
        <v>0</v>
      </c>
      <c r="O52" s="80" t="inlineStr">
        <is>
          <t>6S8-BE-01</t>
        </is>
      </c>
      <c r="P52" s="80" t="inlineStr">
        <is>
          <t>Incidents are logged, tracked and closable with notes</t>
        </is>
      </c>
      <c r="Q52" s="82" t="inlineStr">
        <is>
          <t>Spec §30</t>
        </is>
      </c>
      <c r="R52" s="74" t="inlineStr">
        <is>
          <t>Formerly 5S8-BE-02 (Phase 5 became Phase 6, 2026-10-27).</t>
        </is>
      </c>
    </row>
    <row r="53" s="75">
      <c r="A53" s="104" t="n">
        <v>48</v>
      </c>
      <c r="B53" s="105" t="inlineStr">
        <is>
          <t>6S8-PMO-01</t>
        </is>
      </c>
      <c r="C53" s="81" t="n">
        <v>8</v>
      </c>
      <c r="D53" s="82" t="inlineStr">
        <is>
          <t>Sprint 8 · Virtual inventory screens, controls and launch</t>
        </is>
      </c>
      <c r="E53" s="138" t="inlineStr">
        <is>
          <t>PMO</t>
        </is>
      </c>
      <c r="F53" s="120" t="inlineStr">
        <is>
          <t>Document</t>
        </is>
      </c>
      <c r="G53" s="80" t="inlineStr">
        <is>
          <t>Phase 4 UAT</t>
        </is>
      </c>
      <c r="H53" s="107" t="inlineStr">
        <is>
          <t>Formerly 4S9-PMO-02 (moved 2026-10-20: the game is parked). The web application walked end to end: BTG registers a world and its placements, sells a placement into a campaign, deploys, pauses and rolls back creative, and uses the emergency pause, all from SponsorX's screens. Since 2026-10-20 nothing here needs the game.</t>
        </is>
      </c>
      <c r="I53" s="108" t="inlineStr">
        <is>
          <t>Blocked</t>
        </is>
      </c>
      <c r="J53" s="108" t="n">
        <v>5</v>
      </c>
      <c r="K53" s="109" t="n"/>
      <c r="L53" s="109" t="n"/>
      <c r="M53" s="110" t="n"/>
      <c r="N53" s="81" t="n">
        <v>0</v>
      </c>
      <c r="O53" s="80" t="inlineStr">
        <is>
          <t>6S8-FE-01, 6S8-FE-02, 6S8-FE-03, 6S8-FE-04, 6S8-BE-02</t>
        </is>
      </c>
      <c r="P53" s="80" t="inlineStr">
        <is>
          <t>Phase 6 criteria 14 and 15 demonstrated and signed off</t>
        </is>
      </c>
      <c r="Q53" s="82" t="inlineStr">
        <is>
          <t>Spec §34</t>
        </is>
      </c>
      <c r="R53" s="74" t="inlineStr">
        <is>
          <t>Changed 2026-10-16 (user): no longer waits on the pilot world (now Phase 6). | Formerly 5S8-PMO-01 (Phase 5 became Phase 6, 2026-10-27).</t>
        </is>
      </c>
    </row>
    <row r="54" s="75">
      <c r="A54" s="104" t="n">
        <v>49</v>
      </c>
      <c r="B54" s="105" t="inlineStr">
        <is>
          <t>6S8-OPS-01</t>
        </is>
      </c>
      <c r="C54" s="81" t="n">
        <v>8</v>
      </c>
      <c r="D54" s="82" t="inlineStr">
        <is>
          <t>Sprint 8 · Virtual inventory screens, controls and launch</t>
        </is>
      </c>
      <c r="E54" s="138" t="inlineStr">
        <is>
          <t>OPS</t>
        </is>
      </c>
      <c r="F54" s="120" t="inlineStr">
        <is>
          <t>Vendor console</t>
        </is>
      </c>
      <c r="G54" s="80" t="inlineStr">
        <is>
          <t>Production rollout and incident readiness</t>
        </is>
      </c>
      <c r="H54" s="107" t="inlineStr">
        <is>
          <t>Formerly 4S9-OPS-01 (moved 2026-10-20: the game is parked). Streaming, observability, scaling and an on-call path before the first paying virtual sponsor.</t>
        </is>
      </c>
      <c r="I54" s="108" t="inlineStr">
        <is>
          <t>Blocked</t>
        </is>
      </c>
      <c r="J54" s="108" t="n">
        <v>3</v>
      </c>
      <c r="K54" s="109" t="n"/>
      <c r="L54" s="109" t="n"/>
      <c r="M54" s="110" t="n"/>
      <c r="N54" s="81" t="n">
        <v>0</v>
      </c>
      <c r="O54" s="80" t="inlineStr">
        <is>
          <t>6S8-PMO-01</t>
        </is>
      </c>
      <c r="P54" s="80" t="inlineStr">
        <is>
          <t>Production rollout complete with monitoring, alerting and an incident runbook</t>
        </is>
      </c>
      <c r="Q54" s="82" t="inlineStr">
        <is>
          <t>Spec §31, §38</t>
        </is>
      </c>
      <c r="R54" s="74" t="inlineStr">
        <is>
          <t>Formerly 5S8-OPS-01 (Phase 5 became Phase 6, 2026-10-27).</t>
        </is>
      </c>
    </row>
    <row r="55" s="75"/>
  </sheetData>
  <autoFilter ref="A4:R54"/>
  <mergeCells count="2">
    <mergeCell ref="A2:R2"/>
    <mergeCell ref="A1:R1"/>
  </mergeCells>
  <conditionalFormatting sqref="I5:I5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4">
    <cfRule type="expression" rank="0" priority="7" equalAverage="0" aboveAverage="0" dxfId="32" text="" percent="0" bottom="0">
      <formula>$I5="Done"</formula>
    </cfRule>
  </conditionalFormatting>
  <conditionalFormatting sqref="N5:N54">
    <cfRule type="cellIs" rank="0" priority="8" equalAverage="0" operator="greaterThanOrEqual" aboveAverage="0" dxfId="33" text="" percent="0" bottom="0">
      <formula>50</formula>
    </cfRule>
  </conditionalFormatting>
  <dataValidations count="1">
    <dataValidation sqref="I5:I54"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11.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Done</t>
        </is>
      </c>
      <c r="K5" s="74" t="n">
        <v>3</v>
      </c>
      <c r="L5" s="162" t="n">
        <v>46315</v>
      </c>
      <c r="M5" s="162" t="n">
        <v>46317</v>
      </c>
      <c r="N5" s="74" t="inlineStr">
        <is>
          <t>rcfworks</t>
        </is>
      </c>
      <c r="O5" s="74" t="n">
        <v>0</v>
      </c>
      <c r="Q5" s="74" t="inlineStr">
        <is>
          <t>Template delivered, versioned, approved for production use</t>
        </is>
      </c>
      <c r="R5" s="74" t="inlineStr">
        <is>
          <t>§12, §26</t>
        </is>
      </c>
      <c r="S5" s="74" t="inlineStr">
        <is>
          <t>Moved to the Legal sheet 2026-09-15. Unblocks reset to 0: no development task depends on legal approval. Approved 2026-10-22 by rcfworks with Rodney's delegated authority (SponsorX Legal folder); issued in the app as v2 (P8-BE-07).</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Done</t>
        </is>
      </c>
      <c r="K6" s="74" t="n">
        <v>1</v>
      </c>
      <c r="L6" s="162" t="n">
        <v>46315</v>
      </c>
      <c r="M6" s="162" t="n">
        <v>46317</v>
      </c>
      <c r="N6" s="74" t="inlineStr">
        <is>
          <t>rcfworks</t>
        </is>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 Approved 2026-10-22 by rcfworks with Rodney's delegated authority (SponsorX Legal folder); issued in the app as v2 (P8-BE-07). Answer: click-to-accept by a verified guardian is sufficient (Option A); no e-sign vendor.</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Done</t>
        </is>
      </c>
      <c r="K7" s="74" t="n">
        <v>3</v>
      </c>
      <c r="L7" s="162" t="n">
        <v>46315</v>
      </c>
      <c r="M7" s="162" t="n">
        <v>46317</v>
      </c>
      <c r="N7" s="74" t="inlineStr">
        <is>
          <t>rcfworks</t>
        </is>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 Approved 2026-10-22 by rcfworks with Rodney's delegated authority (SponsorX Legal folder); issued in the app as v2 (P8-BE-07).</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Done</t>
        </is>
      </c>
      <c r="K8" s="74" t="n">
        <v>3</v>
      </c>
      <c r="L8" s="162" t="n">
        <v>46315</v>
      </c>
      <c r="M8" s="162" t="n">
        <v>46317</v>
      </c>
      <c r="N8" s="74" t="inlineStr">
        <is>
          <t>rcfworks</t>
        </is>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 Approved 2026-10-22 by rcfworks with Rodney's delegated authority (SponsorX Legal folder); issued in the app as v2 (P8-BE-07).</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Athlete-responsibility wording (redefined 2026-10-20)</t>
        </is>
      </c>
      <c r="I9" s="74" t="inlineStr">
        <is>
          <t>Redefined 2026-10-20 by the programme owner: no state-by-state rules list. The athlete (or a minor's guardian) confirms they follow their own school, league and local rules (P8-BE-02); built-in limits stay for everyone; a disputed deal is paused and documents requested (P8-BE-03). Counsel approves the responsibility paragraph in the athlete agreement draft (item 1).</t>
        </is>
      </c>
      <c r="J9" s="74" t="inlineStr">
        <is>
          <t>Done</t>
        </is>
      </c>
      <c r="K9" s="74" t="n">
        <v>0.5</v>
      </c>
      <c r="L9" s="162" t="n">
        <v>46315</v>
      </c>
      <c r="M9" s="162" t="n">
        <v>46317</v>
      </c>
      <c r="N9" s="74" t="inlineStr">
        <is>
          <t>rcfworks</t>
        </is>
      </c>
      <c r="O9" s="74" t="n">
        <v>0</v>
      </c>
      <c r="Q9" s="74" t="inlineStr">
        <is>
          <t>Counsel approves the athlete-responsibility paragraph and confirmation wording (in the P0-LEG-01 draft)</t>
        </is>
      </c>
      <c r="R9" s="74" t="inlineStr">
        <is>
          <t>§26, §4</t>
        </is>
      </c>
      <c r="S9" s="74" t="inlineStr">
        <is>
          <t>Moved to the Legal sheet 2026-09-15. Unblocks reset to 0: no development task depends on legal approval. Approved 2026-10-22 by rcfworks with Rodney's delegated authority (SponsorX Legal folder); issued in the app as v2 (P8-BE-07).</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Sponsor-responsibility wording for rewards (redefined 2026-10-20)</t>
        </is>
      </c>
      <c r="I10" s="74" t="inlineStr">
        <is>
          <t>Redefined 2026-10-20 by the programme owner: BTG does not vet every reward state by state. The sponsor confirms its reward is lawful wherever offered (age limits, alcohol/cannabis/betting rules); the app runs instant rewards only (no chance, nothing to pay); BTG pauses a reward anyone objects to (existing PAUSED). Counsel approves the sponsor paragraph in the 2S0-LEG-01 draft, Part B section B7.</t>
        </is>
      </c>
      <c r="J10" s="74" t="inlineStr">
        <is>
          <t>Done</t>
        </is>
      </c>
      <c r="K10" s="74" t="n">
        <v>0.5</v>
      </c>
      <c r="L10" s="162" t="n">
        <v>46315</v>
      </c>
      <c r="M10" s="162" t="n">
        <v>46317</v>
      </c>
      <c r="N10" s="74" t="inlineStr">
        <is>
          <t>rcfworks</t>
        </is>
      </c>
      <c r="O10" s="74" t="n">
        <v>0</v>
      </c>
      <c r="Q10" s="74" t="inlineStr">
        <is>
          <t>Counsel approves the sponsor-responsibility paragraph for rewards</t>
        </is>
      </c>
      <c r="R10" s="74" t="inlineStr">
        <is>
          <t>§16</t>
        </is>
      </c>
      <c r="S10" s="74" t="inlineStr">
        <is>
          <t>Moved to the Legal sheet 2026-09-15. Unblocks reset to 0: no development task depends on legal approval. Approved 2026-10-22 by rcfworks with Rodney's delegated authority (SponsorX Legal folder); issued in the app as v2 (P8-BE-07).</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Done</t>
        </is>
      </c>
      <c r="K11" s="74" t="n">
        <v>5</v>
      </c>
      <c r="L11" s="162" t="n">
        <v>46315</v>
      </c>
      <c r="M11" s="162" t="n">
        <v>46317</v>
      </c>
      <c r="N11" s="74" t="inlineStr">
        <is>
          <t>rcfworks</t>
        </is>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 Approved 2026-10-22 by rcfworks with Rodney's delegated authority (SponsorX Legal folder); issued in the app as v2 (P8-BE-07).</t>
        </is>
      </c>
    </row>
    <row r="12">
      <c r="A12" s="74" t="inlineStr">
        <is>
          <t>Phase 2</t>
        </is>
      </c>
      <c r="B12" s="74" t="n">
        <v>5</v>
      </c>
      <c r="C12" s="74" t="inlineStr">
        <is>
          <t>2S0-LEG-02</t>
        </is>
      </c>
      <c r="D12" s="74" t="n">
        <v>0</v>
      </c>
      <c r="E12" s="74" t="inlineStr">
        <is>
          <t>Sprint 0 · Architecture &amp; design</t>
        </is>
      </c>
      <c r="F12" s="74" t="inlineStr">
        <is>
          <t>LEG</t>
        </is>
      </c>
      <c r="G12" s="74" t="inlineStr">
        <is>
          <t>External · BTG's accountant</t>
        </is>
      </c>
      <c r="H12" s="74" t="inlineStr">
        <is>
          <t>Tax position: confirm four proposed answers (redefined 2026-10-20)</t>
        </is>
      </c>
      <c r="I12" s="74" t="inlineStr">
        <is>
          <t>Proposed 2026-10-20, for BTG's accountant to confirm, not research (draft 7 in the SponsorX Legal folder): Stripe Connect collects W-9/W-8 and files 1099s for marketplace payouts; BTG finance handles managed campaign payments (Zoho Books) as for any contractor; SponsorX never stores a tax ID; a minor's form is in the minor's name. No app change; one Stripe setting at go-live.</t>
        </is>
      </c>
      <c r="J12" s="74" t="inlineStr">
        <is>
          <t>Done</t>
        </is>
      </c>
      <c r="K12" s="74" t="n">
        <v>0.5</v>
      </c>
      <c r="L12" s="162" t="n">
        <v>46315</v>
      </c>
      <c r="M12" s="162" t="n">
        <v>46317</v>
      </c>
      <c r="N12" s="74" t="inlineStr">
        <is>
          <t>rcfworks</t>
        </is>
      </c>
      <c r="O12" s="74" t="n">
        <v>0</v>
      </c>
      <c r="P12" s="74" t="inlineStr">
        <is>
          <t>2S0-PMO-02</t>
        </is>
      </c>
      <c r="Q12" s="74" t="inlineStr">
        <is>
          <t>BTG's accountant confirms (or corrects) the four proposed answers in draft 7; Stripe tax reporting switched on for connected accounts</t>
        </is>
      </c>
      <c r="R12" s="74" t="inlineStr">
        <is>
          <t>Spec §9, §10</t>
        </is>
      </c>
      <c r="S12" s="74" t="inlineStr">
        <is>
          <t>Moved to the Legal sheet 2026-09-15. Unblocks reset to 0: no development task depends on legal approval. Approved 2026-10-22 by rcfworks with Rodney's delegated authority (SponsorX Legal folder); issued in the app as v2 (P8-BE-07). The four proposed answers in document 7 confirmed; no app change; the Stripe tax-reporting switch is a go-live step.</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Done</t>
        </is>
      </c>
      <c r="K13" s="74" t="n">
        <v>3</v>
      </c>
      <c r="L13" s="162" t="n">
        <v>46315</v>
      </c>
      <c r="M13" s="162" t="n">
        <v>46317</v>
      </c>
      <c r="N13" s="74" t="inlineStr">
        <is>
          <t>rcfworks</t>
        </is>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 Approved 2026-10-22 by rcfworks with Rodney's delegated authority (SponsorX Legal folder); issued in the app as v2 (P8-BE-07). Report renamed Campaign Results Report with the approved foot note; results-screen labels are P8-FE-08.</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2.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 6</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2026-10-30T05:15:17Z</dcterms:modified>
  <cp:revision>0</cp:revision>
</cp:coreProperties>
</file>