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1'!$I$5:$I$253,"Ready")</f>
        <v/>
      </c>
      <c r="C5" s="81">
        <f>COUNTIF('Phase 1'!$I$5:$I$253,"In progress")</f>
        <v/>
      </c>
      <c r="D5" s="81">
        <f>COUNTIF('Phase 1'!$I$5:$I$253,"Code review")</f>
        <v/>
      </c>
      <c r="E5" s="81">
        <f>COUNTIF('Phase 1'!$I$5:$I$253,"Blocked")</f>
        <v/>
      </c>
      <c r="F5" s="81">
        <f>COUNTIF('Phase 1'!$I$5:$I$253,"Done")</f>
        <v/>
      </c>
      <c r="G5" s="81">
        <f>COUNTA('Phase 1'!$B$5:$B$253)</f>
        <v/>
      </c>
      <c r="H5" s="81">
        <f>SUMIF('Phase 1'!$I$5:$I$253,"&lt;&gt;Done",'Phase 1'!$J$5:$J$253)</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1'!$F$5:$F$253,"Document")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1'!$F$5:$F$253,"Zoho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1'!$F$5:$F$253,"Vendor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1'!$F$5:$F$253,"Code")</f>
        <v/>
      </c>
      <c r="C16" s="81">
        <f>COUNTIF('Phase 2'!$F$5:$F$68,"Code")</f>
        <v/>
      </c>
      <c r="D16" s="81">
        <f>COUNTIF('Phase 3'!$F$5:$F$48,"Code")</f>
        <v/>
      </c>
      <c r="E16" s="81">
        <f>COUNTIF('Phase 4'!$F$5:$F$55,"Code")</f>
        <v/>
      </c>
      <c r="F16" s="81">
        <f>SUM(B16:E16)</f>
        <v/>
      </c>
    </row>
    <row r="17" ht="15" customHeight="1" s="75">
      <c r="A17" s="99" t="inlineStr">
        <is>
          <t>Code + console</t>
        </is>
      </c>
      <c r="B17" s="81">
        <f>COUNTIF('Phase 1'!$F$5:$F$253,"Code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1'!$F$5:$F$253,"Design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1'!$F$5:$F$253,"Document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1'!$F$5:$F$253,"External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1"/>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1'!$C$5:$C$253,$A5,'Phase 1'!$I$5:$I$253,"Done")</f>
        <v/>
      </c>
      <c r="D5" s="74">
        <f>COUNTIF('Phase 1'!$C$5:$C$253,$A5)</f>
        <v/>
      </c>
      <c r="E5" s="156">
        <f>IF($D5=0,0,$C5/$D5)</f>
        <v/>
      </c>
      <c r="F5" s="74">
        <f>SUMIFS('Phase 1'!$J$5:$J$253,'Phase 1'!$C$5:$C$253,$A5,'Phase 1'!$I$5:$I$253,"&lt;&gt;Done")</f>
        <v/>
      </c>
      <c r="G5" s="74">
        <f>COUNTIFS('Phase 1'!$C$5:$C$253,$A5,'Phase 1'!$I$5:$I$253,"In progress")+COUNTIFS('Phase 1'!$C$5:$C$253,$A5,'Phase 1'!$I$5:$I$253,"Code review")</f>
        <v/>
      </c>
      <c r="H5" s="74">
        <f>COUNTIFS('Phase 1'!$C$5:$C$253,$A5,'Phase 1'!$I$5:$I$253,"Blocked")</f>
        <v/>
      </c>
    </row>
    <row r="6">
      <c r="A6" s="155" t="n">
        <v>1</v>
      </c>
      <c r="B6" s="74" t="inlineStr">
        <is>
          <t>UI Scaffold on Fixtures</t>
        </is>
      </c>
      <c r="C6" s="74">
        <f>COUNTIFS('Phase 1'!$C$5:$C$253,$A6,'Phase 1'!$I$5:$I$253,"Done")</f>
        <v/>
      </c>
      <c r="D6" s="74">
        <f>COUNTIF('Phase 1'!$C$5:$C$253,$A6)</f>
        <v/>
      </c>
      <c r="E6" s="156">
        <f>IF($D6=0,0,$C6/$D6)</f>
        <v/>
      </c>
      <c r="F6" s="74">
        <f>SUMIFS('Phase 1'!$J$5:$J$253,'Phase 1'!$C$5:$C$253,$A6,'Phase 1'!$I$5:$I$253,"&lt;&gt;Done")</f>
        <v/>
      </c>
      <c r="G6" s="74">
        <f>COUNTIFS('Phase 1'!$C$5:$C$253,$A6,'Phase 1'!$I$5:$I$253,"In progress")+COUNTIFS('Phase 1'!$C$5:$C$253,$A6,'Phase 1'!$I$5:$I$253,"Code review")</f>
        <v/>
      </c>
      <c r="H6" s="74">
        <f>COUNTIFS('Phase 1'!$C$5:$C$253,$A6,'Phase 1'!$I$5:$I$253,"Blocked")</f>
        <v/>
      </c>
    </row>
    <row r="7">
      <c r="A7" s="155" t="n">
        <v>2</v>
      </c>
      <c r="B7" s="74" t="inlineStr">
        <is>
          <t>Platform Foundations</t>
        </is>
      </c>
      <c r="C7" s="74">
        <f>COUNTIFS('Phase 1'!$C$5:$C$253,$A7,'Phase 1'!$I$5:$I$253,"Done")</f>
        <v/>
      </c>
      <c r="D7" s="74">
        <f>COUNTIF('Phase 1'!$C$5:$C$253,$A7)</f>
        <v/>
      </c>
      <c r="E7" s="156">
        <f>IF($D7=0,0,$C7/$D7)</f>
        <v/>
      </c>
      <c r="F7" s="74">
        <f>SUMIFS('Phase 1'!$J$5:$J$253,'Phase 1'!$C$5:$C$253,$A7,'Phase 1'!$I$5:$I$253,"&lt;&gt;Done")</f>
        <v/>
      </c>
      <c r="G7" s="74">
        <f>COUNTIFS('Phase 1'!$C$5:$C$253,$A7,'Phase 1'!$I$5:$I$253,"In progress")+COUNTIFS('Phase 1'!$C$5:$C$253,$A7,'Phase 1'!$I$5:$I$253,"Code review")</f>
        <v/>
      </c>
      <c r="H7" s="74">
        <f>COUNTIFS('Phase 1'!$C$5:$C$253,$A7,'Phase 1'!$I$5:$I$253,"Blocked")</f>
        <v/>
      </c>
    </row>
    <row r="8">
      <c r="A8" s="155" t="n">
        <v>3</v>
      </c>
      <c r="B8" s="74" t="inlineStr">
        <is>
          <t>Athlete Network</t>
        </is>
      </c>
      <c r="C8" s="74">
        <f>COUNTIFS('Phase 1'!$C$5:$C$253,$A8,'Phase 1'!$I$5:$I$253,"Done")</f>
        <v/>
      </c>
      <c r="D8" s="74">
        <f>COUNTIF('Phase 1'!$C$5:$C$253,$A8)</f>
        <v/>
      </c>
      <c r="E8" s="156">
        <f>IF($D8=0,0,$C8/$D8)</f>
        <v/>
      </c>
      <c r="F8" s="74">
        <f>SUMIFS('Phase 1'!$J$5:$J$253,'Phase 1'!$C$5:$C$253,$A8,'Phase 1'!$I$5:$I$253,"&lt;&gt;Done")</f>
        <v/>
      </c>
      <c r="G8" s="74">
        <f>COUNTIFS('Phase 1'!$C$5:$C$253,$A8,'Phase 1'!$I$5:$I$253,"In progress")+COUNTIFS('Phase 1'!$C$5:$C$253,$A8,'Phase 1'!$I$5:$I$253,"Code review")</f>
        <v/>
      </c>
      <c r="H8" s="74">
        <f>COUNTIFS('Phase 1'!$C$5:$C$253,$A8,'Phase 1'!$I$5:$I$253,"Blocked")</f>
        <v/>
      </c>
    </row>
    <row r="9">
      <c r="A9" s="155" t="n">
        <v>4</v>
      </c>
      <c r="B9" s="74" t="inlineStr">
        <is>
          <t>Sponsor Demand &amp; Matching</t>
        </is>
      </c>
      <c r="C9" s="74">
        <f>COUNTIFS('Phase 1'!$C$5:$C$253,$A9,'Phase 1'!$I$5:$I$253,"Done")</f>
        <v/>
      </c>
      <c r="D9" s="74">
        <f>COUNTIF('Phase 1'!$C$5:$C$253,$A9)</f>
        <v/>
      </c>
      <c r="E9" s="156">
        <f>IF($D9=0,0,$C9/$D9)</f>
        <v/>
      </c>
      <c r="F9" s="74">
        <f>SUMIFS('Phase 1'!$J$5:$J$253,'Phase 1'!$C$5:$C$253,$A9,'Phase 1'!$I$5:$I$253,"&lt;&gt;Done")</f>
        <v/>
      </c>
      <c r="G9" s="74">
        <f>COUNTIFS('Phase 1'!$C$5:$C$253,$A9,'Phase 1'!$I$5:$I$253,"In progress")+COUNTIFS('Phase 1'!$C$5:$C$253,$A9,'Phase 1'!$I$5:$I$253,"Code review")</f>
        <v/>
      </c>
      <c r="H9" s="74">
        <f>COUNTIFS('Phase 1'!$C$5:$C$253,$A9,'Phase 1'!$I$5:$I$253,"Blocked")</f>
        <v/>
      </c>
    </row>
    <row r="10">
      <c r="A10" s="155" t="n">
        <v>5</v>
      </c>
      <c r="B10" s="74" t="inlineStr">
        <is>
          <t>Campaign Execution</t>
        </is>
      </c>
      <c r="C10" s="74">
        <f>COUNTIFS('Phase 1'!$C$5:$C$253,$A10,'Phase 1'!$I$5:$I$253,"Done")</f>
        <v/>
      </c>
      <c r="D10" s="74">
        <f>COUNTIF('Phase 1'!$C$5:$C$253,$A10)</f>
        <v/>
      </c>
      <c r="E10" s="156">
        <f>IF($D10=0,0,$C10/$D10)</f>
        <v/>
      </c>
      <c r="F10" s="74">
        <f>SUMIFS('Phase 1'!$J$5:$J$253,'Phase 1'!$C$5:$C$253,$A10,'Phase 1'!$I$5:$I$253,"&lt;&gt;Done")</f>
        <v/>
      </c>
      <c r="G10" s="74">
        <f>COUNTIFS('Phase 1'!$C$5:$C$253,$A10,'Phase 1'!$I$5:$I$253,"In progress")+COUNTIFS('Phase 1'!$C$5:$C$253,$A10,'Phase 1'!$I$5:$I$253,"Code review")</f>
        <v/>
      </c>
      <c r="H10" s="74">
        <f>COUNTIFS('Phase 1'!$C$5:$C$253,$A10,'Phase 1'!$I$5:$I$253,"Blocked")</f>
        <v/>
      </c>
    </row>
    <row r="11">
      <c r="A11" s="155" t="n">
        <v>6</v>
      </c>
      <c r="B11" s="74" t="inlineStr">
        <is>
          <t>Measurement &amp; Reward</t>
        </is>
      </c>
      <c r="C11" s="74">
        <f>COUNTIFS('Phase 1'!$C$5:$C$253,$A11,'Phase 1'!$I$5:$I$253,"Done")</f>
        <v/>
      </c>
      <c r="D11" s="74">
        <f>COUNTIF('Phase 1'!$C$5:$C$253,$A11)</f>
        <v/>
      </c>
      <c r="E11" s="156">
        <f>IF($D11=0,0,$C11/$D11)</f>
        <v/>
      </c>
      <c r="F11" s="74">
        <f>SUMIFS('Phase 1'!$J$5:$J$253,'Phase 1'!$C$5:$C$253,$A11,'Phase 1'!$I$5:$I$253,"&lt;&gt;Done")</f>
        <v/>
      </c>
      <c r="G11" s="74">
        <f>COUNTIFS('Phase 1'!$C$5:$C$253,$A11,'Phase 1'!$I$5:$I$253,"In progress")+COUNTIFS('Phase 1'!$C$5:$C$253,$A11,'Phase 1'!$I$5:$I$253,"Code review")</f>
        <v/>
      </c>
      <c r="H11" s="74">
        <f>COUNTIFS('Phase 1'!$C$5:$C$253,$A11,'Phase 1'!$I$5:$I$253,"Blocked")</f>
        <v/>
      </c>
    </row>
    <row r="12">
      <c r="A12" s="155" t="n">
        <v>7</v>
      </c>
      <c r="B12" s="74" t="inlineStr">
        <is>
          <t>Money &amp; Reporting</t>
        </is>
      </c>
      <c r="C12" s="74">
        <f>COUNTIFS('Phase 1'!$C$5:$C$253,$A12,'Phase 1'!$I$5:$I$253,"Done")</f>
        <v/>
      </c>
      <c r="D12" s="74">
        <f>COUNTIF('Phase 1'!$C$5:$C$253,$A12)</f>
        <v/>
      </c>
      <c r="E12" s="156">
        <f>IF($D12=0,0,$C12/$D12)</f>
        <v/>
      </c>
      <c r="F12" s="74">
        <f>SUMIFS('Phase 1'!$J$5:$J$253,'Phase 1'!$C$5:$C$253,$A12,'Phase 1'!$I$5:$I$253,"&lt;&gt;Done")</f>
        <v/>
      </c>
      <c r="G12" s="74">
        <f>COUNTIFS('Phase 1'!$C$5:$C$253,$A12,'Phase 1'!$I$5:$I$253,"In progress")+COUNTIFS('Phase 1'!$C$5:$C$253,$A12,'Phase 1'!$I$5:$I$253,"Code review")</f>
        <v/>
      </c>
      <c r="H12" s="74">
        <f>COUNTIFS('Phase 1'!$C$5:$C$253,$A12,'Phase 1'!$I$5:$I$253,"Blocked")</f>
        <v/>
      </c>
    </row>
    <row r="13">
      <c r="A13" s="155" t="n">
        <v>8</v>
      </c>
      <c r="B13" s="74" t="inlineStr">
        <is>
          <t>Integration, Hardening &amp; Launch</t>
        </is>
      </c>
      <c r="C13" s="74">
        <f>COUNTIFS('Phase 1'!$C$5:$C$253,$A13,'Phase 1'!$I$5:$I$253,"Done")</f>
        <v/>
      </c>
      <c r="D13" s="74">
        <f>COUNTIF('Phase 1'!$C$5:$C$253,$A13)</f>
        <v/>
      </c>
      <c r="E13" s="156">
        <f>IF($D13=0,0,$C13/$D13)</f>
        <v/>
      </c>
      <c r="F13" s="74">
        <f>SUMIFS('Phase 1'!$J$5:$J$253,'Phase 1'!$C$5:$C$253,$A13,'Phase 1'!$I$5:$I$253,"&lt;&gt;Done")</f>
        <v/>
      </c>
      <c r="G13" s="74">
        <f>COUNTIFS('Phase 1'!$C$5:$C$253,$A13,'Phase 1'!$I$5:$I$253,"In progress")+COUNTIFS('Phase 1'!$C$5:$C$253,$A13,'Phase 1'!$I$5:$I$253,"Code review")</f>
        <v/>
      </c>
      <c r="H13" s="74">
        <f>COUNTIFS('Phase 1'!$C$5:$C$253,$A13,'Phase 1'!$I$5:$I$253,"Blocked")</f>
        <v/>
      </c>
    </row>
    <row r="14">
      <c r="A14" s="155" t="n">
        <v>9</v>
      </c>
      <c r="B14" s="74" t="inlineStr">
        <is>
          <t>SponsorX NEXT (gated)</t>
        </is>
      </c>
      <c r="C14" s="74">
        <f>COUNTIFS('Phase 1'!$C$5:$C$253,$A14,'Phase 1'!$I$5:$I$253,"Done")</f>
        <v/>
      </c>
      <c r="D14" s="74">
        <f>COUNTIF('Phase 1'!$C$5:$C$253,$A14)</f>
        <v/>
      </c>
      <c r="E14" s="156">
        <f>IF($D14=0,0,$C14/$D14)</f>
        <v/>
      </c>
      <c r="F14" s="74">
        <f>SUMIFS('Phase 1'!$J$5:$J$253,'Phase 1'!$C$5:$C$253,$A14,'Phase 1'!$I$5:$I$253,"&lt;&gt;Done")</f>
        <v/>
      </c>
      <c r="G14" s="74">
        <f>COUNTIFS('Phase 1'!$C$5:$C$253,$A14,'Phase 1'!$I$5:$I$253,"In progress")+COUNTIFS('Phase 1'!$C$5:$C$253,$A14,'Phase 1'!$I$5:$I$253,"Code review")</f>
        <v/>
      </c>
      <c r="H14" s="74">
        <f>COUNTIFS('Phase 1'!$C$5:$C$253,$A14,'Phase 1'!$I$5:$I$253,"Blocked")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16</v>
      </c>
      <c r="F21" s="74" t="n">
        <v>8</v>
      </c>
      <c r="G21" s="74" t="n">
        <v>3</v>
      </c>
      <c r="H21" s="74" t="n">
        <v>0</v>
      </c>
      <c r="I21" s="74" t="n">
        <v>0</v>
      </c>
      <c r="J21" s="74" t="n">
        <v>0</v>
      </c>
      <c r="K21" s="74" t="n">
        <v>0</v>
      </c>
      <c r="L21" s="74" t="n">
        <v>91</v>
      </c>
      <c r="M21" s="74" t="n">
        <v>428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Ready</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Ready</t>
        </is>
      </c>
      <c r="J86" s="108" t="n">
        <v>1</v>
      </c>
      <c r="K86" s="109" t="n"/>
      <c r="L86" s="109" t="n"/>
      <c r="M86" s="110" t="n"/>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Ready</t>
        </is>
      </c>
      <c r="J109" s="108" t="n">
        <v>3</v>
      </c>
      <c r="K109" s="109" t="n"/>
      <c r="L109" s="109" t="n"/>
      <c r="M109" s="110" t="n"/>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Ready</t>
        </is>
      </c>
      <c r="J112" s="108" t="n">
        <v>3</v>
      </c>
      <c r="K112" s="109" t="n"/>
      <c r="L112" s="109" t="n"/>
      <c r="M112" s="110" t="n"/>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Ready</t>
        </is>
      </c>
      <c r="J119" s="108" t="n">
        <v>3</v>
      </c>
      <c r="K119" s="109" t="n"/>
      <c r="L119" s="109" t="n"/>
      <c r="M119" s="110" t="n"/>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dark 5.87 surface / 6.30 bg / 4.78 chip; Frost 6.79 white / 5.34 chip. Frost -soft is fills-only (4.48 as text, under AA) - same rule as the other light -soft variants.</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No student-portal mockups exist in frontEndVersion2 (the set covers claim/guardian flows), so built on the house system with the NEXT direction - re-check visuals when P1-ART-08 lands. Bottom tab bar at &lt;md; sidebar at md+. Points detail is P1-FE-30 (nav item inert);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Blocked</t>
        </is>
      </c>
      <c r="J224" s="108" t="n">
        <v>5</v>
      </c>
      <c r="K224" s="109" t="n"/>
      <c r="L224" s="109" t="n"/>
      <c r="M224" s="110" t="n"/>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2026-09-23T05:23:48Z</dcterms:modified>
  <cp:revision>0</cp:revision>
</cp:coreProperties>
</file>