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2'!$A$4:$R$107</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2'!$I$5:$I$107,"Ready")</f>
        <v/>
      </c>
      <c r="C6" s="85">
        <f>COUNTIF('Phase 2'!$I$5:$I$107,"In progress")</f>
        <v/>
      </c>
      <c r="D6" s="85">
        <f>COUNTIF('Phase 2'!$I$5:$I$107,"Code review")</f>
        <v/>
      </c>
      <c r="E6" s="85">
        <f>COUNTIF('Phase 2'!$I$5:$I$107,"Blocked")</f>
        <v/>
      </c>
      <c r="F6" s="85">
        <f>COUNTIF('Phase 2'!$I$5:$I$107,"Done")</f>
        <v/>
      </c>
      <c r="G6" s="85">
        <f>COUNTA('Phase 2'!$B$5:$B$107)</f>
        <v/>
      </c>
      <c r="H6" s="85">
        <f>SUMIF('Phase 2'!$I$5:$I$107,"&lt;&gt;Done",'Phase 2'!$J$5:$J$107)</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2'!$F$5:$F$107,"Document")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2'!$F$5:$F$107,"Zoho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2'!$F$5:$F$107,"Vendor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2'!$F$5:$F$107,"Code")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2'!$F$5:$F$107,"Code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2'!$F$5:$F$107,"Design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2'!$F$5:$F$107,"Document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2'!$F$5:$F$107,"External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0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Code review</t>
        </is>
      </c>
      <c r="J107" s="108" t="n">
        <v>3</v>
      </c>
      <c r="K107" s="109" t="n">
        <v>46296</v>
      </c>
      <c r="L107" s="109" t="n"/>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t>
        </is>
      </c>
    </row>
  </sheetData>
  <autoFilter ref="A4:R107"/>
  <mergeCells count="2">
    <mergeCell ref="A2:R2"/>
    <mergeCell ref="A1:R1"/>
  </mergeCells>
  <conditionalFormatting sqref="I5:I10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07">
    <cfRule type="expression" rank="0" priority="7" equalAverage="0" aboveAverage="0" dxfId="32" text="" percent="0" bottom="0">
      <formula>$I5="Done"</formula>
    </cfRule>
  </conditionalFormatting>
  <conditionalFormatting sqref="N5:N107">
    <cfRule type="cellIs" rank="0" priority="8" equalAverage="0" operator="greaterThanOrEqual" aboveAverage="0" dxfId="33" text="" percent="0" bottom="0">
      <formula>50</formula>
    </cfRule>
  </conditionalFormatting>
  <dataValidations count="1">
    <dataValidation sqref="I5:I10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2026-10-01T10:13:59Z</dcterms:modified>
  <cp:revision>0</cp:revision>
</cp:coreProperties>
</file>