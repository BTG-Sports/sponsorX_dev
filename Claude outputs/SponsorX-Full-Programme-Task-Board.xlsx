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2'!$I$5:$I$100,"Ready")</f>
        <v/>
      </c>
      <c r="C6" s="85">
        <f>COUNTIF('Phase 2'!$I$5:$I$100,"In progress")</f>
        <v/>
      </c>
      <c r="D6" s="85">
        <f>COUNTIF('Phase 2'!$I$5:$I$100,"Code review")</f>
        <v/>
      </c>
      <c r="E6" s="85">
        <f>COUNTIF('Phase 2'!$I$5:$I$100,"Blocked")</f>
        <v/>
      </c>
      <c r="F6" s="85">
        <f>COUNTIF('Phase 2'!$I$5:$I$100,"Done")</f>
        <v/>
      </c>
      <c r="G6" s="85">
        <f>COUNTA('Phase 2'!$B$5:$B$100)</f>
        <v/>
      </c>
      <c r="H6" s="85">
        <f>SUMIF('Phase 2'!$I$5:$I$100,"&lt;&gt;Done",'Phase 2'!$J$5:$J$100)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Code review</t>
        </is>
      </c>
      <c r="J78" s="108" t="n">
        <v>3</v>
      </c>
      <c r="K78" s="109" t="inlineStr">
        <is>
          <t>2026-09-30</t>
        </is>
      </c>
      <c r="L78" s="109" t="inlineStr">
        <is>
          <t>2026-09-30</t>
        </is>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Blocked</t>
        </is>
      </c>
      <c r="J80" s="108" t="n">
        <v>3</v>
      </c>
      <c r="K80" s="109" t="n"/>
      <c r="L80" s="109" t="n"/>
      <c r="M80" s="110" t="n"/>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Blocked</t>
        </is>
      </c>
      <c r="J84" s="108" t="n">
        <v>3</v>
      </c>
      <c r="K84" s="109" t="n"/>
      <c r="L84" s="109" t="n"/>
      <c r="M84" s="110" t="n"/>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Blocked</t>
        </is>
      </c>
      <c r="J85" s="108" t="n">
        <v>4</v>
      </c>
      <c r="K85" s="109" t="n"/>
      <c r="L85" s="109" t="n"/>
      <c r="M85" s="110" t="n"/>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Ready</t>
        </is>
      </c>
      <c r="J86" s="108" t="n">
        <v>5</v>
      </c>
      <c r="K86" s="109" t="n"/>
      <c r="L86" s="109" t="n"/>
      <c r="M86" s="110" t="n"/>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Ready</t>
        </is>
      </c>
      <c r="J87" s="108" t="n">
        <v>2</v>
      </c>
      <c r="K87" s="109" t="n"/>
      <c r="L87" s="109" t="n"/>
      <c r="M87" s="110" t="n"/>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Ready</t>
        </is>
      </c>
      <c r="J88" s="108" t="n">
        <v>2</v>
      </c>
      <c r="K88" s="109" t="n"/>
      <c r="L88" s="109" t="n"/>
      <c r="M88" s="110" t="n"/>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Blocked</t>
        </is>
      </c>
      <c r="J89" s="108" t="n">
        <v>3</v>
      </c>
      <c r="K89" s="109" t="n"/>
      <c r="L89" s="109" t="n"/>
      <c r="M89" s="110" t="n"/>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Blocked</t>
        </is>
      </c>
      <c r="J90" s="108" t="n">
        <v>2</v>
      </c>
      <c r="K90" s="109" t="n"/>
      <c r="L90" s="109" t="n"/>
      <c r="M90" s="110" t="n"/>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Ready</t>
        </is>
      </c>
      <c r="J91" s="108" t="n">
        <v>4</v>
      </c>
      <c r="K91" s="109" t="n"/>
      <c r="L91" s="109" t="n"/>
      <c r="M91" s="110" t="n"/>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Ready</t>
        </is>
      </c>
      <c r="J92" s="108" t="n">
        <v>5</v>
      </c>
      <c r="K92" s="109" t="n"/>
      <c r="L92" s="109" t="n"/>
      <c r="M92" s="110" t="n"/>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Ready</t>
        </is>
      </c>
      <c r="J93" s="108" t="n">
        <v>5</v>
      </c>
      <c r="K93" s="109" t="n"/>
      <c r="L93" s="109" t="n"/>
      <c r="M93" s="110" t="n"/>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Ready</t>
        </is>
      </c>
      <c r="J94" s="108" t="n">
        <v>4</v>
      </c>
      <c r="K94" s="109" t="n"/>
      <c r="L94" s="109" t="n"/>
      <c r="M94" s="110" t="n"/>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Ready</t>
        </is>
      </c>
      <c r="J95" s="108" t="n">
        <v>3</v>
      </c>
      <c r="K95" s="109" t="n"/>
      <c r="L95" s="109" t="n"/>
      <c r="M95" s="110" t="n"/>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Blocked</t>
        </is>
      </c>
      <c r="J96" s="108" t="n">
        <v>4</v>
      </c>
      <c r="K96" s="109" t="n"/>
      <c r="L96" s="109" t="n"/>
      <c r="M96" s="110" t="n"/>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Blocked</t>
        </is>
      </c>
      <c r="J97" s="108" t="n">
        <v>3</v>
      </c>
      <c r="K97" s="109" t="n"/>
      <c r="L97" s="109" t="n"/>
      <c r="M97" s="110" t="n"/>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Blocked</t>
        </is>
      </c>
      <c r="J98" s="108" t="n">
        <v>4</v>
      </c>
      <c r="K98" s="109" t="n"/>
      <c r="L98" s="109" t="n"/>
      <c r="M98" s="110" t="n"/>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Ready</t>
        </is>
      </c>
      <c r="J99" s="108" t="n">
        <v>3</v>
      </c>
      <c r="K99" s="109" t="n"/>
      <c r="L99" s="109" t="n"/>
      <c r="M99" s="110" t="n"/>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Blocked</t>
        </is>
      </c>
      <c r="J100" s="108" t="n">
        <v>2</v>
      </c>
      <c r="K100" s="109" t="n"/>
      <c r="L100" s="109" t="n"/>
      <c r="M100" s="110" t="n"/>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t>
        </is>
      </c>
    </row>
  </sheetData>
  <autoFilter ref="A4:R100"/>
  <mergeCells count="2">
    <mergeCell ref="A2:R2"/>
    <mergeCell ref="A1:R1"/>
  </mergeCells>
  <conditionalFormatting sqref="I5:I1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0">
    <cfRule type="expression" rank="0" priority="7" equalAverage="0" aboveAverage="0" dxfId="32" text="" percent="0" bottom="0">
      <formula>$I5="Done"</formula>
    </cfRule>
  </conditionalFormatting>
  <conditionalFormatting sqref="N5:N100">
    <cfRule type="cellIs" rank="0" priority="8" equalAverage="0" operator="greaterThanOrEqual" aboveAverage="0" dxfId="33" text="" percent="0" bottom="0">
      <formula>50</formula>
    </cfRule>
  </conditionalFormatting>
  <dataValidations count="1">
    <dataValidation sqref="I5:I1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2026-10-01T04:21:57Z</dcterms:modified>
  <cp:revision>0</cp:revision>
</cp:coreProperties>
</file>