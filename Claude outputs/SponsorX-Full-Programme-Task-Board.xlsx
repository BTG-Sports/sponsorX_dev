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3'!$A$4:$R$61</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3'!$I$5:$I$61,"Ready")</f>
        <v/>
      </c>
      <c r="C7" s="81">
        <f>COUNTIF('Phase 3'!$I$5:$I$61,"In progress")</f>
        <v/>
      </c>
      <c r="D7" s="81">
        <f>COUNTIF('Phase 3'!$I$5:$I$61,"Code review")</f>
        <v/>
      </c>
      <c r="E7" s="81">
        <f>COUNTIF('Phase 3'!$I$5:$I$61,"Blocked")</f>
        <v/>
      </c>
      <c r="F7" s="81">
        <f>COUNTIF('Phase 3'!$I$5:$I$61,"Done")</f>
        <v/>
      </c>
      <c r="G7" s="81">
        <f>COUNTA('Phase 3'!$B$5:$B$61)</f>
        <v/>
      </c>
      <c r="H7" s="81">
        <f>SUMIF('Phase 3'!$I$5:$I$61,"&lt;&gt;Done",'Phase 3'!$J$5:$J$61)</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3'!$F$5:$F$61,"Document")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3'!$F$5:$F$61,"Zoho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3'!$F$5:$F$61,"Vendor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3'!$F$5:$F$61,"Code")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3'!$F$5:$F$61,"Code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3'!$F$5:$F$61,"Design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3'!$F$5:$F$61,"Document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3'!$F$5:$F$61,"External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3S1-DATA-05</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3S1-DATA-05</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3S1-DATA-05</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3S1-DATA-05,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fact history from current records</t>
        </is>
      </c>
      <c r="H59" s="116" t="inlineStr">
        <is>
          <t>A one-off, re-runnable fill of facts for everything that happened before the ledger existed, from the app's current records and its audit history.</t>
        </is>
      </c>
      <c r="I59" s="108" t="inlineStr">
        <is>
          <t>Blocked</t>
        </is>
      </c>
      <c r="J59" s="108" t="n">
        <v>1</v>
      </c>
      <c r="K59" s="109" t="n"/>
      <c r="L59" s="109" t="n"/>
      <c r="M59" s="110" t="n"/>
      <c r="N59" s="85" t="n">
        <v>0</v>
      </c>
      <c r="O59" s="84" t="inlineStr">
        <is>
          <t>3S1-BE-02</t>
        </is>
      </c>
      <c r="P59" s="84" t="inlineStr">
        <is>
          <t>History is filled for all tenants; re-running adds nothing; summaries equal the app's totals for every campaign</t>
        </is>
      </c>
      <c r="Q59" s="86" t="inlineStr">
        <is>
          <t>Spec §19, §21, §22</t>
        </is>
      </c>
      <c r="R59" s="111" t="n"/>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3S1-DATA-05</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sheetData>
  <autoFilter ref="A4:R61"/>
  <mergeCells count="2">
    <mergeCell ref="A2:R2"/>
    <mergeCell ref="A1:R1"/>
  </mergeCells>
  <conditionalFormatting sqref="I5:I6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1">
    <cfRule type="expression" rank="0" priority="7" equalAverage="0" aboveAverage="0" dxfId="32" text="" percent="0" bottom="0">
      <formula>$I5="Done"</formula>
    </cfRule>
  </conditionalFormatting>
  <conditionalFormatting sqref="N5:N61">
    <cfRule type="cellIs" rank="0" priority="8" equalAverage="0" operator="greaterThanOrEqual" aboveAverage="0" dxfId="33" text="" percent="0" bottom="0">
      <formula>50</formula>
    </cfRule>
  </conditionalFormatting>
  <dataValidations count="1">
    <dataValidation sqref="I5:I6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2026-10-13T07:22:23Z</dcterms:modified>
  <cp:revision>0</cp:revision>
</cp:coreProperties>
</file>