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1'!$A$4:$R$258</definedName>
    <definedName name="_xlnm._FilterDatabase" localSheetId="4" hidden="1">'Phase 2'!$A$4:$R$70</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2'!$I$5:$I$70,"Ready")</f>
        <v/>
      </c>
      <c r="C6" s="85">
        <f>COUNTIF('Phase 2'!$I$5:$I$70,"In progress")</f>
        <v/>
      </c>
      <c r="D6" s="85">
        <f>COUNTIF('Phase 2'!$I$5:$I$70,"Code review")</f>
        <v/>
      </c>
      <c r="E6" s="85">
        <f>COUNTIF('Phase 2'!$I$5:$I$70,"Blocked")</f>
        <v/>
      </c>
      <c r="F6" s="85">
        <f>COUNTIF('Phase 2'!$I$5:$I$70,"Done")</f>
        <v/>
      </c>
      <c r="G6" s="85">
        <f>COUNTA('Phase 2'!$B$5:$B$70)</f>
        <v/>
      </c>
      <c r="H6" s="85">
        <f>SUMIF('Phase 2'!$I$5:$I$70,"&lt;&gt;Done",'Phase 2'!$J$5:$J$70)</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2'!$F$5:$F$70,"Document")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2'!$F$5:$F$70,"Zoho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2'!$F$5:$F$70,"Vendor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2'!$F$5:$F$70,"Code")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2'!$F$5:$F$70,"Code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2'!$F$5:$F$70,"Design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2'!$F$5:$F$70,"Document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2'!$F$5:$F$70,"External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5"/>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24</v>
      </c>
      <c r="F25" s="74" t="n">
        <v>16</v>
      </c>
      <c r="G25" s="74" t="n">
        <v>17</v>
      </c>
      <c r="H25" s="74" t="n">
        <v>17</v>
      </c>
      <c r="I25" s="74" t="n">
        <v>19</v>
      </c>
      <c r="J25" s="74" t="n">
        <v>18</v>
      </c>
      <c r="K25" s="74" t="n">
        <v>26</v>
      </c>
      <c r="L25" s="74" t="n">
        <v>221</v>
      </c>
      <c r="M25" s="74" t="n">
        <v>78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9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251 tasks · 604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c r="A256" s="104" t="n">
        <v>65.7</v>
      </c>
      <c r="B256" s="105" t="inlineStr">
        <is>
          <t>P3-BE-15</t>
        </is>
      </c>
      <c r="C256" s="81" t="n">
        <v>3</v>
      </c>
      <c r="D256" s="82" t="inlineStr">
        <is>
          <t>Athlete Network</t>
        </is>
      </c>
      <c r="E256" s="139" t="inlineStr">
        <is>
          <t>BE</t>
        </is>
      </c>
      <c r="F256" s="120" t="inlineStr">
        <is>
          <t>Code</t>
        </is>
      </c>
      <c r="G256" s="80" t="inlineStr">
        <is>
          <t>Post-approval athlete profile edits (non-social sections)</t>
        </is>
      </c>
      <c r="H256" s="107" t="inlineStr">
        <is>
          <t>Let an approved athlete change their own profile sections - identity, sport, capabilities, interests, restrictions - with BTG review before anything public changes. Today only socials (PUT /athletes/:id/socials) can be written after approval.</t>
        </is>
      </c>
      <c r="I256" s="108" t="inlineStr">
        <is>
          <t>Ready</t>
        </is>
      </c>
      <c r="J256" s="108" t="n">
        <v>3</v>
      </c>
      <c r="K256" s="109" t="n"/>
      <c r="L256" s="109" t="n"/>
      <c r="M256" s="110" t="n"/>
      <c r="N256" s="81" t="n"/>
      <c r="O256" s="80" t="inlineStr">
        <is>
          <t>P3-FE-03</t>
        </is>
      </c>
      <c r="P256" s="80" t="inlineStr">
        <is>
          <t>An athlete can submit a change to each editable section; public-facing changes reach the public profile only after BTG approves; restrictions changes feed the conflict check; tenant + own-scope tests; the live editor offers Save for those sections</t>
        </is>
      </c>
      <c r="Q256" s="82" t="inlineStr">
        <is>
          <t>§11, §24</t>
        </is>
      </c>
      <c r="R256"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t>
        </is>
      </c>
    </row>
    <row r="257">
      <c r="A257" s="104" t="n">
        <v>82.5</v>
      </c>
      <c r="B257" s="105" t="inlineStr">
        <is>
          <t>P3-FE-06</t>
        </is>
      </c>
      <c r="C257" s="81" t="n">
        <v>3</v>
      </c>
      <c r="D257" s="82" t="inlineStr">
        <is>
          <t>Athlete Network</t>
        </is>
      </c>
      <c r="E257" s="139" t="inlineStr">
        <is>
          <t>FE</t>
        </is>
      </c>
      <c r="F257" s="120" t="inlineStr">
        <is>
          <t>Code</t>
        </is>
      </c>
      <c r="G257" s="80" t="inlineStr">
        <is>
          <t>Public athlete profile on real data for ACTIVE athletes</t>
        </is>
      </c>
      <c r="H257" s="107" t="inlineStr">
        <is>
          <t>The public /athletes/[slug] page renders real data only for FEATURED athletes; an ACTIVE athlete still gets the fixture profile view. Render ACTIVE athletes from GET /public/athletes/:slug (public fields only).</t>
        </is>
      </c>
      <c r="I257" s="108" t="inlineStr">
        <is>
          <t>Ready</t>
        </is>
      </c>
      <c r="J257" s="108" t="n">
        <v>1</v>
      </c>
      <c r="K257" s="109" t="n"/>
      <c r="L257" s="109" t="n"/>
      <c r="M257" s="110" t="n"/>
      <c r="N257" s="81" t="n"/>
      <c r="O257" s="80" t="inlineStr">
        <is>
          <t>P9-BE-11</t>
        </is>
      </c>
      <c r="P257" s="80" t="inlineStr">
        <is>
          <t>An ACTIVE athlete's public page shows their own public fields from Postgres, never a fixture; no legal name, contact, age or pay; minors follow the same rule as FEATURED; unknown slugs are a not-found</t>
        </is>
      </c>
      <c r="Q257" s="82" t="inlineStr">
        <is>
          <t>§9 screen 5</t>
        </is>
      </c>
      <c r="R257" s="111" t="inlineStr">
        <is>
          <t>Raised 2026-09-29 by HeckerCreatives during P2-FE-01: the live property pages do not link roster names to /athletes/[slug] for this reason.</t>
        </is>
      </c>
    </row>
    <row r="258">
      <c r="A258" s="112" t="n">
        <v>55.1</v>
      </c>
      <c r="B258" s="113" t="inlineStr">
        <is>
          <t>P2-FE-02</t>
        </is>
      </c>
      <c r="C258" s="85" t="n">
        <v>2</v>
      </c>
      <c r="D258" s="86" t="inlineStr">
        <is>
          <t>Platform Foundations</t>
        </is>
      </c>
      <c r="E258" s="121" t="inlineStr">
        <is>
          <t>FE</t>
        </is>
      </c>
      <c r="F258" s="122" t="inlineStr">
        <is>
          <t>Code</t>
        </is>
      </c>
      <c r="G258" s="84" t="inlineStr">
        <is>
          <t>Server-side pagination for every growing list</t>
        </is>
      </c>
      <c r="H258" s="116" t="inlineStr">
        <is>
          <t>No list fetches every row and slices it in the browser: every list that grows with use asks the API for one page (page, size, search, filters and sort done in the database) and every count or money total on those screens is a database aggregate.</t>
        </is>
      </c>
      <c r="I258" s="108" t="inlineStr">
        <is>
          <t>Done</t>
        </is>
      </c>
      <c r="J258" s="108" t="n">
        <v>3</v>
      </c>
      <c r="K258" s="109" t="inlineStr">
        <is>
          <t>2026-09-29</t>
        </is>
      </c>
      <c r="L258" s="109" t="inlineStr">
        <is>
          <t>2026-09-29</t>
        </is>
      </c>
      <c r="M258" s="110" t="inlineStr">
        <is>
          <t>HeckerCreatives</t>
        </is>
      </c>
      <c r="N258" s="85" t="n"/>
      <c r="O258" s="84" t="inlineStr">
        <is>
          <t>P2-FE-01</t>
        </is>
      </c>
      <c r="P258"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58" s="86" t="inlineStr">
        <is>
          <t>Memory/2026-09-29/pagination.md</t>
        </is>
      </c>
      <c r="R258"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sheetData>
  <autoFilter ref="A4:R258"/>
  <mergeCells count="2">
    <mergeCell ref="A2:R2"/>
    <mergeCell ref="A1:R1"/>
  </mergeCells>
  <conditionalFormatting sqref="I5:I25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8">
    <cfRule type="expression" rank="0" priority="7" equalAverage="0" aboveAverage="0" dxfId="32" text="" percent="0" bottom="0">
      <formula>$I5="Done"</formula>
    </cfRule>
  </conditionalFormatting>
  <conditionalFormatting sqref="N5:N258">
    <cfRule type="cellIs" rank="0" priority="8" equalAverage="0" operator="greaterThanOrEqual" aboveAverage="0" dxfId="33" text="" percent="0" bottom="0">
      <formula>50</formula>
    </cfRule>
  </conditionalFormatting>
  <dataValidations count="1">
    <dataValidation sqref="I5:I25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n">
        <v>0</v>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Blocked</t>
        </is>
      </c>
      <c r="J70" s="108" t="n">
        <v>1</v>
      </c>
      <c r="K70" s="109" t="n"/>
      <c r="L70" s="109" t="n"/>
      <c r="M70" s="110" t="n"/>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sheetData>
  <autoFilter ref="A4:R70"/>
  <mergeCells count="2">
    <mergeCell ref="A2:R2"/>
    <mergeCell ref="A1:R1"/>
  </mergeCells>
  <conditionalFormatting sqref="I5:I7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0">
    <cfRule type="expression" rank="0" priority="7" equalAverage="0" aboveAverage="0" dxfId="32" text="" percent="0" bottom="0">
      <formula>$I5="Done"</formula>
    </cfRule>
  </conditionalFormatting>
  <conditionalFormatting sqref="N5:N70">
    <cfRule type="cellIs" rank="0" priority="8" equalAverage="0" operator="greaterThanOrEqual" aboveAverage="0" dxfId="33" text="" percent="0" bottom="0">
      <formula>50</formula>
    </cfRule>
  </conditionalFormatting>
  <dataValidations count="1">
    <dataValidation sqref="I5:I7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2026-09-29T08:13:07Z</dcterms:modified>
  <cp:revision>0</cp:revision>
</cp:coreProperties>
</file>