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1'!$A$4:$R$193</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347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188</v>
      </c>
      <c r="D5" s="81" t="n">
        <v>450</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344 delivery tasks only — the 9 legal/counsel tasks moved to the Legal sheet on 2026-09-15 and are tracked there (353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1'!$I$5:$I$193,"Ready")</f>
        <v/>
      </c>
      <c r="C5" s="81">
        <f>COUNTIF('Phase 1'!$I$5:$I$193,"In progress")</f>
        <v/>
      </c>
      <c r="D5" s="81">
        <f>COUNTIF('Phase 1'!$I$5:$I$193,"Code review")</f>
        <v/>
      </c>
      <c r="E5" s="81">
        <f>COUNTIF('Phase 1'!$I$5:$I$193,"Blocked")</f>
        <v/>
      </c>
      <c r="F5" s="81">
        <f>COUNTIF('Phase 1'!$I$5:$I$193,"Done")</f>
        <v/>
      </c>
      <c r="G5" s="81">
        <f>COUNTA('Phase 1'!$B$5:$B$193)</f>
        <v/>
      </c>
      <c r="H5" s="81">
        <f>SUMIF('Phase 1'!$I$5:$I$193,"&lt;&gt;Done",'Phase 1'!$J$5:$J$193)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1'!$F$5:$F$193,"Code")</f>
        <v/>
      </c>
      <c r="C16" s="81">
        <f>COUNTIF('Phase 2'!$F$5:$F$68,"Code")</f>
        <v/>
      </c>
      <c r="D16" s="81">
        <f>COUNTIF('Phase 3'!$F$5:$F$48,"Code")</f>
        <v/>
      </c>
      <c r="E16" s="81">
        <f>COUNTIF('Phase 4'!$F$5:$F$55,"Code")</f>
        <v/>
      </c>
      <c r="F16" s="81">
        <f>SUM(B16:E16)</f>
        <v/>
      </c>
    </row>
    <row r="17" ht="15" customHeight="1" s="75">
      <c r="A17" s="99" t="inlineStr">
        <is>
          <t>Code + console</t>
        </is>
      </c>
      <c r="B17" s="81">
        <f>COUNTIF('Phase 1'!$F$5:$F$193,"Code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194 tasks · 456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In progress</t>
        </is>
      </c>
      <c r="J18" s="108" t="n">
        <v>1</v>
      </c>
      <c r="K18" s="109" t="inlineStr">
        <is>
          <t>2026-09-18</t>
        </is>
      </c>
      <c r="L18" s="109" t="n"/>
      <c r="M18" s="110" t="inlineStr">
        <is>
          <t>rcfworks</t>
        </is>
      </c>
      <c r="N18" s="85" t="n">
        <v>8</v>
      </c>
      <c r="O18" s="84" t="inlineStr">
        <is>
          <t>P0-PMO-02</t>
        </is>
      </c>
      <c r="P18" s="84" t="inlineStr">
        <is>
          <t>Private and public buckets exist with separate policies; region set explicitly</t>
        </is>
      </c>
      <c r="Q18" s="86" t="inlineStr">
        <is>
          <t>Addendum A8</t>
        </is>
      </c>
      <c r="R18" s="111" t="n"/>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In progress</t>
        </is>
      </c>
      <c r="J48" s="108" t="n">
        <v>3</v>
      </c>
      <c r="K48" s="109" t="inlineStr">
        <is>
          <t>2026-09-18</t>
        </is>
      </c>
      <c r="L48" s="109" t="n"/>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In progress</t>
        </is>
      </c>
      <c r="J49" s="108" t="n">
        <v>3</v>
      </c>
      <c r="K49" s="109" t="inlineStr">
        <is>
          <t>2026-09-18</t>
        </is>
      </c>
      <c r="L49" s="109" t="n"/>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In progress</t>
        </is>
      </c>
      <c r="J52" s="108" t="n">
        <v>3</v>
      </c>
      <c r="K52" s="109" t="inlineStr">
        <is>
          <t>2026-09-18</t>
        </is>
      </c>
      <c r="L52" s="109" t="n"/>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In progress</t>
        </is>
      </c>
      <c r="J59" s="108" t="n">
        <v>1</v>
      </c>
      <c r="K59" s="109" t="inlineStr">
        <is>
          <t>2026-09-18</t>
        </is>
      </c>
      <c r="L59" s="109" t="n"/>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In progress</t>
        </is>
      </c>
      <c r="J60" s="108" t="n">
        <v>3</v>
      </c>
      <c r="K60" s="109" t="inlineStr">
        <is>
          <t>2026-09-15</t>
        </is>
      </c>
      <c r="L60" s="109" t="inlineStr">
        <is>
          <t>2026-09-16</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In progress</t>
        </is>
      </c>
      <c r="J67" s="108" t="n">
        <v>1</v>
      </c>
      <c r="K67" s="109" t="inlineStr">
        <is>
          <t>2026-09-15</t>
        </is>
      </c>
      <c r="L67" s="109" t="inlineStr">
        <is>
          <t>2026-09-16</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Blocked</t>
        </is>
      </c>
      <c r="J73" s="108" t="n">
        <v>3</v>
      </c>
      <c r="K73" s="109" t="n"/>
      <c r="L73" s="109" t="n"/>
      <c r="M73" s="110" t="n"/>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n"/>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Blocked</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Blocked</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Blocked</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n"/>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Blocked</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23.85" customHeight="1" s="75">
      <c r="A191" s="112" t="n">
        <v>131.5</v>
      </c>
      <c r="B191" s="113" t="inlineStr">
        <is>
          <t>P6-INT-02</t>
        </is>
      </c>
      <c r="C191" s="85" t="n">
        <v>6</v>
      </c>
      <c r="D191" s="86" t="inlineStr">
        <is>
          <t>Measurement &amp; Reward</t>
        </is>
      </c>
      <c r="E191" s="141" t="inlineStr">
        <is>
          <t>INT</t>
        </is>
      </c>
      <c r="F191" s="122" t="inlineStr">
        <is>
          <t>Code</t>
        </is>
      </c>
      <c r="G191" s="84" t="inlineStr">
        <is>
          <t>Email the reward code to the fan at CLAIM</t>
        </is>
      </c>
      <c r="H191"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1" s="108" t="inlineStr">
        <is>
          <t>Blocked</t>
        </is>
      </c>
      <c r="J191" s="108" t="n">
        <v>1</v>
      </c>
      <c r="K191" s="109" t="n"/>
      <c r="L191" s="109" t="n"/>
      <c r="M191" s="110" t="n"/>
      <c r="N191" s="85" t="n">
        <v>0</v>
      </c>
      <c r="O191" s="84" t="inlineStr">
        <is>
          <t>P3-INT-01, P6-BE-03</t>
        </is>
      </c>
      <c r="P191" s="84" t="inlineStr">
        <is>
          <t>A CLAIM enqueues one send carrying the code, offer, pickup point and expiry; the send is idempotent so a repeat claim on an existing token does not send twice</t>
        </is>
      </c>
      <c r="Q191" s="86" t="inlineStr">
        <is>
          <t>§16, §13 step 9, G-04</t>
        </is>
      </c>
      <c r="R191" s="111" t="inlineStr">
        <is>
          <t>Raised 2026-09-16 from the P1-ART-05 fan landing design. The design's CLAIMED board states the code was emailed; either this task exists or that line comes out of the copy.</t>
        </is>
      </c>
    </row>
    <row r="192" ht="35.05" customHeight="1" s="75">
      <c r="A192" s="104" t="n">
        <v>134.5</v>
      </c>
      <c r="B192" s="105" t="inlineStr">
        <is>
          <t>P6-SEC-03</t>
        </is>
      </c>
      <c r="C192" s="81" t="n">
        <v>6</v>
      </c>
      <c r="D192" s="82" t="inlineStr">
        <is>
          <t>Measurement &amp; Reward</t>
        </is>
      </c>
      <c r="E192" s="140" t="inlineStr">
        <is>
          <t>SEC</t>
        </is>
      </c>
      <c r="F192" s="120" t="inlineStr">
        <is>
          <t>Code</t>
        </is>
      </c>
      <c r="G192" s="80" t="inlineStr">
        <is>
          <t>Fan unsubscribe and consent withdrawal</t>
        </is>
      </c>
      <c r="H192"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2" s="108" t="inlineStr">
        <is>
          <t>Blocked</t>
        </is>
      </c>
      <c r="J192" s="108" t="n">
        <v>1</v>
      </c>
      <c r="K192" s="109" t="n"/>
      <c r="L192" s="109" t="n"/>
      <c r="M192" s="110" t="n"/>
      <c r="N192" s="81" t="n">
        <v>0</v>
      </c>
      <c r="O192" s="80" t="inlineStr">
        <is>
          <t>P6-SEC-01, P3-INT-01</t>
        </is>
      </c>
      <c r="P192" s="80" t="inlineStr">
        <is>
          <t>An unsubscribe link in every fan email works without login and in one tap; withdrawal is recorded against the same consent record with a timestamp; a withdrawn fan is excluded from P6-INT-01's lead push at query level, not in the UI</t>
        </is>
      </c>
      <c r="Q192" s="82" t="inlineStr">
        <is>
          <t>§16, §26</t>
        </is>
      </c>
      <c r="R192" s="111" t="inlineStr">
        <is>
          <t>Raised 2026-09-16 from the P1-ART-05 fan landing design. Blocks nothing today, but the consent copy cannot ship as written until this exists - the alternative is narrowing the promise.</t>
        </is>
      </c>
    </row>
  </sheetData>
  <autoFilter ref="A4:R193"/>
  <mergeCells count="2">
    <mergeCell ref="A2:R2"/>
    <mergeCell ref="A1:R1"/>
  </mergeCells>
  <conditionalFormatting sqref="I5:I19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3">
    <cfRule type="expression" rank="0" priority="7" equalAverage="0" aboveAverage="0" dxfId="32" text="" percent="0" bottom="0">
      <formula>$I5="Done"</formula>
    </cfRule>
  </conditionalFormatting>
  <conditionalFormatting sqref="N5:N193">
    <cfRule type="cellIs" rank="0" priority="8" equalAverage="0" operator="greaterThanOrEqual" aboveAverage="0" dxfId="33" text="" percent="0" bottom="0">
      <formula>50</formula>
    </cfRule>
  </conditionalFormatting>
  <dataValidations count="1">
    <dataValidation sqref="I5:I19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2026-09-18T09:10:37Z</dcterms:modified>
  <cp:revision>0</cp:revision>
</cp:coreProperties>
</file>