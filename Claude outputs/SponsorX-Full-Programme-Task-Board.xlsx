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2'!$A$4:$R$68</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1'!$I$5:$I$237,"Ready")</f>
        <v/>
      </c>
      <c r="C5" s="81">
        <f>COUNTIF('Phase 1'!$I$5:$I$237,"In progress")</f>
        <v/>
      </c>
      <c r="D5" s="81">
        <f>COUNTIF('Phase 1'!$I$5:$I$237,"Code review")</f>
        <v/>
      </c>
      <c r="E5" s="81">
        <f>COUNTIF('Phase 1'!$I$5:$I$237,"Blocked")</f>
        <v/>
      </c>
      <c r="F5" s="81">
        <f>COUNTIF('Phase 1'!$I$5:$I$237,"Done")</f>
        <v/>
      </c>
      <c r="G5" s="81">
        <f>COUNTA('Phase 1'!$B$5:$B$237)</f>
        <v/>
      </c>
      <c r="H5" s="81">
        <f>SUMIF('Phase 1'!$I$5:$I$237,"&lt;&gt;Done",'Phase 1'!$J$5:$J$237)</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1'!$F$5:$F$237,"Document")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1'!$F$5:$F$237,"Zoho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1'!$F$5:$F$237,"Vendor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1'!$F$5:$F$237,"Code")</f>
        <v/>
      </c>
      <c r="C16" s="81">
        <f>COUNTIF('Phase 2'!$F$5:$F$68,"Code")</f>
        <v/>
      </c>
      <c r="D16" s="81">
        <f>COUNTIF('Phase 3'!$F$5:$F$48,"Code")</f>
        <v/>
      </c>
      <c r="E16" s="81">
        <f>COUNTIF('Phase 4'!$F$5:$F$55,"Code")</f>
        <v/>
      </c>
      <c r="F16" s="81">
        <f>SUM(B16:E16)</f>
        <v/>
      </c>
    </row>
    <row r="17" ht="15" customHeight="1" s="75">
      <c r="A17" s="99" t="inlineStr">
        <is>
          <t>Code + console</t>
        </is>
      </c>
      <c r="B17" s="81">
        <f>COUNTIF('Phase 1'!$F$5:$F$237,"Code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1'!$F$5:$F$237,"Design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1'!$F$5:$F$237,"Document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1'!$F$5:$F$237,"External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0"/>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1'!$C$5:$C$237,$A5,'Phase 1'!$I$5:$I$237,"Done")</f>
        <v/>
      </c>
      <c r="D5" s="74">
        <f>COUNTIF('Phase 1'!$C$5:$C$237,$A5)</f>
        <v/>
      </c>
      <c r="E5" s="156">
        <f>IF($D5=0,0,$C5/$D5)</f>
        <v/>
      </c>
      <c r="F5" s="74">
        <f>SUMIFS('Phase 1'!$J$5:$J$237,'Phase 1'!$C$5:$C$237,$A5,'Phase 1'!$I$5:$I$237,"&lt;&gt;Done")</f>
        <v/>
      </c>
      <c r="G5" s="74">
        <f>COUNTIFS('Phase 1'!$C$5:$C$237,$A5,'Phase 1'!$I$5:$I$237,"In progress")+COUNTIFS('Phase 1'!$C$5:$C$237,$A5,'Phase 1'!$I$5:$I$237,"Code review")</f>
        <v/>
      </c>
      <c r="H5" s="74">
        <f>COUNTIFS('Phase 1'!$C$5:$C$237,$A5,'Phase 1'!$I$5:$I$237,"Blocked")</f>
        <v/>
      </c>
    </row>
    <row r="6">
      <c r="A6" s="155" t="n">
        <v>1</v>
      </c>
      <c r="B6" s="74" t="inlineStr">
        <is>
          <t>UI Scaffold on Fixtures</t>
        </is>
      </c>
      <c r="C6" s="74">
        <f>COUNTIFS('Phase 1'!$C$5:$C$237,$A6,'Phase 1'!$I$5:$I$237,"Done")</f>
        <v/>
      </c>
      <c r="D6" s="74">
        <f>COUNTIF('Phase 1'!$C$5:$C$237,$A6)</f>
        <v/>
      </c>
      <c r="E6" s="156">
        <f>IF($D6=0,0,$C6/$D6)</f>
        <v/>
      </c>
      <c r="F6" s="74">
        <f>SUMIFS('Phase 1'!$J$5:$J$237,'Phase 1'!$C$5:$C$237,$A6,'Phase 1'!$I$5:$I$237,"&lt;&gt;Done")</f>
        <v/>
      </c>
      <c r="G6" s="74">
        <f>COUNTIFS('Phase 1'!$C$5:$C$237,$A6,'Phase 1'!$I$5:$I$237,"In progress")+COUNTIFS('Phase 1'!$C$5:$C$237,$A6,'Phase 1'!$I$5:$I$237,"Code review")</f>
        <v/>
      </c>
      <c r="H6" s="74">
        <f>COUNTIFS('Phase 1'!$C$5:$C$237,$A6,'Phase 1'!$I$5:$I$237,"Blocked")</f>
        <v/>
      </c>
    </row>
    <row r="7">
      <c r="A7" s="155" t="n">
        <v>2</v>
      </c>
      <c r="B7" s="74" t="inlineStr">
        <is>
          <t>Platform Foundations</t>
        </is>
      </c>
      <c r="C7" s="74">
        <f>COUNTIFS('Phase 1'!$C$5:$C$237,$A7,'Phase 1'!$I$5:$I$237,"Done")</f>
        <v/>
      </c>
      <c r="D7" s="74">
        <f>COUNTIF('Phase 1'!$C$5:$C$237,$A7)</f>
        <v/>
      </c>
      <c r="E7" s="156">
        <f>IF($D7=0,0,$C7/$D7)</f>
        <v/>
      </c>
      <c r="F7" s="74">
        <f>SUMIFS('Phase 1'!$J$5:$J$237,'Phase 1'!$C$5:$C$237,$A7,'Phase 1'!$I$5:$I$237,"&lt;&gt;Done")</f>
        <v/>
      </c>
      <c r="G7" s="74">
        <f>COUNTIFS('Phase 1'!$C$5:$C$237,$A7,'Phase 1'!$I$5:$I$237,"In progress")+COUNTIFS('Phase 1'!$C$5:$C$237,$A7,'Phase 1'!$I$5:$I$237,"Code review")</f>
        <v/>
      </c>
      <c r="H7" s="74">
        <f>COUNTIFS('Phase 1'!$C$5:$C$237,$A7,'Phase 1'!$I$5:$I$237,"Blocked")</f>
        <v/>
      </c>
    </row>
    <row r="8">
      <c r="A8" s="155" t="n">
        <v>3</v>
      </c>
      <c r="B8" s="74" t="inlineStr">
        <is>
          <t>Athlete Network</t>
        </is>
      </c>
      <c r="C8" s="74">
        <f>COUNTIFS('Phase 1'!$C$5:$C$237,$A8,'Phase 1'!$I$5:$I$237,"Done")</f>
        <v/>
      </c>
      <c r="D8" s="74">
        <f>COUNTIF('Phase 1'!$C$5:$C$237,$A8)</f>
        <v/>
      </c>
      <c r="E8" s="156">
        <f>IF($D8=0,0,$C8/$D8)</f>
        <v/>
      </c>
      <c r="F8" s="74">
        <f>SUMIFS('Phase 1'!$J$5:$J$237,'Phase 1'!$C$5:$C$237,$A8,'Phase 1'!$I$5:$I$237,"&lt;&gt;Done")</f>
        <v/>
      </c>
      <c r="G8" s="74">
        <f>COUNTIFS('Phase 1'!$C$5:$C$237,$A8,'Phase 1'!$I$5:$I$237,"In progress")+COUNTIFS('Phase 1'!$C$5:$C$237,$A8,'Phase 1'!$I$5:$I$237,"Code review")</f>
        <v/>
      </c>
      <c r="H8" s="74">
        <f>COUNTIFS('Phase 1'!$C$5:$C$237,$A8,'Phase 1'!$I$5:$I$237,"Blocked")</f>
        <v/>
      </c>
    </row>
    <row r="9">
      <c r="A9" s="155" t="n">
        <v>4</v>
      </c>
      <c r="B9" s="74" t="inlineStr">
        <is>
          <t>Sponsor Demand &amp; Matching</t>
        </is>
      </c>
      <c r="C9" s="74">
        <f>COUNTIFS('Phase 1'!$C$5:$C$237,$A9,'Phase 1'!$I$5:$I$237,"Done")</f>
        <v/>
      </c>
      <c r="D9" s="74">
        <f>COUNTIF('Phase 1'!$C$5:$C$237,$A9)</f>
        <v/>
      </c>
      <c r="E9" s="156">
        <f>IF($D9=0,0,$C9/$D9)</f>
        <v/>
      </c>
      <c r="F9" s="74">
        <f>SUMIFS('Phase 1'!$J$5:$J$237,'Phase 1'!$C$5:$C$237,$A9,'Phase 1'!$I$5:$I$237,"&lt;&gt;Done")</f>
        <v/>
      </c>
      <c r="G9" s="74">
        <f>COUNTIFS('Phase 1'!$C$5:$C$237,$A9,'Phase 1'!$I$5:$I$237,"In progress")+COUNTIFS('Phase 1'!$C$5:$C$237,$A9,'Phase 1'!$I$5:$I$237,"Code review")</f>
        <v/>
      </c>
      <c r="H9" s="74">
        <f>COUNTIFS('Phase 1'!$C$5:$C$237,$A9,'Phase 1'!$I$5:$I$237,"Blocked")</f>
        <v/>
      </c>
    </row>
    <row r="10">
      <c r="A10" s="155" t="n">
        <v>5</v>
      </c>
      <c r="B10" s="74" t="inlineStr">
        <is>
          <t>Campaign Execution</t>
        </is>
      </c>
      <c r="C10" s="74">
        <f>COUNTIFS('Phase 1'!$C$5:$C$237,$A10,'Phase 1'!$I$5:$I$237,"Done")</f>
        <v/>
      </c>
      <c r="D10" s="74">
        <f>COUNTIF('Phase 1'!$C$5:$C$237,$A10)</f>
        <v/>
      </c>
      <c r="E10" s="156">
        <f>IF($D10=0,0,$C10/$D10)</f>
        <v/>
      </c>
      <c r="F10" s="74">
        <f>SUMIFS('Phase 1'!$J$5:$J$237,'Phase 1'!$C$5:$C$237,$A10,'Phase 1'!$I$5:$I$237,"&lt;&gt;Done")</f>
        <v/>
      </c>
      <c r="G10" s="74">
        <f>COUNTIFS('Phase 1'!$C$5:$C$237,$A10,'Phase 1'!$I$5:$I$237,"In progress")+COUNTIFS('Phase 1'!$C$5:$C$237,$A10,'Phase 1'!$I$5:$I$237,"Code review")</f>
        <v/>
      </c>
      <c r="H10" s="74">
        <f>COUNTIFS('Phase 1'!$C$5:$C$237,$A10,'Phase 1'!$I$5:$I$237,"Blocked")</f>
        <v/>
      </c>
    </row>
    <row r="11">
      <c r="A11" s="155" t="n">
        <v>6</v>
      </c>
      <c r="B11" s="74" t="inlineStr">
        <is>
          <t>Measurement &amp; Reward</t>
        </is>
      </c>
      <c r="C11" s="74">
        <f>COUNTIFS('Phase 1'!$C$5:$C$237,$A11,'Phase 1'!$I$5:$I$237,"Done")</f>
        <v/>
      </c>
      <c r="D11" s="74">
        <f>COUNTIF('Phase 1'!$C$5:$C$237,$A11)</f>
        <v/>
      </c>
      <c r="E11" s="156">
        <f>IF($D11=0,0,$C11/$D11)</f>
        <v/>
      </c>
      <c r="F11" s="74">
        <f>SUMIFS('Phase 1'!$J$5:$J$237,'Phase 1'!$C$5:$C$237,$A11,'Phase 1'!$I$5:$I$237,"&lt;&gt;Done")</f>
        <v/>
      </c>
      <c r="G11" s="74">
        <f>COUNTIFS('Phase 1'!$C$5:$C$237,$A11,'Phase 1'!$I$5:$I$237,"In progress")+COUNTIFS('Phase 1'!$C$5:$C$237,$A11,'Phase 1'!$I$5:$I$237,"Code review")</f>
        <v/>
      </c>
      <c r="H11" s="74">
        <f>COUNTIFS('Phase 1'!$C$5:$C$237,$A11,'Phase 1'!$I$5:$I$237,"Blocked")</f>
        <v/>
      </c>
    </row>
    <row r="12">
      <c r="A12" s="155" t="n">
        <v>7</v>
      </c>
      <c r="B12" s="74" t="inlineStr">
        <is>
          <t>Money &amp; Reporting</t>
        </is>
      </c>
      <c r="C12" s="74">
        <f>COUNTIFS('Phase 1'!$C$5:$C$237,$A12,'Phase 1'!$I$5:$I$237,"Done")</f>
        <v/>
      </c>
      <c r="D12" s="74">
        <f>COUNTIF('Phase 1'!$C$5:$C$237,$A12)</f>
        <v/>
      </c>
      <c r="E12" s="156">
        <f>IF($D12=0,0,$C12/$D12)</f>
        <v/>
      </c>
      <c r="F12" s="74">
        <f>SUMIFS('Phase 1'!$J$5:$J$237,'Phase 1'!$C$5:$C$237,$A12,'Phase 1'!$I$5:$I$237,"&lt;&gt;Done")</f>
        <v/>
      </c>
      <c r="G12" s="74">
        <f>COUNTIFS('Phase 1'!$C$5:$C$237,$A12,'Phase 1'!$I$5:$I$237,"In progress")+COUNTIFS('Phase 1'!$C$5:$C$237,$A12,'Phase 1'!$I$5:$I$237,"Code review")</f>
        <v/>
      </c>
      <c r="H12" s="74">
        <f>COUNTIFS('Phase 1'!$C$5:$C$237,$A12,'Phase 1'!$I$5:$I$237,"Blocked")</f>
        <v/>
      </c>
    </row>
    <row r="13">
      <c r="A13" s="155" t="n">
        <v>8</v>
      </c>
      <c r="B13" s="74" t="inlineStr">
        <is>
          <t>Integration, Hardening &amp; Launch</t>
        </is>
      </c>
      <c r="C13" s="74">
        <f>COUNTIFS('Phase 1'!$C$5:$C$237,$A13,'Phase 1'!$I$5:$I$237,"Done")</f>
        <v/>
      </c>
      <c r="D13" s="74">
        <f>COUNTIF('Phase 1'!$C$5:$C$237,$A13)</f>
        <v/>
      </c>
      <c r="E13" s="156">
        <f>IF($D13=0,0,$C13/$D13)</f>
        <v/>
      </c>
      <c r="F13" s="74">
        <f>SUMIFS('Phase 1'!$J$5:$J$237,'Phase 1'!$C$5:$C$237,$A13,'Phase 1'!$I$5:$I$237,"&lt;&gt;Done")</f>
        <v/>
      </c>
      <c r="G13" s="74">
        <f>COUNTIFS('Phase 1'!$C$5:$C$237,$A13,'Phase 1'!$I$5:$I$237,"In progress")+COUNTIFS('Phase 1'!$C$5:$C$237,$A13,'Phase 1'!$I$5:$I$237,"Code review")</f>
        <v/>
      </c>
      <c r="H13" s="74">
        <f>COUNTIFS('Phase 1'!$C$5:$C$237,$A13,'Phase 1'!$I$5:$I$237,"Blocked")</f>
        <v/>
      </c>
    </row>
    <row r="14">
      <c r="A14" s="155" t="n">
        <v>9</v>
      </c>
      <c r="B14" s="74" t="inlineStr">
        <is>
          <t>SponsorX NEXT (gated)</t>
        </is>
      </c>
      <c r="C14" s="74">
        <f>COUNTIFS('Phase 1'!$C$5:$C$237,$A14,'Phase 1'!$I$5:$I$237,"Done")</f>
        <v/>
      </c>
      <c r="D14" s="74">
        <f>COUNTIF('Phase 1'!$C$5:$C$237,$A14)</f>
        <v/>
      </c>
      <c r="E14" s="156">
        <f>IF($D14=0,0,$C14/$D14)</f>
        <v/>
      </c>
      <c r="F14" s="74">
        <f>SUMIFS('Phase 1'!$J$5:$J$237,'Phase 1'!$C$5:$C$237,$A14,'Phase 1'!$I$5:$I$237,"&lt;&gt;Done")</f>
        <v/>
      </c>
      <c r="G14" s="74">
        <f>COUNTIFS('Phase 1'!$C$5:$C$237,$A14,'Phase 1'!$I$5:$I$237,"In progress")+COUNTIFS('Phase 1'!$C$5:$C$237,$A14,'Phase 1'!$I$5:$I$237,"Code review")</f>
        <v/>
      </c>
      <c r="H14" s="74">
        <f>COUNTIFS('Phase 1'!$C$5:$C$237,$A14,'Phase 1'!$I$5:$I$237,"Blocked")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20</v>
      </c>
      <c r="C20" s="155" t="n">
        <v>21</v>
      </c>
      <c r="D20" s="155" t="n">
        <v>10</v>
      </c>
      <c r="E20" s="155" t="n">
        <v>5</v>
      </c>
      <c r="F20" s="155" t="n">
        <v>1</v>
      </c>
      <c r="G20" s="155" t="n">
        <v>1</v>
      </c>
      <c r="H20" s="155" t="n">
        <v>0</v>
      </c>
      <c r="I20" s="155" t="n">
        <v>0</v>
      </c>
      <c r="J20" s="155" t="n">
        <v>0</v>
      </c>
      <c r="K20" s="155" t="n">
        <v>0</v>
      </c>
      <c r="L20" s="155" t="n">
        <v>58</v>
      </c>
      <c r="M20" s="155" t="n">
        <v>500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inlineStr">
        <is>
          <t>2026-09-18</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In progress</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In progress</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In progress</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In progress</t>
        </is>
      </c>
      <c r="J54" s="108" t="n">
        <v>1</v>
      </c>
      <c r="K54" s="109" t="inlineStr">
        <is>
          <t>2026-09-15</t>
        </is>
      </c>
      <c r="L54" s="109" t="inlineStr">
        <is>
          <t>2026-09-16</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In progress</t>
        </is>
      </c>
      <c r="J56" s="108" t="n">
        <v>3</v>
      </c>
      <c r="K56" s="109" t="inlineStr">
        <is>
          <t>2026-09-18</t>
        </is>
      </c>
      <c r="L56" s="109" t="n"/>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In progress</t>
        </is>
      </c>
      <c r="J58" s="108" t="n">
        <v>3</v>
      </c>
      <c r="K58" s="109" t="inlineStr">
        <is>
          <t>2026-09-18</t>
        </is>
      </c>
      <c r="L58" s="109" t="n"/>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In progress</t>
        </is>
      </c>
      <c r="J61" s="108" t="n">
        <v>3</v>
      </c>
      <c r="K61" s="109" t="inlineStr">
        <is>
          <t>2026-09-18</t>
        </is>
      </c>
      <c r="L61" s="109" t="n"/>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In progress</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In progress</t>
        </is>
      </c>
      <c r="J71" s="108" t="n">
        <v>3</v>
      </c>
      <c r="K71" s="109" t="inlineStr">
        <is>
          <t>2026-09-18</t>
        </is>
      </c>
      <c r="L71" s="109" t="n"/>
      <c r="M71" s="110" t="inlineStr">
        <is>
          <t>rcfworks</t>
        </is>
      </c>
      <c r="N71" s="85" t="n"/>
      <c r="O71" s="84" t="inlineStr">
        <is>
          <t>P2-OPS-09</t>
        </is>
      </c>
      <c r="P71" s="84" t="inlineStr">
        <is>
          <t>Deploy, rollback, migration-failure and restore procedures written down and tested once</t>
        </is>
      </c>
      <c r="Q71" s="86" t="inlineStr">
        <is>
          <t>§38</t>
        </is>
      </c>
      <c r="R71" s="111" t="n"/>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In progress</t>
        </is>
      </c>
      <c r="J72" s="108" t="n">
        <v>1</v>
      </c>
      <c r="K72" s="109" t="inlineStr">
        <is>
          <t>2026-09-18</t>
        </is>
      </c>
      <c r="L72" s="109" t="n"/>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Ready</t>
        </is>
      </c>
      <c r="J74" s="108" t="n">
        <v>1</v>
      </c>
      <c r="K74" s="109" t="n"/>
      <c r="L74" s="109" t="n"/>
      <c r="M74" s="110" t="n"/>
      <c r="N74" s="81" t="n">
        <v>1</v>
      </c>
      <c r="O74" s="80" t="inlineStr">
        <is>
          <t>P3-BE-01</t>
        </is>
      </c>
      <c r="P74" s="80" t="inlineStr">
        <is>
          <t>All three §11 sections stored; restrictions are queryable for the conflict check in Phase 4</t>
        </is>
      </c>
      <c r="Q74" s="82" t="inlineStr">
        <is>
          <t>§11, §26</t>
        </is>
      </c>
      <c r="R74" s="111" t="n"/>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Code review</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Code review</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Blocked</t>
        </is>
      </c>
      <c r="J81" s="108" t="n">
        <v>3</v>
      </c>
      <c r="K81" s="109" t="n"/>
      <c r="L81" s="109" t="n"/>
      <c r="M81" s="110" t="n"/>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Code review</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Blocked</t>
        </is>
      </c>
      <c r="J83" s="108" t="n">
        <v>3</v>
      </c>
      <c r="K83" s="109" t="n"/>
      <c r="L83" s="109" t="n"/>
      <c r="M83" s="110" t="n"/>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Blocked</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Blocked</t>
        </is>
      </c>
      <c r="J86" s="108" t="n">
        <v>1</v>
      </c>
      <c r="K86" s="109" t="n"/>
      <c r="L86" s="109" t="n"/>
      <c r="M86" s="110" t="n"/>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Ready</t>
        </is>
      </c>
      <c r="J87" s="108" t="n">
        <v>3</v>
      </c>
      <c r="K87" s="109" t="n"/>
      <c r="L87" s="109" t="n"/>
      <c r="M87" s="110" t="n"/>
      <c r="N87" s="81" t="n"/>
      <c r="O87" s="80" t="inlineStr">
        <is>
          <t>P0-DATA-03, P3-BE-01</t>
        </is>
      </c>
      <c r="P87" s="80" t="inlineStr">
        <is>
          <t>AthleteScore stores the score, the full factor JSON and method: "rules-v1" — a number without its factors is not acceptable</t>
        </is>
      </c>
      <c r="Q87" s="82" t="inlineStr">
        <is>
          <t>§14</t>
        </is>
      </c>
      <c r="R87" s="111" t="n"/>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Ready</t>
        </is>
      </c>
      <c r="J88" s="108" t="n">
        <v>3</v>
      </c>
      <c r="K88" s="109" t="n"/>
      <c r="L88" s="109" t="n"/>
      <c r="M88" s="110" t="n"/>
      <c r="N88" s="85" t="n"/>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Blocked</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Blocked</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Blocked</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Ready</t>
        </is>
      </c>
      <c r="J92" s="108" t="n">
        <v>1</v>
      </c>
      <c r="K92" s="109" t="n"/>
      <c r="L92" s="109" t="n"/>
      <c r="M92" s="110" t="n"/>
      <c r="N92" s="85" t="n"/>
      <c r="O92" s="84" t="inlineStr">
        <is>
          <t>P3-INT-01, P3-BE-07</t>
        </is>
      </c>
      <c r="P92" s="84" t="inlineStr">
        <is>
          <t>Submission acknowledgement, changes-requested and approval emails all send as worker jobs</t>
        </is>
      </c>
      <c r="Q92" s="86" t="inlineStr">
        <is>
          <t>§39</t>
        </is>
      </c>
      <c r="R92" s="111" t="n"/>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Ready</t>
        </is>
      </c>
      <c r="J94" s="108" t="n">
        <v>1</v>
      </c>
      <c r="K94" s="109" t="n"/>
      <c r="L94" s="109" t="n"/>
      <c r="M94" s="110" t="n"/>
      <c r="N94" s="85" t="n"/>
      <c r="O94" s="84" t="inlineStr">
        <is>
          <t>P3-BE-03</t>
        </is>
      </c>
      <c r="P94" s="84" t="inlineStr">
        <is>
          <t>Date of birth handling, guardian PII and the constraints from P0-LEG-06 are enforced in code, not just documented</t>
        </is>
      </c>
      <c r="Q94" s="86" t="inlineStr">
        <is>
          <t>§4, §26</t>
        </is>
      </c>
      <c r="R94" s="111" t="inlineStr">
        <is>
          <t>2026-09-15: legal dependency removed (P0-LEG-06) — legal approvals no longer gate development.</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Ready</t>
        </is>
      </c>
      <c r="J95" s="108" t="n">
        <v>3</v>
      </c>
      <c r="K95" s="109" t="n"/>
      <c r="L95" s="109" t="n"/>
      <c r="M95" s="110" t="n"/>
      <c r="N95" s="81" t="n">
        <v>1</v>
      </c>
      <c r="O95" s="80" t="inlineStr">
        <is>
          <t>P2-BE-04</t>
        </is>
      </c>
      <c r="P95" s="80" t="inlineStr">
        <is>
          <t>Sponsor and contact records exist with Zoho external IDs and sync markers; sponsor scope restricts to own records</t>
        </is>
      </c>
      <c r="Q95" s="82" t="inlineStr">
        <is>
          <t>§20, §18</t>
        </is>
      </c>
      <c r="R95" s="111" t="n"/>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Blocked</t>
        </is>
      </c>
      <c r="J96" s="108" t="n">
        <v>3</v>
      </c>
      <c r="K96" s="109" t="n"/>
      <c r="L96" s="109" t="n"/>
      <c r="M96" s="110" t="n"/>
      <c r="N96" s="85" t="n">
        <v>3</v>
      </c>
      <c r="O96" s="84" t="inlineStr">
        <is>
          <t>P4-BE-01</t>
        </is>
      </c>
      <c r="P96" s="84" t="inlineStr">
        <is>
          <t>DRAFT→QUALIFIED→APPROVED→CAMPAIGN_CREATED→CLOSED enforced; objective, budget, package, dates, targeting and category captured</t>
        </is>
      </c>
      <c r="Q96" s="86" t="inlineStr">
        <is>
          <t>§13, §21</t>
        </is>
      </c>
      <c r="R96" s="111" t="n"/>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Blocked</t>
        </is>
      </c>
      <c r="J97" s="108" t="n">
        <v>5</v>
      </c>
      <c r="K97" s="109" t="n"/>
      <c r="L97" s="109" t="n"/>
      <c r="M97" s="110" t="n"/>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n"/>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Blocked</t>
        </is>
      </c>
      <c r="J98" s="108" t="n">
        <v>3</v>
      </c>
      <c r="K98" s="109" t="n"/>
      <c r="L98" s="109" t="n"/>
      <c r="M98" s="110" t="n"/>
      <c r="N98" s="85" t="n">
        <v>5</v>
      </c>
      <c r="O98" s="84" t="inlineStr">
        <is>
          <t>P4-BE-03</t>
        </is>
      </c>
      <c r="P98" s="84" t="inlineStr">
        <is>
          <t>INVITED→VIEWED→ACCEPTED/DECLINED/EXPIRED enforced; every transition audited</t>
        </is>
      </c>
      <c r="Q98" s="86" t="inlineStr">
        <is>
          <t>§21</t>
        </is>
      </c>
      <c r="R98" s="111" t="n"/>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Blocked</t>
        </is>
      </c>
      <c r="J99" s="108" t="n">
        <v>3</v>
      </c>
      <c r="K99" s="109" t="n"/>
      <c r="L99" s="109" t="n"/>
      <c r="M99" s="110" t="n"/>
      <c r="N99" s="81" t="n">
        <v>2</v>
      </c>
      <c r="O99" s="80" t="inlineStr">
        <is>
          <t>P4-BE-02</t>
        </is>
      </c>
      <c r="P99" s="80" t="inlineStr">
        <is>
          <t>DRAFT→STAFFING→APPROVAL→ACTIVE→REPORTING→COMPLETED/CANCELLED enforced; Campaign.budget never reachable from an athlete-scoped query</t>
        </is>
      </c>
      <c r="Q99" s="82" t="inlineStr">
        <is>
          <t>§21, Guide §04</t>
        </is>
      </c>
      <c r="R99" s="111" t="n"/>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Blocked</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Blocked</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Blocked</t>
        </is>
      </c>
      <c r="J103" s="108" t="n">
        <v>1</v>
      </c>
      <c r="K103" s="109" t="n"/>
      <c r="L103" s="109" t="n"/>
      <c r="M103" s="110" t="n"/>
      <c r="N103" s="81" t="n"/>
      <c r="O103" s="80" t="inlineStr">
        <is>
          <t>P4-BE-04, P2-BE-05</t>
        </is>
      </c>
      <c r="P103" s="80" t="inlineStr">
        <is>
          <t>Invitations past their window move to EXPIRED automatically and cannot be accepted afterwards</t>
        </is>
      </c>
      <c r="Q103" s="82" t="inlineStr">
        <is>
          <t>§21</t>
        </is>
      </c>
      <c r="R103" s="111" t="n"/>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Blocked</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Blocked</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Blocked</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Blocked</t>
        </is>
      </c>
      <c r="J107" s="108" t="n">
        <v>1</v>
      </c>
      <c r="K107" s="109" t="n"/>
      <c r="L107" s="109" t="n"/>
      <c r="M107" s="110" t="n"/>
      <c r="N107" s="81" t="n"/>
      <c r="O107" s="80" t="inlineStr">
        <is>
          <t>P3-INT-01, P4-BE-04</t>
        </is>
      </c>
      <c r="P107" s="80" t="inlineStr">
        <is>
          <t>Invitation, reminder and expiry-warning emails all send as queued jobs</t>
        </is>
      </c>
      <c r="Q107" s="82" t="inlineStr">
        <is>
          <t>§39</t>
        </is>
      </c>
      <c r="R107" s="111" t="n"/>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Blocked</t>
        </is>
      </c>
      <c r="J109" s="108" t="n">
        <v>3</v>
      </c>
      <c r="K109" s="109" t="n"/>
      <c r="L109" s="109" t="n"/>
      <c r="M109" s="110" t="n"/>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Blocked</t>
        </is>
      </c>
      <c r="J111" s="108" t="n">
        <v>5</v>
      </c>
      <c r="K111" s="109" t="n"/>
      <c r="L111" s="109" t="n"/>
      <c r="M111" s="110" t="n"/>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2026-09-15: legal dependency removed (P0-LEG-02) — legal approvals no longer gate development.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Blocked</t>
        </is>
      </c>
      <c r="J112" s="108" t="n">
        <v>3</v>
      </c>
      <c r="K112" s="109" t="n"/>
      <c r="L112" s="109" t="n"/>
      <c r="M112" s="110" t="n"/>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Blocked</t>
        </is>
      </c>
      <c r="J116" s="108" t="n">
        <v>3</v>
      </c>
      <c r="K116" s="109" t="n"/>
      <c r="L116" s="109" t="n"/>
      <c r="M116" s="110" t="n"/>
      <c r="N116" s="85" t="n">
        <v>1</v>
      </c>
      <c r="O116" s="84" t="inlineStr">
        <is>
          <t>P4-BE-06</t>
        </is>
      </c>
      <c r="P116" s="84" t="inlineStr">
        <is>
          <t>DRAFT→SENT→ACCEPTED/REJECTED→ACTIVE→COMPLETED/CANCELLED enforced; commercial terms snapshotted at send time, not read live</t>
        </is>
      </c>
      <c r="Q116" s="86" t="inlineStr">
        <is>
          <t>§21</t>
        </is>
      </c>
      <c r="R116" s="111" t="n"/>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Blocked</t>
        </is>
      </c>
      <c r="J119" s="108" t="n">
        <v>3</v>
      </c>
      <c r="K119" s="109" t="n"/>
      <c r="L119" s="109" t="n"/>
      <c r="M119" s="110" t="n"/>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Blocked</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Ready</t>
        </is>
      </c>
      <c r="J128" s="108" t="n">
        <v>3</v>
      </c>
      <c r="K128" s="109" t="n"/>
      <c r="L128" s="109" t="n"/>
      <c r="M128" s="110" t="n"/>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Ready</t>
        </is>
      </c>
      <c r="J152" s="108" t="n">
        <v>3</v>
      </c>
      <c r="K152" s="109" t="n"/>
      <c r="L152" s="109" t="n"/>
      <c r="M152" s="110" t="n"/>
      <c r="N152" s="85" t="n"/>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4</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1</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1</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Blocked</t>
        </is>
      </c>
      <c r="J198" s="108" t="n">
        <v>1</v>
      </c>
      <c r="K198" s="109" t="n"/>
      <c r="L198" s="109" t="n"/>
      <c r="M198" s="110" t="n"/>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Blocked</t>
        </is>
      </c>
      <c r="J199" s="108" t="n">
        <v>1</v>
      </c>
      <c r="K199" s="109" t="n"/>
      <c r="L199" s="109" t="n"/>
      <c r="M199" s="110" t="n"/>
      <c r="N199" s="81" t="n"/>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Code review</t>
        </is>
      </c>
      <c r="J203" s="108" t="n">
        <v>2</v>
      </c>
      <c r="K203" s="109" t="inlineStr">
        <is>
          <t>2026-09-18</t>
        </is>
      </c>
      <c r="L203" s="109" t="n"/>
      <c r="M203" s="110" t="inlineStr">
        <is>
          <t>infinex</t>
        </is>
      </c>
      <c r="N203" s="85" t="n"/>
      <c r="O203" s="84" t="n"/>
      <c r="P203" s="84" t="inlineStr">
        <is>
          <t>npm install (workspaces) clean; `docker compose up` brings Postgres/Redis/MinIO/migrate/worker healthy with both buckets created; backend tsc + Express /health and /health/ready (db/redis/storage) green; frontend next build; tests pass; `prisma generate` produces backend + frontend clients from one schema.</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Code review</t>
        </is>
      </c>
      <c r="J205" s="108" t="n">
        <v>1</v>
      </c>
      <c r="K205" s="109" t="inlineStr">
        <is>
          <t>2026-09-22</t>
        </is>
      </c>
      <c r="L205" s="109" t="n"/>
      <c r="M205" s="110" t="n"/>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Ready</t>
        </is>
      </c>
      <c r="J206" s="108" t="n">
        <v>2</v>
      </c>
      <c r="K206" s="109" t="n"/>
      <c r="L206" s="109" t="n"/>
      <c r="M206" s="110" t="n"/>
      <c r="N206" s="81" t="n">
        <v>2</v>
      </c>
      <c r="O206" s="80" t="n"/>
      <c r="P206" s="80" t="inlineStr">
        <is>
          <t>Slot prices and the four-way split signed off as numbers, not ranges; the back cover and presenting sponsor recorded as quantity one</t>
        </is>
      </c>
      <c r="Q206" s="82" t="inlineStr">
        <is>
          <t>Spec §5.2, §5.3, §12</t>
        </is>
      </c>
      <c r="R206" s="111" t="n"/>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Ready</t>
        </is>
      </c>
      <c r="J207" s="108" t="n">
        <v>3</v>
      </c>
      <c r="K207" s="109" t="n"/>
      <c r="L207" s="109" t="n"/>
      <c r="M207" s="110" t="n"/>
      <c r="N207" s="81" t="n">
        <v>1</v>
      </c>
      <c r="O207" s="80" t="n"/>
      <c r="P207" s="80" t="inlineStr">
        <is>
          <t>A school can sign one document and start; editorial approval authority named explicitly</t>
        </is>
      </c>
      <c r="Q207" s="82" t="inlineStr">
        <is>
          <t>Spec §7, §12</t>
        </is>
      </c>
      <c r="R207" s="111" t="n"/>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Blocked</t>
        </is>
      </c>
      <c r="J208" s="108" t="n">
        <v>2</v>
      </c>
      <c r="K208" s="109" t="n"/>
      <c r="L208" s="109" t="n"/>
      <c r="M208" s="110" t="n"/>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CORRECTED 2026-09-22 against spec v2.0. Previously said 'NIL jobs in lineItems' - that followed from v1.0's wrong reading that the package contains four SX-02 NIL jobs. It does not.</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Blocked</t>
        </is>
      </c>
      <c r="J209" s="108" t="n">
        <v>1</v>
      </c>
      <c r="K209" s="109" t="n"/>
      <c r="L209" s="109" t="n"/>
      <c r="M209" s="110" t="n"/>
      <c r="N209" s="81" t="n">
        <v>1</v>
      </c>
      <c r="O209" s="80" t="inlineStr">
        <is>
          <t>P9-PMO-02</t>
        </is>
      </c>
      <c r="P209" s="80" t="inlineStr">
        <is>
          <t>The pilot school exists as a Property, its advisor has a login, and it appears in the property portal</t>
        </is>
      </c>
      <c r="Q209" s="82" t="inlineStr">
        <is>
          <t>Spec §3</t>
        </is>
      </c>
      <c r="R209" s="111" t="n"/>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n"/>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Ready</t>
        </is>
      </c>
      <c r="J221" s="108" t="n">
        <v>2</v>
      </c>
      <c r="K221" s="109" t="n"/>
      <c r="L221" s="109" t="n"/>
      <c r="M221" s="110" t="n"/>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Blocked</t>
        </is>
      </c>
      <c r="J222" s="108" t="n">
        <v>5</v>
      </c>
      <c r="K222" s="109" t="n"/>
      <c r="L222" s="109" t="n"/>
      <c r="M222" s="110" t="n"/>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Blocked</t>
        </is>
      </c>
      <c r="J223" s="108" t="n">
        <v>3</v>
      </c>
      <c r="K223" s="109" t="n"/>
      <c r="L223" s="109" t="n"/>
      <c r="M223" s="110" t="n"/>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Blocked</t>
        </is>
      </c>
      <c r="J224" s="108" t="n">
        <v>5</v>
      </c>
      <c r="K224" s="109" t="n"/>
      <c r="L224" s="109" t="n"/>
      <c r="M224" s="110" t="n"/>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Blocked</t>
        </is>
      </c>
      <c r="J225" s="108" t="n">
        <v>3</v>
      </c>
      <c r="K225" s="109" t="n"/>
      <c r="L225" s="109" t="n"/>
      <c r="M225" s="110" t="n"/>
      <c r="N225" s="81" t="n">
        <v>1</v>
      </c>
      <c r="O225" s="80" t="inlineStr">
        <is>
          <t>P1-FE-18</t>
        </is>
      </c>
      <c r="P225" s="80" t="inlineStr">
        <is>
          <t>Every slot's state and buyer readable in one list; filter-kit reused rather than rebuilt</t>
        </is>
      </c>
      <c r="Q225" s="82" t="inlineStr">
        <is>
          <t>Spec §8</t>
        </is>
      </c>
      <c r="R225" s="111" t="n"/>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Blocked</t>
        </is>
      </c>
      <c r="J226" s="108" t="n">
        <v>3</v>
      </c>
      <c r="K226" s="109" t="n"/>
      <c r="L226" s="109" t="n"/>
      <c r="M226" s="110" t="n"/>
      <c r="N226" s="81" t="n">
        <v>1</v>
      </c>
      <c r="O226" s="80" t="inlineStr">
        <is>
          <t>P1-FE-18</t>
        </is>
      </c>
      <c r="P226" s="80" t="inlineStr">
        <is>
          <t>A split reads per edition and is visibly distinct from the athlete earnings surface</t>
        </is>
      </c>
      <c r="Q226" s="82" t="inlineStr">
        <is>
          <t>Spec §5.3, §8</t>
        </is>
      </c>
      <c r="R226" s="111" t="n"/>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Blocked</t>
        </is>
      </c>
      <c r="J244" s="108" t="n">
        <v>5</v>
      </c>
      <c r="K244" s="109" t="n"/>
      <c r="L244" s="109" t="n"/>
      <c r="M244" s="110" t="n"/>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Blocked</t>
        </is>
      </c>
      <c r="J246" s="108" t="n">
        <v>5</v>
      </c>
      <c r="K246" s="109" t="n"/>
      <c r="L246" s="109" t="n"/>
      <c r="M246" s="110" t="n"/>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n"/>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Blocked</t>
        </is>
      </c>
      <c r="J247" s="108" t="n">
        <v>3</v>
      </c>
      <c r="K247" s="109" t="n"/>
      <c r="L247" s="109" t="n"/>
      <c r="M247" s="110" t="n"/>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Code review</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Code review</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sheetData>
  <autoFilter ref="A4:R253"/>
  <mergeCells count="2">
    <mergeCell ref="A2:R2"/>
    <mergeCell ref="A1:R1"/>
  </mergeCells>
  <conditionalFormatting sqref="I5:I23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7">
    <cfRule type="expression" rank="0" priority="7" equalAverage="0" aboveAverage="0" dxfId="32" text="" percent="0" bottom="0">
      <formula>$I5="Done"</formula>
    </cfRule>
  </conditionalFormatting>
  <conditionalFormatting sqref="N5:N237">
    <cfRule type="cellIs" rank="0" priority="8" equalAverage="0" operator="greaterThanOrEqual" aboveAverage="0" dxfId="33" text="" percent="0" bottom="0">
      <formula>50</formula>
    </cfRule>
  </conditionalFormatting>
  <dataValidations count="1">
    <dataValidation sqref="I5:I237"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2026-09-22T06:02:41Z</dcterms:modified>
  <cp:revision>0</cp:revision>
</cp:coreProperties>
</file>