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3'!$I$5:$I$56,"Ready")</f>
        <v/>
      </c>
      <c r="C7" s="81">
        <f>COUNTIF('Phase 3'!$I$5:$I$56,"In progress")</f>
        <v/>
      </c>
      <c r="D7" s="81">
        <f>COUNTIF('Phase 3'!$I$5:$I$56,"Code review")</f>
        <v/>
      </c>
      <c r="E7" s="81">
        <f>COUNTIF('Phase 3'!$I$5:$I$56,"Blocked")</f>
        <v/>
      </c>
      <c r="F7" s="81">
        <f>COUNTIF('Phase 3'!$I$5:$I$56,"Done")</f>
        <v/>
      </c>
      <c r="G7" s="81">
        <f>COUNTA('Phase 3'!$B$5:$B$56)</f>
        <v/>
      </c>
      <c r="H7" s="81">
        <f>SUMIF('Phase 3'!$I$5:$I$56,"&lt;&gt;Done",'Phase 3'!$J$5:$J$56)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Code review</t>
        </is>
      </c>
      <c r="J11" s="108" t="n">
        <v>5</v>
      </c>
      <c r="K11" s="109" t="n">
        <v>46308</v>
      </c>
      <c r="L11" s="109" t="n"/>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8.5</v>
      </c>
      <c r="B55" s="113" t="inlineStr">
        <is>
          <t>3S1-DATA-04</t>
        </is>
      </c>
      <c r="C55" s="85" t="n">
        <v>1</v>
      </c>
      <c r="D55" s="86" t="inlineStr">
        <is>
          <t>Sprint 1 · Warehouse &amp; benchmarks</t>
        </is>
      </c>
      <c r="E55" s="129" t="inlineStr">
        <is>
          <t>DATA</t>
        </is>
      </c>
      <c r="F55" s="122" t="inlineStr">
        <is>
          <t>Code</t>
        </is>
      </c>
      <c r="G55" s="84" t="inlineStr">
        <is>
          <t>Incremental warehouse build</t>
        </is>
      </c>
      <c r="H55" s="116" t="inlineStr">
        <is>
          <t>Raised by 3S1-DATA-02 (user review, 2026-10-13): the model is rebuilt whole every hour, cheap while data is small (well under a second today). Build only what changed instead — including figures entered late for an earlier day, which a plain 'last 7 days' window would miss.</t>
        </is>
      </c>
      <c r="I55" s="108" t="inlineStr">
        <is>
          <t>Blocked</t>
        </is>
      </c>
      <c r="J55" s="108" t="n">
        <v>3</v>
      </c>
      <c r="K55" s="109" t="n"/>
      <c r="L55" s="109" t="n"/>
      <c r="M55" s="110" t="n"/>
      <c r="N55" s="85" t="n">
        <v>0</v>
      </c>
      <c r="O55" s="84" t="inlineStr">
        <is>
          <t>3S1-DATA-02</t>
        </is>
      </c>
      <c r="P55" s="84" t="inlineStr">
        <is>
          <t>Triggered when an hourly build is logged as slower than one minute. Done when a build redoes only the rows its changes touch (late-dated figures included) and the hourly double-check still passes at zero difference</t>
        </is>
      </c>
      <c r="Q55" s="86" t="inlineStr">
        <is>
          <t>Spec §21</t>
        </is>
      </c>
      <c r="R55" s="111" t="inlineStr">
        <is>
          <t>Not needed yet: the worker logs every build's time (raw._ingest_run.build_ms) and warns above 60 s.</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3S1-DATA-02,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t>
        </is>
      </c>
    </row>
  </sheetData>
  <autoFilter ref="A4:R56"/>
  <mergeCells count="2">
    <mergeCell ref="A2:R2"/>
    <mergeCell ref="A1:R1"/>
  </mergeCells>
  <conditionalFormatting sqref="I5:I5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6">
    <cfRule type="expression" rank="0" priority="7" equalAverage="0" aboveAverage="0" dxfId="32" text="" percent="0" bottom="0">
      <formula>$I5="Done"</formula>
    </cfRule>
  </conditionalFormatting>
  <conditionalFormatting sqref="N5:N56">
    <cfRule type="cellIs" rank="0" priority="8" equalAverage="0" operator="greaterThanOrEqual" aboveAverage="0" dxfId="33" text="" percent="0" bottom="0">
      <formula>50</formula>
    </cfRule>
  </conditionalFormatting>
  <dataValidations count="1">
    <dataValidation sqref="I5:I5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2026-10-13T04:41:35Z</dcterms:modified>
  <cp:revision>0</cp:revision>
</cp:coreProperties>
</file>