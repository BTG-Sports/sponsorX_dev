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1'!$A$4:$R$267</definedName>
    <definedName name="_xlnm._FilterDatabase" localSheetId="4" hidden="1">'Phase 2'!$A$4:$R$90</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2'!$I$5:$I$90,"Ready")</f>
        <v/>
      </c>
      <c r="C6" s="85">
        <f>COUNTIF('Phase 2'!$I$5:$I$90,"In progress")</f>
        <v/>
      </c>
      <c r="D6" s="85">
        <f>COUNTIF('Phase 2'!$I$5:$I$90,"Code review")</f>
        <v/>
      </c>
      <c r="E6" s="85">
        <f>COUNTIF('Phase 2'!$I$5:$I$90,"Blocked")</f>
        <v/>
      </c>
      <c r="F6" s="85">
        <f>COUNTIF('Phase 2'!$I$5:$I$90,"Done")</f>
        <v/>
      </c>
      <c r="G6" s="85">
        <f>COUNTA('Phase 2'!$B$5:$B$90)</f>
        <v/>
      </c>
      <c r="H6" s="85">
        <f>SUMIF('Phase 2'!$I$5:$I$90,"&lt;&gt;Done",'Phase 2'!$J$5:$J$90)</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2'!$F$5:$F$90,"Document")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2'!$F$5:$F$90,"Zoho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2'!$F$5:$F$90,"Vendor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2'!$F$5:$F$90,"Code")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2'!$F$5:$F$90,"Code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2'!$F$5:$F$90,"Design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2'!$F$5:$F$90,"Document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2'!$F$5:$F$90,"External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Code review</t>
        </is>
      </c>
      <c r="J135" s="108" t="n">
        <v>1</v>
      </c>
      <c r="K135" s="109" t="n">
        <v>46294</v>
      </c>
      <c r="L135" s="109" t="n"/>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Code review</t>
        </is>
      </c>
      <c r="J220" s="108" t="n">
        <v>5</v>
      </c>
      <c r="K220" s="109" t="n">
        <v>46294</v>
      </c>
      <c r="L220" s="109" t="n"/>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Code review</t>
        </is>
      </c>
      <c r="J227" s="108" t="n">
        <v>3</v>
      </c>
      <c r="K227" s="109" t="n">
        <v>46294</v>
      </c>
      <c r="L227" s="109" t="n"/>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Code review</t>
        </is>
      </c>
      <c r="J228" s="108" t="n">
        <v>3</v>
      </c>
      <c r="K228" s="109" t="n">
        <v>46294</v>
      </c>
      <c r="L228" s="109" t="n"/>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Code review</t>
        </is>
      </c>
      <c r="J229" s="108" t="n">
        <v>2</v>
      </c>
      <c r="K229" s="109" t="n">
        <v>46294</v>
      </c>
      <c r="L229" s="109" t="n"/>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Code review</t>
        </is>
      </c>
      <c r="J235" s="108" t="n">
        <v>2</v>
      </c>
      <c r="K235" s="109" t="n">
        <v>46294</v>
      </c>
      <c r="L235" s="109" t="n"/>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Code review</t>
        </is>
      </c>
      <c r="J256" s="108" t="n">
        <v>1</v>
      </c>
      <c r="K256" s="109" t="n">
        <v>46294</v>
      </c>
      <c r="L256" s="109" t="n"/>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Code review</t>
        </is>
      </c>
      <c r="J257" s="108" t="n">
        <v>3</v>
      </c>
      <c r="K257" s="109" t="n">
        <v>46294</v>
      </c>
      <c r="L257" s="109" t="n"/>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Code review</t>
        </is>
      </c>
      <c r="J258" s="108" t="n">
        <v>3</v>
      </c>
      <c r="K258" s="109" t="n">
        <v>46294</v>
      </c>
      <c r="L258" s="109" t="n"/>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Code review</t>
        </is>
      </c>
      <c r="J259" s="108" t="n">
        <v>1</v>
      </c>
      <c r="K259" s="109" t="n">
        <v>46294</v>
      </c>
      <c r="L259" s="109" t="n"/>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Code review</t>
        </is>
      </c>
      <c r="J260" s="108" t="n">
        <v>3</v>
      </c>
      <c r="K260" s="109" t="n">
        <v>46294</v>
      </c>
      <c r="L260" s="109" t="n"/>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In progress</t>
        </is>
      </c>
      <c r="J264" s="108" t="n">
        <v>4</v>
      </c>
      <c r="K264" s="109" t="inlineStr">
        <is>
          <t>2026-09-29</t>
        </is>
      </c>
      <c r="L264" s="109" t="n"/>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Code review</t>
        </is>
      </c>
      <c r="J265" s="108" t="n">
        <v>2</v>
      </c>
      <c r="K265" s="109" t="n">
        <v>46295</v>
      </c>
      <c r="L265" s="109" t="n"/>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Code review</t>
        </is>
      </c>
      <c r="J266" s="108" t="n">
        <v>1</v>
      </c>
      <c r="K266" s="109" t="n">
        <v>46295</v>
      </c>
      <c r="L266" s="109" t="n"/>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Code review</t>
        </is>
      </c>
      <c r="J267" s="108" t="n">
        <v>1</v>
      </c>
      <c r="K267" s="109" t="n">
        <v>46295</v>
      </c>
      <c r="L267" s="109" t="n"/>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t>
        </is>
      </c>
    </row>
  </sheetData>
  <autoFilter ref="A4:R267"/>
  <mergeCells count="2">
    <mergeCell ref="A2:R2"/>
    <mergeCell ref="A1:R1"/>
  </mergeCells>
  <conditionalFormatting sqref="I5:I26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7">
    <cfRule type="expression" rank="0" priority="7" equalAverage="0" aboveAverage="0" dxfId="32" text="" percent="0" bottom="0">
      <formula>$I5="Done"</formula>
    </cfRule>
  </conditionalFormatting>
  <conditionalFormatting sqref="N5:N267">
    <cfRule type="cellIs" rank="0" priority="8" equalAverage="0" operator="greaterThanOrEqual" aboveAverage="0" dxfId="33" text="" percent="0" bottom="0">
      <formula>50</formula>
    </cfRule>
  </conditionalFormatting>
  <dataValidations count="1">
    <dataValidation sqref="I5:I26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9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Code review</t>
        </is>
      </c>
      <c r="J9" s="108" t="n">
        <v>5</v>
      </c>
      <c r="K9" s="109" t="n">
        <v>46294</v>
      </c>
      <c r="L9" s="109" t="n"/>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Code review</t>
        </is>
      </c>
      <c r="J15" s="108" t="n">
        <v>5</v>
      </c>
      <c r="K15" s="109" t="n">
        <v>46294</v>
      </c>
      <c r="L15" s="109" t="n"/>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Code review</t>
        </is>
      </c>
      <c r="J16" s="108" t="n">
        <v>3</v>
      </c>
      <c r="K16" s="109" t="n">
        <v>46294</v>
      </c>
      <c r="L16" s="109" t="n"/>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Code review</t>
        </is>
      </c>
      <c r="J23" s="108" t="n">
        <v>5</v>
      </c>
      <c r="K23" s="109" t="n">
        <v>46294</v>
      </c>
      <c r="L23" s="109" t="n"/>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Code review</t>
        </is>
      </c>
      <c r="J24" s="108" t="n">
        <v>3</v>
      </c>
      <c r="K24" s="109" t="n">
        <v>46294</v>
      </c>
      <c r="L24" s="109" t="n"/>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Code review</t>
        </is>
      </c>
      <c r="J25" s="108" t="n">
        <v>5</v>
      </c>
      <c r="K25" s="109" t="n">
        <v>46294</v>
      </c>
      <c r="L25" s="109" t="n"/>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Code review</t>
        </is>
      </c>
      <c r="J30" s="108" t="n">
        <v>5</v>
      </c>
      <c r="K30" s="109" t="n">
        <v>46294</v>
      </c>
      <c r="L30" s="109" t="n"/>
      <c r="M30" s="110" t="inlineStr">
        <is>
          <t>rcfworks</t>
        </is>
      </c>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Code review</t>
        </is>
      </c>
      <c r="J37" s="108" t="n">
        <v>3</v>
      </c>
      <c r="K37" s="109" t="n">
        <v>46294</v>
      </c>
      <c r="L37" s="109" t="n"/>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Code review</t>
        </is>
      </c>
      <c r="J38" s="108" t="n">
        <v>5</v>
      </c>
      <c r="K38" s="109" t="n">
        <v>46294</v>
      </c>
      <c r="L38" s="109" t="n"/>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In progress</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In progress</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Code review</t>
        </is>
      </c>
      <c r="J48" s="108" t="n">
        <v>5</v>
      </c>
      <c r="K48" s="109" t="n">
        <v>46294</v>
      </c>
      <c r="L48" s="109" t="n"/>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Code review</t>
        </is>
      </c>
      <c r="J56" s="108" t="n">
        <v>5</v>
      </c>
      <c r="K56" s="109" t="n">
        <v>46294</v>
      </c>
      <c r="L56" s="109" t="n"/>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Code review</t>
        </is>
      </c>
      <c r="J70" s="108" t="n">
        <v>1</v>
      </c>
      <c r="K70" s="109" t="n">
        <v>46294</v>
      </c>
      <c r="L70" s="109" t="n"/>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Code review</t>
        </is>
      </c>
      <c r="J71" s="108" t="n">
        <v>5</v>
      </c>
      <c r="K71" s="109" t="inlineStr">
        <is>
          <t>2026-09-30</t>
        </is>
      </c>
      <c r="L71" s="109" t="inlineStr">
        <is>
          <t>2026-09-30</t>
        </is>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Ready</t>
        </is>
      </c>
      <c r="J72" s="108" t="n">
        <v>3</v>
      </c>
      <c r="K72" s="109" t="n"/>
      <c r="L72" s="109" t="n"/>
      <c r="M72" s="110" t="n"/>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Ready</t>
        </is>
      </c>
      <c r="J76" s="108" t="n">
        <v>2</v>
      </c>
      <c r="K76" s="109" t="n"/>
      <c r="L76" s="109" t="n"/>
      <c r="M76" s="110" t="n"/>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Code review</t>
        </is>
      </c>
      <c r="J77" s="108" t="n">
        <v>4</v>
      </c>
      <c r="K77" s="109" t="inlineStr">
        <is>
          <t>2026-09-30</t>
        </is>
      </c>
      <c r="L77" s="109" t="inlineStr">
        <is>
          <t>2026-09-30</t>
        </is>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Code review</t>
        </is>
      </c>
      <c r="J78" s="108" t="n">
        <v>3</v>
      </c>
      <c r="K78" s="109" t="inlineStr">
        <is>
          <t>2026-09-30</t>
        </is>
      </c>
      <c r="L78" s="109" t="inlineStr">
        <is>
          <t>2026-09-30</t>
        </is>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Ready</t>
        </is>
      </c>
      <c r="J79" s="108" t="n">
        <v>4</v>
      </c>
      <c r="K79" s="109" t="n"/>
      <c r="L79" s="109" t="n"/>
      <c r="M79" s="110" t="n"/>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Blocked</t>
        </is>
      </c>
      <c r="J80" s="108" t="n">
        <v>3</v>
      </c>
      <c r="K80" s="109" t="n"/>
      <c r="L80" s="109" t="n"/>
      <c r="M80" s="110" t="n"/>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Ready</t>
        </is>
      </c>
      <c r="J81" s="108" t="n">
        <v>3</v>
      </c>
      <c r="K81" s="109" t="n"/>
      <c r="L81" s="109" t="n"/>
      <c r="M81" s="110" t="n"/>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Ready</t>
        </is>
      </c>
      <c r="J82" s="108" t="n">
        <v>5</v>
      </c>
      <c r="K82" s="109" t="n"/>
      <c r="L82" s="109" t="n"/>
      <c r="M82" s="110" t="n"/>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Ready</t>
        </is>
      </c>
      <c r="J83" s="108" t="n">
        <v>2</v>
      </c>
      <c r="K83" s="109" t="n"/>
      <c r="L83" s="109" t="n"/>
      <c r="M83" s="110" t="n"/>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Blocked</t>
        </is>
      </c>
      <c r="J84" s="108" t="n">
        <v>3</v>
      </c>
      <c r="K84" s="109" t="n"/>
      <c r="L84" s="109" t="n"/>
      <c r="M84" s="110" t="n"/>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Blocked</t>
        </is>
      </c>
      <c r="J85" s="108" t="n">
        <v>4</v>
      </c>
      <c r="K85" s="109" t="n"/>
      <c r="L85" s="109" t="n"/>
      <c r="M85" s="110" t="n"/>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Ready</t>
        </is>
      </c>
      <c r="J86" s="108" t="n">
        <v>5</v>
      </c>
      <c r="K86" s="109" t="n"/>
      <c r="L86" s="109" t="n"/>
      <c r="M86" s="110" t="n"/>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Ready</t>
        </is>
      </c>
      <c r="J87" s="108" t="n">
        <v>2</v>
      </c>
      <c r="K87" s="109" t="n"/>
      <c r="L87" s="109" t="n"/>
      <c r="M87" s="110" t="n"/>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Ready</t>
        </is>
      </c>
      <c r="J88" s="108" t="n">
        <v>2</v>
      </c>
      <c r="K88" s="109" t="n"/>
      <c r="L88" s="109" t="n"/>
      <c r="M88" s="110" t="n"/>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Blocked</t>
        </is>
      </c>
      <c r="J89" s="108" t="n">
        <v>3</v>
      </c>
      <c r="K89" s="109" t="n"/>
      <c r="L89" s="109" t="n"/>
      <c r="M89" s="110" t="n"/>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Blocked</t>
        </is>
      </c>
      <c r="J90" s="108" t="n">
        <v>2</v>
      </c>
      <c r="K90" s="109" t="n"/>
      <c r="L90" s="109" t="n"/>
      <c r="M90" s="110" t="n"/>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t>
        </is>
      </c>
    </row>
  </sheetData>
  <autoFilter ref="A4:R90"/>
  <mergeCells count="2">
    <mergeCell ref="A2:R2"/>
    <mergeCell ref="A1:R1"/>
  </mergeCells>
  <conditionalFormatting sqref="I5:I9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90">
    <cfRule type="expression" rank="0" priority="7" equalAverage="0" aboveAverage="0" dxfId="32" text="" percent="0" bottom="0">
      <formula>$I5="Done"</formula>
    </cfRule>
  </conditionalFormatting>
  <conditionalFormatting sqref="N5:N90">
    <cfRule type="cellIs" rank="0" priority="8" equalAverage="0" operator="greaterThanOrEqual" aboveAverage="0" dxfId="33" text="" percent="0" bottom="0">
      <formula>50</formula>
    </cfRule>
  </conditionalFormatting>
  <dataValidations count="1">
    <dataValidation sqref="I5:I9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2026-10-01T03:56:37Z</dcterms:modified>
  <cp:revision>0</cp:revision>
</cp:coreProperties>
</file>