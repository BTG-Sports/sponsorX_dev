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1'!$A$4:$R$289</definedName>
    <definedName name="_xlnm._FilterDatabase" localSheetId="4" hidden="1">'Phase 2'!$A$4:$R$126</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2'!$I$5:$I$126,"Ready")</f>
        <v/>
      </c>
      <c r="C6" s="85">
        <f>COUNTIF('Phase 2'!$I$5:$I$126,"In progress")</f>
        <v/>
      </c>
      <c r="D6" s="85">
        <f>COUNTIF('Phase 2'!$I$5:$I$126,"Code review")</f>
        <v/>
      </c>
      <c r="E6" s="85">
        <f>COUNTIF('Phase 2'!$I$5:$I$126,"Blocked")</f>
        <v/>
      </c>
      <c r="F6" s="85">
        <f>COUNTIF('Phase 2'!$I$5:$I$126,"Done")</f>
        <v/>
      </c>
      <c r="G6" s="85">
        <f>COUNTA('Phase 2'!$B$5:$B$126)</f>
        <v/>
      </c>
      <c r="H6" s="85">
        <f>SUMIF('Phase 2'!$I$5:$I$126,"&lt;&gt;Done",'Phase 2'!$J$5:$J$126)</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2'!$F$5:$F$126,"Document")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2'!$F$5:$F$126,"Zoho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2'!$F$5:$F$126,"Vendor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2'!$F$5:$F$126,"Code")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2'!$F$5:$F$126,"Code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2'!$F$5:$F$126,"Design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2'!$F$5:$F$126,"Document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2'!$F$5:$F$126,"External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9"/>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40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Code review</t>
        </is>
      </c>
      <c r="J183" s="108" t="n">
        <v>3</v>
      </c>
      <c r="K183" s="109" t="inlineStr">
        <is>
          <t>2026-10-02</t>
        </is>
      </c>
      <c r="L183" s="109" t="n"/>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sheetData>
  <autoFilter ref="A4:R289"/>
  <mergeCells count="2">
    <mergeCell ref="A2:R2"/>
    <mergeCell ref="A1:R1"/>
  </mergeCells>
  <conditionalFormatting sqref="I5:I289">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89">
    <cfRule type="expression" rank="0" priority="7" equalAverage="0" aboveAverage="0" dxfId="32" text="" percent="0" bottom="0">
      <formula>$I5="Done"</formula>
    </cfRule>
  </conditionalFormatting>
  <conditionalFormatting sqref="N5:N289">
    <cfRule type="cellIs" rank="0" priority="8" equalAverage="0" operator="greaterThanOrEqual" aboveAverage="0" dxfId="33" text="" percent="0" bottom="0">
      <formula>50</formula>
    </cfRule>
  </conditionalFormatting>
  <dataValidations count="1">
    <dataValidation sqref="I5:I289"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2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In progress</t>
        </is>
      </c>
      <c r="J39" s="108" t="n">
        <v>5</v>
      </c>
      <c r="K39" s="109" t="n">
        <v>46295</v>
      </c>
      <c r="L39" s="109" t="n"/>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In progress</t>
        </is>
      </c>
      <c r="J41" s="108" t="n">
        <v>5</v>
      </c>
      <c r="K41" s="109" t="n">
        <v>46295</v>
      </c>
      <c r="L41" s="109" t="n"/>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v>46295</v>
      </c>
      <c r="L45" s="109" t="n"/>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v>46295</v>
      </c>
      <c r="L46" s="109" t="n"/>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Code review</t>
        </is>
      </c>
      <c r="J57" s="108" t="n">
        <v>5</v>
      </c>
      <c r="K57" s="109" t="n">
        <v>46294</v>
      </c>
      <c r="L57" s="109" t="n"/>
      <c r="M57" s="110" t="inlineStr">
        <is>
          <t>rcfworks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inlineStr">
        <is>
          <t>2026-09-28 WAITING ON: Phase 1 completion.</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inlineStr">
        <is>
          <t>2026-09-28 WAITING ON: Phase 2 QA (2S8-QA-01), which waits on the checkout frontend (2S4-FE-02) and so on the payment provider.</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Code review</t>
        </is>
      </c>
      <c r="J72" s="108" t="n">
        <v>3</v>
      </c>
      <c r="K72" s="109" t="n">
        <v>46296</v>
      </c>
      <c r="L72" s="109" t="n"/>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Code review</t>
        </is>
      </c>
      <c r="J73" s="108" t="n">
        <v>4</v>
      </c>
      <c r="K73" s="109" t="n">
        <v>46295</v>
      </c>
      <c r="L73" s="109" t="n"/>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Code review</t>
        </is>
      </c>
      <c r="J74" s="108" t="n">
        <v>3</v>
      </c>
      <c r="K74" s="109" t="n">
        <v>46295</v>
      </c>
      <c r="L74" s="109" t="n"/>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Code review</t>
        </is>
      </c>
      <c r="J75" s="108" t="n">
        <v>2</v>
      </c>
      <c r="K75" s="109" t="n">
        <v>46295</v>
      </c>
      <c r="L75" s="109" t="n"/>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Code review</t>
        </is>
      </c>
      <c r="J102" s="108" t="n">
        <v>2</v>
      </c>
      <c r="K102" s="109" t="n">
        <v>46296</v>
      </c>
      <c r="L102" s="109" t="n"/>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Ready</t>
        </is>
      </c>
      <c r="J103" s="108" t="n">
        <v>1</v>
      </c>
      <c r="K103" s="109" t="n"/>
      <c r="L103" s="109" t="n"/>
      <c r="M103" s="110" t="n"/>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Code review</t>
        </is>
      </c>
      <c r="J117" s="108" t="n">
        <v>1</v>
      </c>
      <c r="K117" s="109" t="n">
        <v>46300</v>
      </c>
      <c r="L117" s="109" t="n"/>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sheetData>
  <autoFilter ref="A4:R126"/>
  <mergeCells count="2">
    <mergeCell ref="A2:R2"/>
    <mergeCell ref="A1:R1"/>
  </mergeCells>
  <conditionalFormatting sqref="I5:I12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26">
    <cfRule type="expression" rank="0" priority="7" equalAverage="0" aboveAverage="0" dxfId="32" text="" percent="0" bottom="0">
      <formula>$I5="Done"</formula>
    </cfRule>
  </conditionalFormatting>
  <conditionalFormatting sqref="N5:N126">
    <cfRule type="cellIs" rank="0" priority="8" equalAverage="0" operator="greaterThanOrEqual" aboveAverage="0" dxfId="33" text="" percent="0" bottom="0">
      <formula>50</formula>
    </cfRule>
  </conditionalFormatting>
  <dataValidations count="1">
    <dataValidation sqref="I5:I12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 xml:space="preserve"> Designed 2026-09-29 by Claude Design: https://claude.ai/artifact/KBMLqnbXedfz6UiXTRC6Ue — the 10 screens the Phase 4 plan defines (the row says 12), every state, desktop and phone, sample data labelled.</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2026-10-05T08:11:48Z</dcterms:modified>
  <cp:revision>0</cp:revision>
</cp:coreProperties>
</file>