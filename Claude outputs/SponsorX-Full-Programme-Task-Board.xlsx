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olish" sheetId="4" state="visible" r:id="rId4"/>
    <sheet name="Phase 1" sheetId="5" state="visible" r:id="rId5"/>
    <sheet name="Phase 2" sheetId="6" state="visible" r:id="rId6"/>
    <sheet name="Phase 3" sheetId="7" state="visible" r:id="rId7"/>
    <sheet name="Phase 4" sheetId="8" state="visible" r:id="rId8"/>
    <sheet name="Phase 5" sheetId="9" state="visible" r:id="rId9"/>
    <sheet name="Phase 6" sheetId="10" state="visible" r:id="rId10"/>
    <sheet name="Legal" sheetId="11" state="visible" r:id="rId11"/>
    <sheet name="Legend" sheetId="12" state="visible" r:id="rId12"/>
  </sheets>
  <definedNames>
    <definedName name="_xlnm._FilterDatabase" localSheetId="3" hidden="1">'Polish'!$A$4:$R$57</definedName>
    <definedName name="_xlnm._FilterDatabase" localSheetId="4" hidden="1">'Phase 1'!$A$4:$R$330</definedName>
    <definedName name="_xlnm._FilterDatabase" localSheetId="5" hidden="1">'Phase 2'!$A$4:$R$144</definedName>
    <definedName name="_xlnm._FilterDatabase" localSheetId="6" hidden="1">'Phase 3'!$A$4:$R$66</definedName>
    <definedName name="_xlnm._FilterDatabase" localSheetId="7" hidden="1">'Phase 4'!$A$4:$R$23</definedName>
    <definedName name="_xlnm._FilterDatabase" localSheetId="8" hidden="1">'Phase 5'!$A$4:$R$6</definedName>
    <definedName name="_xlnm._FilterDatabase" localSheetId="9" hidden="1">'Phase 6'!$A$4:$R$54</definedName>
    <definedName name="_xlnm._FilterDatabase" localSheetId="10"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row r="23">
      <c r="A23" s="90" t="inlineStr">
        <is>
          <t>POLISH · URGENT, BEFORE LAUNCH</t>
        </is>
      </c>
    </row>
    <row r="24">
      <c r="B24" s="78" t="inlineStr">
        <is>
          <t>Ready</t>
        </is>
      </c>
      <c r="C24" s="78" t="inlineStr">
        <is>
          <t>In progress</t>
        </is>
      </c>
      <c r="D24" s="78" t="inlineStr">
        <is>
          <t>Code review</t>
        </is>
      </c>
      <c r="E24" s="78" t="inlineStr">
        <is>
          <t>Blocked</t>
        </is>
      </c>
      <c r="F24" s="78" t="inlineStr">
        <is>
          <t>Done</t>
        </is>
      </c>
      <c r="G24" s="78" t="inlineStr">
        <is>
          <t>Total</t>
        </is>
      </c>
      <c r="H24" s="78" t="inlineStr">
        <is>
          <t>Days left</t>
        </is>
      </c>
    </row>
    <row r="25">
      <c r="A25" s="93" t="inlineStr">
        <is>
          <t>Polish</t>
        </is>
      </c>
      <c r="B25" s="81">
        <f>COUNTIF('Polish'!$I$5:$I$200,"Ready")</f>
        <v/>
      </c>
      <c r="C25" s="81">
        <f>COUNTIF('Polish'!$I$5:$I$200,"In progress")</f>
        <v/>
      </c>
      <c r="D25" s="81">
        <f>COUNTIF('Polish'!$I$5:$I$200,"Code review")</f>
        <v/>
      </c>
      <c r="E25" s="81">
        <f>COUNTIF('Polish'!$I$5:$I$200,"Blocked")</f>
        <v/>
      </c>
      <c r="F25" s="81">
        <f>COUNTIF('Polish'!$I$5:$I$200,"Done")</f>
        <v/>
      </c>
      <c r="G25" s="81">
        <f>COUNTA('Polish'!$B$5:$B$200)</f>
        <v/>
      </c>
      <c r="H25" s="81">
        <f>SUMIF('Polish'!$I$5:$I$200,"&lt;&gt;Done",'Polish'!$J$5:$J$200)</f>
        <v/>
      </c>
    </row>
    <row r="26">
      <c r="A26" s="74" t="inlineStr">
        <is>
          <t>Kept apart from the phase totals above: these fixes cut across phases. Plan in documentation/polish.md.</t>
        </is>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2"/>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s="75">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row r="42">
      <c r="A42" s="74" t="inlineStr">
        <is>
          <t>2026-10-28</t>
        </is>
      </c>
      <c r="B42" s="74" t="n">
        <v>28</v>
      </c>
      <c r="C42" s="74" t="n">
        <v>62</v>
      </c>
      <c r="D42" s="74" t="n">
        <v>25</v>
      </c>
      <c r="E42" s="74" t="n">
        <v>29</v>
      </c>
      <c r="F42" s="74" t="n">
        <v>27</v>
      </c>
      <c r="G42" s="74" t="n">
        <v>19</v>
      </c>
      <c r="H42" s="74" t="n">
        <v>20</v>
      </c>
      <c r="I42" s="74" t="n">
        <v>20</v>
      </c>
      <c r="J42" s="74" t="n">
        <v>45</v>
      </c>
      <c r="K42" s="74" t="n">
        <v>38</v>
      </c>
      <c r="L42" s="74" t="n">
        <v>313</v>
      </c>
      <c r="M42" s="74" t="n">
        <v>23.5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tabColor rgb="00C00000"/>
    <outlinePr summaryBelow="1" summaryRight="1"/>
    <pageSetUpPr fitToPage="0"/>
  </sheetPr>
  <dimension ref="A1:R57"/>
  <sheetViews>
    <sheetView workbookViewId="0">
      <selection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Polish · Fix before launch (URGENT)</t>
        </is>
      </c>
    </row>
    <row r="2" ht="15" customHeight="1" s="75">
      <c r="A2" s="77" t="inlineStr">
        <is>
          <t>53 tasks across 36 user-experience flaws found 2026-10-28 · do these before cleaning up any other task on the board · do POL-BE-04 first (hurting sponsors now, while Stripe is paused) · plan: documentation/polish.md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POL-BE-01</t>
        </is>
      </c>
      <c r="C5" s="81" t="n">
        <v>1</v>
      </c>
      <c r="D5" s="82" t="inlineStr">
        <is>
          <t>A · Money, minors, consent</t>
        </is>
      </c>
      <c r="E5" s="138" t="inlineStr">
        <is>
          <t>BE</t>
        </is>
      </c>
      <c r="F5" s="120" t="inlineStr">
        <is>
          <t>Code</t>
        </is>
      </c>
      <c r="G5" s="80" t="inlineStr">
        <is>
          <t>Payouts stop going to the old guardian</t>
        </is>
      </c>
      <c r="H5" s="107" t="inlineStr">
        <is>
          <t>After a guardian handoff or coming of age, the old payout account stops receiving money (PayoutAccount is unique per athlete, so it is reused today). Payouts wait for the new holder's own account; both are told.</t>
        </is>
      </c>
      <c r="I5" s="108" t="inlineStr">
        <is>
          <t>Done</t>
        </is>
      </c>
      <c r="J5" s="108" t="n">
        <v>2</v>
      </c>
      <c r="K5" s="109" t="n">
        <v>46323</v>
      </c>
      <c r="L5" s="109" t="n">
        <v>46323</v>
      </c>
      <c r="M5" s="110" t="inlineStr">
        <is>
          <t>rcfworks</t>
        </is>
      </c>
      <c r="N5" s="81" t="n">
        <v>1</v>
      </c>
      <c r="O5" s="80" t="n"/>
      <c r="P5" s="80" t="inlineStr">
        <is>
          <t>No payout reaches the old account after a handoff or coming of age; new holder asked to set up; tests</t>
        </is>
      </c>
      <c r="Q5" s="82" t="inlineStr">
        <is>
          <t>polish.md #1</t>
        </is>
      </c>
      <c r="R5" s="111" t="inlineStr">
        <is>
          <t>Raised 2026-10-28 from the UX review. Rule decided 2026-10-28: anything not yet paid out follows the athlete to the new holder.</t>
        </is>
      </c>
    </row>
    <row r="6" ht="32.8" customHeight="1" s="75">
      <c r="A6" s="104" t="n">
        <v>2</v>
      </c>
      <c r="B6" s="105" t="inlineStr">
        <is>
          <t>POL-FE-01</t>
        </is>
      </c>
      <c r="C6" s="81" t="n">
        <v>1</v>
      </c>
      <c r="D6" s="82" t="inlineStr">
        <is>
          <t>A · Money, minors, consent</t>
        </is>
      </c>
      <c r="E6" s="138" t="inlineStr">
        <is>
          <t>FE</t>
        </is>
      </c>
      <c r="F6" s="120" t="inlineStr">
        <is>
          <t>Code</t>
        </is>
      </c>
      <c r="G6" s="80" t="inlineStr">
        <is>
          <t>New guardian or adult athlete sets up payouts</t>
        </is>
      </c>
      <c r="H6" s="107" t="inlineStr">
        <is>
          <t>After a handoff or coming of age, the payouts screen asks the new holder to set up their own account and shows payouts waiting.</t>
        </is>
      </c>
      <c r="I6" s="108" t="inlineStr">
        <is>
          <t>Ready</t>
        </is>
      </c>
      <c r="J6" s="108" t="n">
        <v>1</v>
      </c>
      <c r="K6" s="109" t="n"/>
      <c r="L6" s="109" t="n"/>
      <c r="M6" s="110" t="inlineStr">
        <is>
          <t>HeckerCreatives</t>
        </is>
      </c>
      <c r="N6" s="81" t="n">
        <v>0</v>
      </c>
      <c r="O6" s="80" t="inlineStr">
        <is>
          <t>POL-BE-01</t>
        </is>
      </c>
      <c r="P6" s="80" t="inlineStr">
        <is>
          <t>New holder sees the prompt and waiting payouts; old holder no longer sees the account</t>
        </is>
      </c>
      <c r="Q6" s="82" t="inlineStr">
        <is>
          <t>polish.md #1</t>
        </is>
      </c>
      <c r="R6" s="111" t="inlineStr">
        <is>
          <t>Raised 2026-10-28 from the UX review.</t>
        </is>
      </c>
    </row>
    <row r="7" ht="32.8" customHeight="1" s="75">
      <c r="A7" s="104" t="n">
        <v>3</v>
      </c>
      <c r="B7" s="105" t="inlineStr">
        <is>
          <t>POL-BE-02</t>
        </is>
      </c>
      <c r="C7" s="81" t="n">
        <v>1</v>
      </c>
      <c r="D7" s="82" t="inlineStr">
        <is>
          <t>A · Money, minors, consent</t>
        </is>
      </c>
      <c r="E7" s="138" t="inlineStr">
        <is>
          <t>BE</t>
        </is>
      </c>
      <c r="F7" s="120" t="inlineStr">
        <is>
          <t>Code</t>
        </is>
      </c>
      <c r="G7" s="80" t="inlineStr">
        <is>
          <t>A minor's date-of-birth change and coming-of-age takeover are held</t>
        </is>
      </c>
      <c r="H7" s="107" t="inlineStr">
        <is>
          <t>While a minor, a DOB change is held for the guardian and BTG instead of applying at once. A coming-of-age takeover is always held for BTG, even when the ID reads clear.</t>
        </is>
      </c>
      <c r="I7" s="108" t="inlineStr">
        <is>
          <t>Done</t>
        </is>
      </c>
      <c r="J7" s="108" t="n">
        <v>2</v>
      </c>
      <c r="K7" s="109" t="n">
        <v>46323</v>
      </c>
      <c r="L7" s="109" t="n">
        <v>46323</v>
      </c>
      <c r="M7" s="110" t="inlineStr">
        <is>
          <t>rcfworks</t>
        </is>
      </c>
      <c r="N7" s="81" t="n">
        <v>1</v>
      </c>
      <c r="O7" s="80" t="n"/>
      <c r="P7" s="80" t="inlineStr">
        <is>
          <t>Minor's DOB change waits for approval; coming of age never removes a guardian without BTG; tests</t>
        </is>
      </c>
      <c r="Q7" s="82" t="inlineStr">
        <is>
          <t>polish.md #2</t>
        </is>
      </c>
      <c r="R7" s="111" t="inlineStr">
        <is>
          <t>Raised 2026-10-28 from the UX review. Decided 2026-10-28: BTG alone approves a change that would make a minor an adult; takeover automatic only when the ID reads clear.</t>
        </is>
      </c>
    </row>
    <row r="8" ht="32.8" customHeight="1" s="75">
      <c r="A8" s="104" t="n">
        <v>4</v>
      </c>
      <c r="B8" s="105" t="inlineStr">
        <is>
          <t>POL-FE-02</t>
        </is>
      </c>
      <c r="C8" s="81" t="n">
        <v>1</v>
      </c>
      <c r="D8" s="82" t="inlineStr">
        <is>
          <t>A · Money, minors, consent</t>
        </is>
      </c>
      <c r="E8" s="138" t="inlineStr">
        <is>
          <t>FE</t>
        </is>
      </c>
      <c r="F8" s="120" t="inlineStr">
        <is>
          <t>Code</t>
        </is>
      </c>
      <c r="G8" s="80" t="inlineStr">
        <is>
          <t>DOB change shows 'waiting for approval'</t>
        </is>
      </c>
      <c r="H8" s="107" t="inlineStr">
        <is>
          <t>Profile edit shows a minor's DOB change as waiting; guardian and BTG see Approve / Decline.</t>
        </is>
      </c>
      <c r="I8" s="108" t="inlineStr">
        <is>
          <t>Ready</t>
        </is>
      </c>
      <c r="J8" s="108" t="n">
        <v>1</v>
      </c>
      <c r="K8" s="109" t="n"/>
      <c r="L8" s="109" t="n"/>
      <c r="M8" s="110" t="inlineStr">
        <is>
          <t>HeckerCreatives</t>
        </is>
      </c>
      <c r="N8" s="81" t="n">
        <v>0</v>
      </c>
      <c r="O8" s="80" t="inlineStr">
        <is>
          <t>POL-BE-02</t>
        </is>
      </c>
      <c r="P8" s="80" t="inlineStr">
        <is>
          <t>Minor sees waiting state; guardian and BTG can approve or decline</t>
        </is>
      </c>
      <c r="Q8" s="82" t="inlineStr">
        <is>
          <t>polish.md #2</t>
        </is>
      </c>
      <c r="R8" s="111" t="inlineStr">
        <is>
          <t>Raised 2026-10-28 from the UX review.</t>
        </is>
      </c>
    </row>
    <row r="9" ht="32.8" customHeight="1" s="75">
      <c r="A9" s="104" t="n">
        <v>5</v>
      </c>
      <c r="B9" s="105" t="inlineStr">
        <is>
          <t>POL-BE-03</t>
        </is>
      </c>
      <c r="C9" s="81" t="n">
        <v>1</v>
      </c>
      <c r="D9" s="82" t="inlineStr">
        <is>
          <t>A · Money, minors, consent</t>
        </is>
      </c>
      <c r="E9" s="138" t="inlineStr">
        <is>
          <t>BE</t>
        </is>
      </c>
      <c r="F9" s="120" t="inlineStr">
        <is>
          <t>Code</t>
        </is>
      </c>
      <c r="G9" s="80" t="inlineStr">
        <is>
          <t>A team can't raise its share without the athlete's yes</t>
        </is>
      </c>
      <c r="H9" s="107" t="inlineStr">
        <is>
          <t>Any share raise (directly added athletes included, not just invited) needs the athlete's agreement, the guardian's for a minor. Lowering applies at once. Both emailed.</t>
        </is>
      </c>
      <c r="I9" s="108" t="inlineStr">
        <is>
          <t>Ready</t>
        </is>
      </c>
      <c r="J9" s="108" t="n">
        <v>2</v>
      </c>
      <c r="K9" s="109" t="n"/>
      <c r="L9" s="109" t="n"/>
      <c r="M9" s="110" t="inlineStr">
        <is>
          <t>rcfworks</t>
        </is>
      </c>
      <c r="N9" s="81" t="n">
        <v>1</v>
      </c>
      <c r="O9" s="80" t="n"/>
      <c r="P9" s="80" t="inlineStr">
        <is>
          <t>No share goes up without the athlete's or guardian's yes; tests for direct, invited and minor</t>
        </is>
      </c>
      <c r="Q9" s="82" t="inlineStr">
        <is>
          <t>polish.md #3</t>
        </is>
      </c>
      <c r="R9" s="111" t="inlineStr">
        <is>
          <t>Raised 2026-10-28 from the UX review.</t>
        </is>
      </c>
    </row>
    <row r="10" ht="32.8" customHeight="1" s="75">
      <c r="A10" s="104" t="n">
        <v>6</v>
      </c>
      <c r="B10" s="105" t="inlineStr">
        <is>
          <t>POL-FE-03</t>
        </is>
      </c>
      <c r="C10" s="81" t="n">
        <v>1</v>
      </c>
      <c r="D10" s="82" t="inlineStr">
        <is>
          <t>A · Money, minors, consent</t>
        </is>
      </c>
      <c r="E10" s="138" t="inlineStr">
        <is>
          <t>FE</t>
        </is>
      </c>
      <c r="F10" s="120" t="inlineStr">
        <is>
          <t>Code</t>
        </is>
      </c>
      <c r="G10" s="80" t="inlineStr">
        <is>
          <t>Accept or decline a team share change</t>
        </is>
      </c>
      <c r="H10" s="107" t="inlineStr">
        <is>
          <t>Athlete or guardian screen showing old and new share with Accept / Decline; team sees 'waiting for the athlete'.</t>
        </is>
      </c>
      <c r="I10" s="108" t="inlineStr">
        <is>
          <t>Ready</t>
        </is>
      </c>
      <c r="J10" s="108" t="n">
        <v>1</v>
      </c>
      <c r="K10" s="109" t="n"/>
      <c r="L10" s="109" t="n"/>
      <c r="M10" s="110" t="inlineStr">
        <is>
          <t>HeckerCreatives</t>
        </is>
      </c>
      <c r="N10" s="81" t="n">
        <v>0</v>
      </c>
      <c r="O10" s="80" t="inlineStr">
        <is>
          <t>POL-BE-03</t>
        </is>
      </c>
      <c r="P10" s="80" t="inlineStr">
        <is>
          <t>Athlete or guardian can accept or decline; team sees the pending state</t>
        </is>
      </c>
      <c r="Q10" s="82" t="inlineStr">
        <is>
          <t>polish.md #3</t>
        </is>
      </c>
      <c r="R10" s="111" t="inlineStr">
        <is>
          <t>Raised 2026-10-28 from the UX review.</t>
        </is>
      </c>
    </row>
    <row r="11" ht="32.8" customHeight="1" s="75">
      <c r="A11" s="104" t="n">
        <v>7</v>
      </c>
      <c r="B11" s="105" t="inlineStr">
        <is>
          <t>POL-BE-04</t>
        </is>
      </c>
      <c r="C11" s="81" t="n">
        <v>1</v>
      </c>
      <c r="D11" s="82" t="inlineStr">
        <is>
          <t>A · Money, minors, consent</t>
        </is>
      </c>
      <c r="E11" s="138" t="inlineStr">
        <is>
          <t>BE</t>
        </is>
      </c>
      <c r="F11" s="120" t="inlineStr">
        <is>
          <t>Code</t>
        </is>
      </c>
      <c r="G11" s="80" t="inlineStr">
        <is>
          <t>No reminders or cancellations while payment is off</t>
        </is>
      </c>
      <c r="H11" s="107" t="inlineStr">
        <is>
          <t>sweepUnpaidOrders and the reminders skip orders while the payment provider is off; the countdown starts when payment opens. Hurting sponsors now, while Stripe is paused.</t>
        </is>
      </c>
      <c r="I11" s="108" t="inlineStr">
        <is>
          <t>Done</t>
        </is>
      </c>
      <c r="J11" s="108" t="n">
        <v>1</v>
      </c>
      <c r="K11" s="109" t="n">
        <v>46323</v>
      </c>
      <c r="L11" s="109" t="n">
        <v>46323</v>
      </c>
      <c r="M11" s="110" t="inlineStr">
        <is>
          <t>rcfworks</t>
        </is>
      </c>
      <c r="N11" s="81" t="n">
        <v>1</v>
      </c>
      <c r="O11" s="80" t="n"/>
      <c r="P11" s="80" t="inlineStr">
        <is>
          <t>With payment off no reminder and no cancellation; with it on unchanged; tests</t>
        </is>
      </c>
      <c r="Q11" s="82" t="inlineStr">
        <is>
          <t>polish.md #4</t>
        </is>
      </c>
      <c r="R11" s="111" t="inlineStr">
        <is>
          <t>Raised 2026-10-28 from the UX review.</t>
        </is>
      </c>
    </row>
    <row r="12" ht="32.8" customHeight="1" s="75">
      <c r="A12" s="104" t="n">
        <v>8</v>
      </c>
      <c r="B12" s="105" t="inlineStr">
        <is>
          <t>POL-FE-04</t>
        </is>
      </c>
      <c r="C12" s="81" t="n">
        <v>1</v>
      </c>
      <c r="D12" s="82" t="inlineStr">
        <is>
          <t>A · Money, minors, consent</t>
        </is>
      </c>
      <c r="E12" s="138" t="inlineStr">
        <is>
          <t>FE</t>
        </is>
      </c>
      <c r="F12" s="120" t="inlineStr">
        <is>
          <t>Code</t>
        </is>
      </c>
      <c r="G12" s="80" t="inlineStr">
        <is>
          <t>Checkout says payment opens later</t>
        </is>
      </c>
      <c r="H12" s="107" t="inlineStr">
        <is>
          <t>Checkout and order page say plainly that payment is not open yet and the order is held, not cancelled.</t>
        </is>
      </c>
      <c r="I12" s="108" t="inlineStr">
        <is>
          <t>Ready</t>
        </is>
      </c>
      <c r="J12" s="108" t="n">
        <v>0.5</v>
      </c>
      <c r="K12" s="109" t="n"/>
      <c r="L12" s="109" t="n"/>
      <c r="M12" s="110" t="inlineStr">
        <is>
          <t>HeckerCreatives</t>
        </is>
      </c>
      <c r="N12" s="81" t="n">
        <v>0</v>
      </c>
      <c r="O12" s="80" t="inlineStr">
        <is>
          <t>POL-BE-04</t>
        </is>
      </c>
      <c r="P12" s="80" t="inlineStr">
        <is>
          <t>Sponsor sees the order is held until payment opens</t>
        </is>
      </c>
      <c r="Q12" s="82" t="inlineStr">
        <is>
          <t>polish.md #4</t>
        </is>
      </c>
      <c r="R12" s="111" t="inlineStr">
        <is>
          <t>Raised 2026-10-28 from the UX review.</t>
        </is>
      </c>
    </row>
    <row r="13" ht="32.8" customHeight="1" s="75">
      <c r="A13" s="104" t="n">
        <v>9</v>
      </c>
      <c r="B13" s="105" t="inlineStr">
        <is>
          <t>POL-BE-05</t>
        </is>
      </c>
      <c r="C13" s="81" t="n">
        <v>1</v>
      </c>
      <c r="D13" s="82" t="inlineStr">
        <is>
          <t>A · Money, minors, consent</t>
        </is>
      </c>
      <c r="E13" s="138" t="inlineStr">
        <is>
          <t>BE</t>
        </is>
      </c>
      <c r="F13" s="120" t="inlineStr">
        <is>
          <t>Code</t>
        </is>
      </c>
      <c r="G13" s="80" t="inlineStr">
        <is>
          <t>Order quote with fees before placing</t>
        </is>
      </c>
      <c r="H13" s="107" t="inlineStr">
        <is>
          <t>A quote endpoint returns subtotal, fees and total before the order is placed (skip if one already exists).</t>
        </is>
      </c>
      <c r="I13" s="108" t="inlineStr">
        <is>
          <t>Ready</t>
        </is>
      </c>
      <c r="J13" s="108" t="n">
        <v>1</v>
      </c>
      <c r="K13" s="109" t="n"/>
      <c r="L13" s="109" t="n"/>
      <c r="M13" s="110" t="inlineStr">
        <is>
          <t>rcfworks</t>
        </is>
      </c>
      <c r="N13" s="81" t="n">
        <v>1</v>
      </c>
      <c r="O13" s="80" t="n"/>
      <c r="P13" s="80" t="inlineStr">
        <is>
          <t>Quote total equals the charged total; tests</t>
        </is>
      </c>
      <c r="Q13" s="82" t="inlineStr">
        <is>
          <t>polish.md #5</t>
        </is>
      </c>
      <c r="R13" s="111" t="inlineStr">
        <is>
          <t>Raised 2026-10-28 from the UX review.</t>
        </is>
      </c>
    </row>
    <row r="14" ht="32.8" customHeight="1" s="75">
      <c r="A14" s="104" t="n">
        <v>10</v>
      </c>
      <c r="B14" s="105" t="inlineStr">
        <is>
          <t>POL-FE-05</t>
        </is>
      </c>
      <c r="C14" s="81" t="n">
        <v>1</v>
      </c>
      <c r="D14" s="82" t="inlineStr">
        <is>
          <t>A · Money, minors, consent</t>
        </is>
      </c>
      <c r="E14" s="138" t="inlineStr">
        <is>
          <t>FE</t>
        </is>
      </c>
      <c r="F14" s="120" t="inlineStr">
        <is>
          <t>Code</t>
        </is>
      </c>
      <c r="G14" s="80" t="inlineStr">
        <is>
          <t>Checkout shows the full total before committing</t>
        </is>
      </c>
      <c r="H14" s="107" t="inlineStr">
        <is>
          <t>Replace 'Fees: added when the order is placed' and 'Total so far' with the real total next to the button that commits.</t>
        </is>
      </c>
      <c r="I14" s="108" t="inlineStr">
        <is>
          <t>Ready</t>
        </is>
      </c>
      <c r="J14" s="108" t="n">
        <v>0.5</v>
      </c>
      <c r="K14" s="109" t="n"/>
      <c r="L14" s="109" t="n"/>
      <c r="M14" s="110" t="inlineStr">
        <is>
          <t>HeckerCreatives</t>
        </is>
      </c>
      <c r="N14" s="81" t="n">
        <v>0</v>
      </c>
      <c r="O14" s="80" t="inlineStr">
        <is>
          <t>POL-BE-05</t>
        </is>
      </c>
      <c r="P14" s="80" t="inlineStr">
        <is>
          <t>Total shown before placing equals the total charged</t>
        </is>
      </c>
      <c r="Q14" s="82" t="inlineStr">
        <is>
          <t>polish.md #5</t>
        </is>
      </c>
      <c r="R14" s="111" t="inlineStr">
        <is>
          <t>Raised 2026-10-28 from the UX review.</t>
        </is>
      </c>
    </row>
    <row r="15" ht="32.8" customHeight="1" s="75">
      <c r="A15" s="104" t="n">
        <v>11</v>
      </c>
      <c r="B15" s="105" t="inlineStr">
        <is>
          <t>POL-BE-06</t>
        </is>
      </c>
      <c r="C15" s="81" t="n">
        <v>1</v>
      </c>
      <c r="D15" s="82" t="inlineStr">
        <is>
          <t>A · Money, minors, consent</t>
        </is>
      </c>
      <c r="E15" s="138" t="inlineStr">
        <is>
          <t>BE</t>
        </is>
      </c>
      <c r="F15" s="120" t="inlineStr">
        <is>
          <t>Code</t>
        </is>
      </c>
      <c r="G15" s="80" t="inlineStr">
        <is>
          <t>Duplicate payment creates a refund to send</t>
        </is>
      </c>
      <c r="H15" s="107" t="inlineStr">
        <is>
          <t>A duplicate payment adds a row to Refunds to send and flags the order; BTG can mark it refunded.</t>
        </is>
      </c>
      <c r="I15" s="108" t="inlineStr">
        <is>
          <t>Ready</t>
        </is>
      </c>
      <c r="J15" s="108" t="n">
        <v>1</v>
      </c>
      <c r="K15" s="109" t="n"/>
      <c r="L15" s="109" t="n"/>
      <c r="M15" s="110" t="inlineStr">
        <is>
          <t>rcfworks</t>
        </is>
      </c>
      <c r="N15" s="81" t="n">
        <v>1</v>
      </c>
      <c r="O15" s="80" t="n"/>
      <c r="P15" s="80" t="inlineStr">
        <is>
          <t>Duplicate shows in Refunds to send and on the order; tests</t>
        </is>
      </c>
      <c r="Q15" s="82" t="inlineStr">
        <is>
          <t>polish.md #6</t>
        </is>
      </c>
      <c r="R15" s="111" t="inlineStr">
        <is>
          <t>Raised 2026-10-28 from the UX review.</t>
        </is>
      </c>
    </row>
    <row r="16" ht="32.8" customHeight="1" s="75">
      <c r="A16" s="104" t="n">
        <v>12</v>
      </c>
      <c r="B16" s="105" t="inlineStr">
        <is>
          <t>POL-FE-06</t>
        </is>
      </c>
      <c r="C16" s="81" t="n">
        <v>1</v>
      </c>
      <c r="D16" s="82" t="inlineStr">
        <is>
          <t>A · Money, minors, consent</t>
        </is>
      </c>
      <c r="E16" s="138" t="inlineStr">
        <is>
          <t>FE</t>
        </is>
      </c>
      <c r="F16" s="120" t="inlineStr">
        <is>
          <t>Code</t>
        </is>
      </c>
      <c r="G16" s="80" t="inlineStr">
        <is>
          <t>Order page shows a duplicate payment</t>
        </is>
      </c>
      <c r="H16" s="107" t="inlineStr">
        <is>
          <t>Order page shows the duplicate and its refund status; BTG gets a Mark refunded button.</t>
        </is>
      </c>
      <c r="I16" s="108" t="inlineStr">
        <is>
          <t>Ready</t>
        </is>
      </c>
      <c r="J16" s="108" t="n">
        <v>0.5</v>
      </c>
      <c r="K16" s="109" t="n"/>
      <c r="L16" s="109" t="n"/>
      <c r="M16" s="110" t="inlineStr">
        <is>
          <t>HeckerCreatives</t>
        </is>
      </c>
      <c r="N16" s="81" t="n">
        <v>0</v>
      </c>
      <c r="O16" s="80" t="inlineStr">
        <is>
          <t>POL-BE-06</t>
        </is>
      </c>
      <c r="P16" s="80" t="inlineStr">
        <is>
          <t>Sponsor and BTG see the duplicate and refund status</t>
        </is>
      </c>
      <c r="Q16" s="82" t="inlineStr">
        <is>
          <t>polish.md #6</t>
        </is>
      </c>
      <c r="R16" s="111" t="inlineStr">
        <is>
          <t>Raised 2026-10-28 from the UX review.</t>
        </is>
      </c>
    </row>
    <row r="17" ht="32.8" customHeight="1" s="75">
      <c r="A17" s="104" t="n">
        <v>13</v>
      </c>
      <c r="B17" s="105" t="inlineStr">
        <is>
          <t>POL-BE-07</t>
        </is>
      </c>
      <c r="C17" s="81" t="n">
        <v>1</v>
      </c>
      <c r="D17" s="82" t="inlineStr">
        <is>
          <t>A · Money, minors, consent</t>
        </is>
      </c>
      <c r="E17" s="138" t="inlineStr">
        <is>
          <t>BE</t>
        </is>
      </c>
      <c r="F17" s="120" t="inlineStr">
        <is>
          <t>Code</t>
        </is>
      </c>
      <c r="G17" s="80" t="inlineStr">
        <is>
          <t>Staff redeem needs a venue code, with undo</t>
        </is>
      </c>
      <c r="H17" s="107" t="inlineStr">
        <is>
          <t>Redeem requires a staff PIN per reward or event; a redeem can be undone within a few minutes.</t>
        </is>
      </c>
      <c r="I17" s="108" t="inlineStr">
        <is>
          <t>Ready</t>
        </is>
      </c>
      <c r="J17" s="108" t="n">
        <v>2</v>
      </c>
      <c r="K17" s="109" t="n"/>
      <c r="L17" s="109" t="n"/>
      <c r="M17" s="110" t="inlineStr">
        <is>
          <t>rcfworks</t>
        </is>
      </c>
      <c r="N17" s="81" t="n">
        <v>1</v>
      </c>
      <c r="O17" s="80" t="n"/>
      <c r="P17" s="80" t="inlineStr">
        <is>
          <t>No redeem without the venue code; undo works in the window; tests</t>
        </is>
      </c>
      <c r="Q17" s="82" t="inlineStr">
        <is>
          <t>polish.md #7</t>
        </is>
      </c>
      <c r="R17" s="111" t="inlineStr">
        <is>
          <t>Raised 2026-10-28 from the UX review.</t>
        </is>
      </c>
    </row>
    <row r="18" ht="32.8" customHeight="1" s="75">
      <c r="A18" s="104" t="n">
        <v>14</v>
      </c>
      <c r="B18" s="105" t="inlineStr">
        <is>
          <t>POL-FE-07</t>
        </is>
      </c>
      <c r="C18" s="81" t="n">
        <v>1</v>
      </c>
      <c r="D18" s="82" t="inlineStr">
        <is>
          <t>A · Money, minors, consent</t>
        </is>
      </c>
      <c r="E18" s="138" t="inlineStr">
        <is>
          <t>FE</t>
        </is>
      </c>
      <c r="F18" s="120" t="inlineStr">
        <is>
          <t>Code</t>
        </is>
      </c>
      <c r="G18" s="80" t="inlineStr">
        <is>
          <t>Fan page asks for the staff code</t>
        </is>
      </c>
      <c r="H18" s="107" t="inlineStr">
        <is>
          <t>'Staff: redeem now' asks for the code and confirms; shows Undo for a few minutes.</t>
        </is>
      </c>
      <c r="I18" s="108" t="inlineStr">
        <is>
          <t>Ready</t>
        </is>
      </c>
      <c r="J18" s="108" t="n">
        <v>1</v>
      </c>
      <c r="K18" s="109" t="n"/>
      <c r="L18" s="109" t="n"/>
      <c r="M18" s="110" t="inlineStr">
        <is>
          <t>HeckerCreatives</t>
        </is>
      </c>
      <c r="N18" s="81" t="n">
        <v>0</v>
      </c>
      <c r="O18" s="80" t="inlineStr">
        <is>
          <t>POL-BE-07</t>
        </is>
      </c>
      <c r="P18" s="80" t="inlineStr">
        <is>
          <t>Redeem needs the code and a confirmation; undo shown</t>
        </is>
      </c>
      <c r="Q18" s="82" t="inlineStr">
        <is>
          <t>polish.md #7</t>
        </is>
      </c>
      <c r="R18" s="111" t="inlineStr">
        <is>
          <t>Raised 2026-10-28 from the UX review.</t>
        </is>
      </c>
    </row>
    <row r="19" ht="32.8" customHeight="1" s="75">
      <c r="A19" s="104" t="n">
        <v>15</v>
      </c>
      <c r="B19" s="105" t="inlineStr">
        <is>
          <t>POL-BE-08</t>
        </is>
      </c>
      <c r="C19" s="81" t="n">
        <v>1</v>
      </c>
      <c r="D19" s="82" t="inlineStr">
        <is>
          <t>A · Money, minors, consent</t>
        </is>
      </c>
      <c r="E19" s="138" t="inlineStr">
        <is>
          <t>BE</t>
        </is>
      </c>
      <c r="F19" s="120" t="inlineStr">
        <is>
          <t>Code</t>
        </is>
      </c>
      <c r="G19" s="80" t="inlineStr">
        <is>
          <t>Each fan gets their own claim on a shared code</t>
        </is>
      </c>
      <c r="H19" s="107" t="inlineStr">
        <is>
          <t>Claims are per fan, not per code, up to the reward's limit; later fans' emails are collected.</t>
        </is>
      </c>
      <c r="I19" s="108" t="inlineStr">
        <is>
          <t>Ready</t>
        </is>
      </c>
      <c r="J19" s="108" t="n">
        <v>2</v>
      </c>
      <c r="K19" s="109" t="n"/>
      <c r="L19" s="109" t="n"/>
      <c r="M19" s="110" t="inlineStr">
        <is>
          <t>rcfworks</t>
        </is>
      </c>
      <c r="N19" s="81" t="n">
        <v>1</v>
      </c>
      <c r="O19" s="80" t="n"/>
      <c r="P19" s="80" t="inlineStr">
        <is>
          <t>Two fans on one code each get their own claim; tests</t>
        </is>
      </c>
      <c r="Q19" s="82" t="inlineStr">
        <is>
          <t>polish.md #8</t>
        </is>
      </c>
      <c r="R19" s="111" t="inlineStr">
        <is>
          <t>Raised 2026-10-28 from the UX review.</t>
        </is>
      </c>
    </row>
    <row r="20" ht="32.8" customHeight="1" s="75">
      <c r="A20" s="104" t="n">
        <v>16</v>
      </c>
      <c r="B20" s="105" t="inlineStr">
        <is>
          <t>POL-FE-08</t>
        </is>
      </c>
      <c r="C20" s="81" t="n">
        <v>1</v>
      </c>
      <c r="D20" s="82" t="inlineStr">
        <is>
          <t>A · Money, minors, consent</t>
        </is>
      </c>
      <c r="E20" s="138" t="inlineStr">
        <is>
          <t>FE</t>
        </is>
      </c>
      <c r="F20" s="120" t="inlineStr">
        <is>
          <t>Code</t>
        </is>
      </c>
      <c r="G20" s="80" t="inlineStr">
        <is>
          <t>Fan page shows the fan's own claim</t>
        </is>
      </c>
      <c r="H20" s="107" t="inlineStr">
        <is>
          <t>The page shows this fan's claim, or 'all claimed', never another fan's hold.</t>
        </is>
      </c>
      <c r="I20" s="108" t="inlineStr">
        <is>
          <t>Ready</t>
        </is>
      </c>
      <c r="J20" s="108" t="n">
        <v>0.5</v>
      </c>
      <c r="K20" s="109" t="n"/>
      <c r="L20" s="109" t="n"/>
      <c r="M20" s="110" t="inlineStr">
        <is>
          <t>HeckerCreatives</t>
        </is>
      </c>
      <c r="N20" s="81" t="n">
        <v>0</v>
      </c>
      <c r="O20" s="80" t="inlineStr">
        <is>
          <t>POL-BE-08</t>
        </is>
      </c>
      <c r="P20" s="80" t="inlineStr">
        <is>
          <t>Each fan sees only their own claim</t>
        </is>
      </c>
      <c r="Q20" s="82" t="inlineStr">
        <is>
          <t>polish.md #8</t>
        </is>
      </c>
      <c r="R20" s="111" t="inlineStr">
        <is>
          <t>Raised 2026-10-28 from the UX review.</t>
        </is>
      </c>
    </row>
    <row r="21" ht="32.8" customHeight="1" s="75">
      <c r="A21" s="104" t="n">
        <v>17</v>
      </c>
      <c r="B21" s="105" t="inlineStr">
        <is>
          <t>POL-BE-09</t>
        </is>
      </c>
      <c r="C21" s="81" t="n">
        <v>2</v>
      </c>
      <c r="D21" s="82" t="inlineStr">
        <is>
          <t>B · Waiting or stuck</t>
        </is>
      </c>
      <c r="E21" s="138" t="inlineStr">
        <is>
          <t>BE</t>
        </is>
      </c>
      <c r="F21" s="120" t="inlineStr">
        <is>
          <t>Code</t>
        </is>
      </c>
      <c r="G21" s="80" t="inlineStr">
        <is>
          <t>A minor's invitation emails go to the guardian</t>
        </is>
      </c>
      <c r="H21" s="107" t="inlineStr">
        <is>
          <t>Invitation, reminder and expiry emails for a minor go to the guardian (copy to the minor); today they go only to the minor (notify-invitation.mts).</t>
        </is>
      </c>
      <c r="I21" s="108" t="inlineStr">
        <is>
          <t>Ready</t>
        </is>
      </c>
      <c r="J21" s="108" t="n">
        <v>1</v>
      </c>
      <c r="K21" s="109" t="n"/>
      <c r="L21" s="109" t="n"/>
      <c r="M21" s="110" t="inlineStr">
        <is>
          <t>rcfworks</t>
        </is>
      </c>
      <c r="N21" s="81" t="n">
        <v>0</v>
      </c>
      <c r="O21" s="80" t="n"/>
      <c r="P21" s="80" t="inlineStr">
        <is>
          <t>Guardian gets every email for a minor's invitation; tests</t>
        </is>
      </c>
      <c r="Q21" s="82" t="inlineStr">
        <is>
          <t>polish.md #9</t>
        </is>
      </c>
      <c r="R21" s="111" t="inlineStr">
        <is>
          <t>Raised 2026-10-28 from the UX review.</t>
        </is>
      </c>
    </row>
    <row r="22" ht="32.8" customHeight="1" s="75">
      <c r="A22" s="104" t="n">
        <v>18</v>
      </c>
      <c r="B22" s="105" t="inlineStr">
        <is>
          <t>POL-BE-10</t>
        </is>
      </c>
      <c r="C22" s="81" t="n">
        <v>2</v>
      </c>
      <c r="D22" s="82" t="inlineStr">
        <is>
          <t>B · Waiting or stuck</t>
        </is>
      </c>
      <c r="E22" s="138" t="inlineStr">
        <is>
          <t>BE</t>
        </is>
      </c>
      <c r="F22" s="120" t="inlineStr">
        <is>
          <t>Code</t>
        </is>
      </c>
      <c r="G22" s="80" t="inlineStr">
        <is>
          <t>Guardian handoff reminders and escalation</t>
        </is>
      </c>
      <c r="H22" s="107" t="inlineStr">
        <is>
          <t>Remind the current guardian after 3 days; escalate to BTG after 7, who can decide with the documents.</t>
        </is>
      </c>
      <c r="I22" s="108" t="inlineStr">
        <is>
          <t>Ready</t>
        </is>
      </c>
      <c r="J22" s="108" t="n">
        <v>2</v>
      </c>
      <c r="K22" s="109" t="n"/>
      <c r="L22" s="109" t="n"/>
      <c r="M22" s="110" t="inlineStr">
        <is>
          <t>rcfworks</t>
        </is>
      </c>
      <c r="N22" s="81" t="n">
        <v>1</v>
      </c>
      <c r="O22" s="80" t="n"/>
      <c r="P22" s="80" t="inlineStr">
        <is>
          <t>Reminders and escalation on schedule; BTG decides an escalated handoff; tests</t>
        </is>
      </c>
      <c r="Q22" s="82" t="inlineStr">
        <is>
          <t>polish.md #10</t>
        </is>
      </c>
      <c r="R22" s="111" t="inlineStr">
        <is>
          <t>Raised 2026-10-28 from the UX review.</t>
        </is>
      </c>
    </row>
    <row r="23" ht="32.8" customHeight="1" s="75">
      <c r="A23" s="104" t="n">
        <v>19</v>
      </c>
      <c r="B23" s="105" t="inlineStr">
        <is>
          <t>POL-FE-10</t>
        </is>
      </c>
      <c r="C23" s="81" t="n">
        <v>2</v>
      </c>
      <c r="D23" s="82" t="inlineStr">
        <is>
          <t>B · Waiting or stuck</t>
        </is>
      </c>
      <c r="E23" s="138" t="inlineStr">
        <is>
          <t>FE</t>
        </is>
      </c>
      <c r="F23" s="120" t="inlineStr">
        <is>
          <t>Code</t>
        </is>
      </c>
      <c r="G23" s="80" t="inlineStr">
        <is>
          <t>Handoff desk shows age and BTG decide</t>
        </is>
      </c>
      <c r="H23" s="107" t="inlineStr">
        <is>
          <t>Handoff desk shows how long each has waited and a Decide button on escalated ones.</t>
        </is>
      </c>
      <c r="I23" s="108" t="inlineStr">
        <is>
          <t>Ready</t>
        </is>
      </c>
      <c r="J23" s="108" t="n">
        <v>0.5</v>
      </c>
      <c r="K23" s="109" t="n"/>
      <c r="L23" s="109" t="n"/>
      <c r="M23" s="110" t="inlineStr">
        <is>
          <t>HeckerCreatives</t>
        </is>
      </c>
      <c r="N23" s="81" t="n">
        <v>0</v>
      </c>
      <c r="O23" s="80" t="inlineStr">
        <is>
          <t>POL-BE-10</t>
        </is>
      </c>
      <c r="P23" s="80" t="inlineStr">
        <is>
          <t>BTG sees age and can decide escalated handoffs</t>
        </is>
      </c>
      <c r="Q23" s="82" t="inlineStr">
        <is>
          <t>polish.md #10</t>
        </is>
      </c>
      <c r="R23" s="111" t="inlineStr">
        <is>
          <t>Raised 2026-10-28 from the UX review.</t>
        </is>
      </c>
    </row>
    <row r="24" ht="32.8" customHeight="1" s="75">
      <c r="A24" s="104" t="n">
        <v>20</v>
      </c>
      <c r="B24" s="105" t="inlineStr">
        <is>
          <t>POL-BE-11</t>
        </is>
      </c>
      <c r="C24" s="81" t="n">
        <v>2</v>
      </c>
      <c r="D24" s="82" t="inlineStr">
        <is>
          <t>B · Waiting or stuck</t>
        </is>
      </c>
      <c r="E24" s="138" t="inlineStr">
        <is>
          <t>BE</t>
        </is>
      </c>
      <c r="F24" s="120" t="inlineStr">
        <is>
          <t>Code</t>
        </is>
      </c>
      <c r="G24" s="80" t="inlineStr">
        <is>
          <t>Account closure settles live deals first</t>
        </is>
      </c>
      <c r="H24" s="107" t="inlineStr">
        <is>
          <t>With live deals, closing is held for BTG, which settles each deal and tells the sponsor. A minor's closure needs the guardian. Earned money pays to the account on file without a login.</t>
        </is>
      </c>
      <c r="I24" s="108" t="inlineStr">
        <is>
          <t>Ready</t>
        </is>
      </c>
      <c r="J24" s="108" t="n">
        <v>2</v>
      </c>
      <c r="K24" s="109" t="n"/>
      <c r="L24" s="109" t="n"/>
      <c r="M24" s="110" t="inlineStr">
        <is>
          <t>rcfworks</t>
        </is>
      </c>
      <c r="N24" s="81" t="n">
        <v>1</v>
      </c>
      <c r="O24" s="80" t="n"/>
      <c r="P24" s="80" t="inlineStr">
        <is>
          <t>No closure leaves a live deal unsettled or unannounced; a minor can't close alone; earned money still pays; tests</t>
        </is>
      </c>
      <c r="Q24" s="82" t="inlineStr">
        <is>
          <t>polish.md #11</t>
        </is>
      </c>
      <c r="R24" s="111" t="inlineStr">
        <is>
          <t>Raised 2026-10-28 from the UX review.</t>
        </is>
      </c>
    </row>
    <row r="25" ht="32.8" customHeight="1" s="75">
      <c r="A25" s="104" t="n">
        <v>21</v>
      </c>
      <c r="B25" s="105" t="inlineStr">
        <is>
          <t>POL-FE-11</t>
        </is>
      </c>
      <c r="C25" s="81" t="n">
        <v>2</v>
      </c>
      <c r="D25" s="82" t="inlineStr">
        <is>
          <t>B · Waiting or stuck</t>
        </is>
      </c>
      <c r="E25" s="138" t="inlineStr">
        <is>
          <t>FE</t>
        </is>
      </c>
      <c r="F25" s="120" t="inlineStr">
        <is>
          <t>Code</t>
        </is>
      </c>
      <c r="G25" s="80" t="inlineStr">
        <is>
          <t>Closing screen lists live deals</t>
        </is>
      </c>
      <c r="H25" s="107" t="inlineStr">
        <is>
          <t>Before confirming, list the live deals and what happens to each; fix the payout promise wording.</t>
        </is>
      </c>
      <c r="I25" s="108" t="inlineStr">
        <is>
          <t>Ready</t>
        </is>
      </c>
      <c r="J25" s="108" t="n">
        <v>0.5</v>
      </c>
      <c r="K25" s="109" t="n"/>
      <c r="L25" s="109" t="n"/>
      <c r="M25" s="110" t="inlineStr">
        <is>
          <t>HeckerCreatives</t>
        </is>
      </c>
      <c r="N25" s="81" t="n">
        <v>0</v>
      </c>
      <c r="O25" s="80" t="inlineStr">
        <is>
          <t>POL-BE-11</t>
        </is>
      </c>
      <c r="P25" s="80" t="inlineStr">
        <is>
          <t>Closing screen shows live deals and accurate payout wording</t>
        </is>
      </c>
      <c r="Q25" s="82" t="inlineStr">
        <is>
          <t>polish.md #11</t>
        </is>
      </c>
      <c r="R25" s="111" t="inlineStr">
        <is>
          <t>Raised 2026-10-28 from the UX review.</t>
        </is>
      </c>
    </row>
    <row r="26" ht="32.8" customHeight="1" s="75">
      <c r="A26" s="104" t="n">
        <v>22</v>
      </c>
      <c r="B26" s="105" t="inlineStr">
        <is>
          <t>POL-BE-12</t>
        </is>
      </c>
      <c r="C26" s="81" t="n">
        <v>2</v>
      </c>
      <c r="D26" s="82" t="inlineStr">
        <is>
          <t>B · Waiting or stuck</t>
        </is>
      </c>
      <c r="E26" s="138" t="inlineStr">
        <is>
          <t>BE</t>
        </is>
      </c>
      <c r="F26" s="120" t="inlineStr">
        <is>
          <t>Code</t>
        </is>
      </c>
      <c r="G26" s="80" t="inlineStr">
        <is>
          <t>Held payouts email BTG and are counted</t>
        </is>
      </c>
      <c r="H26" s="107" t="inlineStr">
        <is>
          <t>A held payout emails BTG Finance with the reason and is included in the dashboard counts.</t>
        </is>
      </c>
      <c r="I26" s="108" t="inlineStr">
        <is>
          <t>Ready</t>
        </is>
      </c>
      <c r="J26" s="108" t="n">
        <v>1</v>
      </c>
      <c r="K26" s="109" t="n"/>
      <c r="L26" s="109" t="n"/>
      <c r="M26" s="110" t="inlineStr">
        <is>
          <t>rcfworks</t>
        </is>
      </c>
      <c r="N26" s="81" t="n">
        <v>1</v>
      </c>
      <c r="O26" s="80" t="n"/>
      <c r="P26" s="80" t="inlineStr">
        <is>
          <t>Every held payout emails and is counted; tests</t>
        </is>
      </c>
      <c r="Q26" s="82" t="inlineStr">
        <is>
          <t>polish.md #12</t>
        </is>
      </c>
      <c r="R26" s="111" t="inlineStr">
        <is>
          <t>Raised 2026-10-28 from the UX review.</t>
        </is>
      </c>
    </row>
    <row r="27" ht="23.85" customHeight="1" s="75">
      <c r="A27" s="104" t="n">
        <v>23</v>
      </c>
      <c r="B27" s="105" t="inlineStr">
        <is>
          <t>POL-FE-12</t>
        </is>
      </c>
      <c r="C27" s="81" t="n">
        <v>2</v>
      </c>
      <c r="D27" s="82" t="inlineStr">
        <is>
          <t>B · Waiting or stuck</t>
        </is>
      </c>
      <c r="E27" s="138" t="inlineStr">
        <is>
          <t>FE</t>
        </is>
      </c>
      <c r="F27" s="120" t="inlineStr">
        <is>
          <t>Code</t>
        </is>
      </c>
      <c r="G27" s="80" t="inlineStr">
        <is>
          <t>Held payouts on the BTG dashboard</t>
        </is>
      </c>
      <c r="H27" s="107" t="inlineStr">
        <is>
          <t>Dashboard tile for held payouts, linked to the queue.</t>
        </is>
      </c>
      <c r="I27" s="108" t="inlineStr">
        <is>
          <t>Ready</t>
        </is>
      </c>
      <c r="J27" s="108" t="n">
        <v>0.5</v>
      </c>
      <c r="K27" s="109" t="n"/>
      <c r="L27" s="109" t="n"/>
      <c r="M27" s="110" t="inlineStr">
        <is>
          <t>HeckerCreatives</t>
        </is>
      </c>
      <c r="N27" s="81" t="n">
        <v>0</v>
      </c>
      <c r="O27" s="80" t="inlineStr">
        <is>
          <t>POL-BE-12</t>
        </is>
      </c>
      <c r="P27" s="80" t="inlineStr">
        <is>
          <t>Tile shows the count and opens the queue</t>
        </is>
      </c>
      <c r="Q27" s="82" t="inlineStr">
        <is>
          <t>polish.md #12</t>
        </is>
      </c>
      <c r="R27" s="111" t="inlineStr">
        <is>
          <t>Raised 2026-10-28 from the UX review.</t>
        </is>
      </c>
    </row>
    <row r="28" ht="23.85" customHeight="1" s="75">
      <c r="A28" s="104" t="n">
        <v>24</v>
      </c>
      <c r="B28" s="105" t="inlineStr">
        <is>
          <t>POL-FE-13</t>
        </is>
      </c>
      <c r="C28" s="81" t="n">
        <v>2</v>
      </c>
      <c r="D28" s="82" t="inlineStr">
        <is>
          <t>B · Waiting or stuck</t>
        </is>
      </c>
      <c r="E28" s="138" t="inlineStr">
        <is>
          <t>FE</t>
        </is>
      </c>
      <c r="F28" s="120" t="inlineStr">
        <is>
          <t>Code</t>
        </is>
      </c>
      <c r="G28" s="80" t="inlineStr">
        <is>
          <t>Sponsor invoices screen</t>
        </is>
      </c>
      <c r="H28" s="107" t="inlineStr">
        <is>
          <t>'Invoices to pay' and Billing open an invoices screen (GET /campaigns/{id}/invoices already exists) listing each invoice, status and a pay link.</t>
        </is>
      </c>
      <c r="I28" s="108" t="inlineStr">
        <is>
          <t>Ready</t>
        </is>
      </c>
      <c r="J28" s="108" t="n">
        <v>1.5</v>
      </c>
      <c r="K28" s="109" t="n"/>
      <c r="L28" s="109" t="n"/>
      <c r="M28" s="110" t="inlineStr">
        <is>
          <t>HeckerCreatives</t>
        </is>
      </c>
      <c r="N28" s="81" t="n">
        <v>0</v>
      </c>
      <c r="O28" s="80" t="n"/>
      <c r="P28" s="80" t="inlineStr">
        <is>
          <t>Sponsor can open, see and pay every invoice</t>
        </is>
      </c>
      <c r="Q28" s="82" t="inlineStr">
        <is>
          <t>polish.md #13</t>
        </is>
      </c>
      <c r="R28" s="111" t="inlineStr">
        <is>
          <t>Raised 2026-10-28 from the UX review.</t>
        </is>
      </c>
    </row>
    <row r="29" ht="23.85" customHeight="1" s="75">
      <c r="A29" s="104" t="n">
        <v>25</v>
      </c>
      <c r="B29" s="105" t="inlineStr">
        <is>
          <t>POL-BE-14</t>
        </is>
      </c>
      <c r="C29" s="81" t="n">
        <v>2</v>
      </c>
      <c r="D29" s="82" t="inlineStr">
        <is>
          <t>B · Waiting or stuck</t>
        </is>
      </c>
      <c r="E29" s="138" t="inlineStr">
        <is>
          <t>BE</t>
        </is>
      </c>
      <c r="F29" s="120" t="inlineStr">
        <is>
          <t>Code</t>
        </is>
      </c>
      <c r="G29" s="80" t="inlineStr">
        <is>
          <t>Held make-goods email BTG and are counted</t>
        </is>
      </c>
      <c r="H29" s="107" t="inlineStr">
        <is>
          <t>A held make-good emails BTG and is included in the dashboard counts (POL-BE-15).</t>
        </is>
      </c>
      <c r="I29" s="108" t="inlineStr">
        <is>
          <t>Ready</t>
        </is>
      </c>
      <c r="J29" s="108" t="n">
        <v>0.5</v>
      </c>
      <c r="K29" s="109" t="n"/>
      <c r="L29" s="109" t="n"/>
      <c r="M29" s="110" t="inlineStr">
        <is>
          <t>rcfworks</t>
        </is>
      </c>
      <c r="N29" s="81" t="n">
        <v>0</v>
      </c>
      <c r="O29" s="80" t="n"/>
      <c r="P29" s="80" t="inlineStr">
        <is>
          <t>Every held make-good emails and is counted; tests</t>
        </is>
      </c>
      <c r="Q29" s="82" t="inlineStr">
        <is>
          <t>polish.md #14</t>
        </is>
      </c>
      <c r="R29" s="111" t="inlineStr">
        <is>
          <t>Raised 2026-10-28 from the UX review.</t>
        </is>
      </c>
    </row>
    <row r="30" ht="23.85" customHeight="1" s="75">
      <c r="A30" s="104" t="n">
        <v>26</v>
      </c>
      <c r="B30" s="105" t="inlineStr">
        <is>
          <t>POL-BE-15</t>
        </is>
      </c>
      <c r="C30" s="81" t="n">
        <v>2</v>
      </c>
      <c r="D30" s="82" t="inlineStr">
        <is>
          <t>B · Waiting or stuck</t>
        </is>
      </c>
      <c r="E30" s="138" t="inlineStr">
        <is>
          <t>BE</t>
        </is>
      </c>
      <c r="F30" s="120" t="inlineStr">
        <is>
          <t>Code</t>
        </is>
      </c>
      <c r="G30" s="80" t="inlineStr">
        <is>
          <t>One counts endpoint for every BTG queue</t>
        </is>
      </c>
      <c r="H30" s="107" t="inlineStr">
        <is>
          <t>Counts for sign-ups, organisations, sponsor requests, handoffs, held listings and orders, delivery issues, payouts and make-goods, plus the existing four, with the oldest item's age.</t>
        </is>
      </c>
      <c r="I30" s="108" t="inlineStr">
        <is>
          <t>Ready</t>
        </is>
      </c>
      <c r="J30" s="108" t="n">
        <v>1.5</v>
      </c>
      <c r="K30" s="109" t="n"/>
      <c r="L30" s="109" t="n"/>
      <c r="M30" s="110" t="inlineStr">
        <is>
          <t>rcfworks</t>
        </is>
      </c>
      <c r="N30" s="81" t="n">
        <v>1</v>
      </c>
      <c r="O30" s="80" t="n"/>
      <c r="P30" s="80" t="inlineStr">
        <is>
          <t>Every queue that waits on BTG has a count; roles and tenants enforced; tests</t>
        </is>
      </c>
      <c r="Q30" s="82" t="inlineStr">
        <is>
          <t>polish.md #15</t>
        </is>
      </c>
      <c r="R30" s="111" t="inlineStr">
        <is>
          <t>Raised 2026-10-28 from the UX review.</t>
        </is>
      </c>
    </row>
    <row r="31" ht="23.85" customHeight="1" s="75">
      <c r="A31" s="104" t="n">
        <v>27</v>
      </c>
      <c r="B31" s="105" t="inlineStr">
        <is>
          <t>POL-FE-15</t>
        </is>
      </c>
      <c r="C31" s="81" t="n">
        <v>2</v>
      </c>
      <c r="D31" s="82" t="inlineStr">
        <is>
          <t>B · Waiting or stuck</t>
        </is>
      </c>
      <c r="E31" s="138" t="inlineStr">
        <is>
          <t>FE</t>
        </is>
      </c>
      <c r="F31" s="120" t="inlineStr">
        <is>
          <t>Code</t>
        </is>
      </c>
      <c r="G31" s="80" t="inlineStr">
        <is>
          <t>BTG dashboard shows every queue</t>
        </is>
      </c>
      <c r="H31" s="107" t="inlineStr">
        <is>
          <t>One tile per queue with its count and oldest age, linked to the queue.</t>
        </is>
      </c>
      <c r="I31" s="108" t="inlineStr">
        <is>
          <t>Ready</t>
        </is>
      </c>
      <c r="J31" s="108" t="n">
        <v>1</v>
      </c>
      <c r="K31" s="109" t="n"/>
      <c r="L31" s="109" t="n"/>
      <c r="M31" s="110" t="inlineStr">
        <is>
          <t>HeckerCreatives</t>
        </is>
      </c>
      <c r="N31" s="81" t="n">
        <v>0</v>
      </c>
      <c r="O31" s="80" t="inlineStr">
        <is>
          <t>POL-BE-15</t>
        </is>
      </c>
      <c r="P31" s="80" t="inlineStr">
        <is>
          <t>Every BTG queue has a tile linked to it</t>
        </is>
      </c>
      <c r="Q31" s="82" t="inlineStr">
        <is>
          <t>polish.md #15</t>
        </is>
      </c>
      <c r="R31" s="111" t="inlineStr">
        <is>
          <t>Raised 2026-10-28 from the UX review.</t>
        </is>
      </c>
    </row>
    <row r="32" ht="22.35" customHeight="1" s="75">
      <c r="A32" s="104" t="n">
        <v>28</v>
      </c>
      <c r="B32" s="105" t="inlineStr">
        <is>
          <t>POL-FE-16</t>
        </is>
      </c>
      <c r="C32" s="81" t="n">
        <v>3</v>
      </c>
      <c r="D32" s="82" t="inlineStr">
        <is>
          <t>C · Confusing or extra work</t>
        </is>
      </c>
      <c r="E32" s="138" t="inlineStr">
        <is>
          <t>FE</t>
        </is>
      </c>
      <c r="F32" s="120" t="inlineStr">
        <is>
          <t>Code</t>
        </is>
      </c>
      <c r="G32" s="80" t="inlineStr">
        <is>
          <t>Change guardian email at /join</t>
        </is>
      </c>
      <c r="H32" s="107" t="inlineStr">
        <is>
          <t>Add 'Change guardian email' on the /join status page (the API already allows it).</t>
        </is>
      </c>
      <c r="I32" s="108" t="inlineStr">
        <is>
          <t>Ready</t>
        </is>
      </c>
      <c r="J32" s="108" t="n">
        <v>0.5</v>
      </c>
      <c r="K32" s="109" t="n"/>
      <c r="L32" s="109" t="n"/>
      <c r="M32" s="110" t="inlineStr">
        <is>
          <t>HeckerCreatives</t>
        </is>
      </c>
      <c r="N32" s="81" t="n">
        <v>0</v>
      </c>
      <c r="O32" s="80" t="n"/>
      <c r="P32" s="80" t="inlineStr">
        <is>
          <t>A mistyped guardian email can be fixed and the invite resent</t>
        </is>
      </c>
      <c r="Q32" s="82" t="inlineStr">
        <is>
          <t>polish.md #16</t>
        </is>
      </c>
      <c r="R32" s="111" t="inlineStr">
        <is>
          <t>Raised 2026-10-28 from the UX review.</t>
        </is>
      </c>
    </row>
    <row r="33" ht="23.85" customHeight="1" s="75">
      <c r="A33" s="104" t="n">
        <v>29</v>
      </c>
      <c r="B33" s="105" t="inlineStr">
        <is>
          <t>POL-BE-17</t>
        </is>
      </c>
      <c r="C33" s="81" t="n">
        <v>3</v>
      </c>
      <c r="D33" s="82" t="inlineStr">
        <is>
          <t>C · Confusing or extra work</t>
        </is>
      </c>
      <c r="E33" s="138" t="inlineStr">
        <is>
          <t>BE</t>
        </is>
      </c>
      <c r="F33" s="120" t="inlineStr">
        <is>
          <t>Code</t>
        </is>
      </c>
      <c r="G33" s="80" t="inlineStr">
        <is>
          <t>Withdraw a sponsor request</t>
        </is>
      </c>
      <c r="H33" s="107" t="inlineStr">
        <is>
          <t>Add withdraw for a sent request if missing; confirm PATCH /briefs covers edit while editable.</t>
        </is>
      </c>
      <c r="I33" s="108" t="inlineStr">
        <is>
          <t>Ready</t>
        </is>
      </c>
      <c r="J33" s="108" t="n">
        <v>0.5</v>
      </c>
      <c r="K33" s="109" t="n"/>
      <c r="L33" s="109" t="n"/>
      <c r="M33" s="110" t="inlineStr">
        <is>
          <t>rcfworks</t>
        </is>
      </c>
      <c r="N33" s="81" t="n">
        <v>1</v>
      </c>
      <c r="O33" s="80" t="n"/>
      <c r="P33" s="80" t="inlineStr">
        <is>
          <t>Sponsor can withdraw; edit allowed only while editable; tests</t>
        </is>
      </c>
      <c r="Q33" s="82" t="inlineStr">
        <is>
          <t>polish.md #17</t>
        </is>
      </c>
      <c r="R33" s="111" t="inlineStr">
        <is>
          <t>Raised 2026-10-28 from the UX review.</t>
        </is>
      </c>
    </row>
    <row r="34" ht="23.85" customHeight="1" s="75">
      <c r="A34" s="104" t="n">
        <v>30</v>
      </c>
      <c r="B34" s="105" t="inlineStr">
        <is>
          <t>POL-FE-17</t>
        </is>
      </c>
      <c r="C34" s="81" t="n">
        <v>3</v>
      </c>
      <c r="D34" s="82" t="inlineStr">
        <is>
          <t>C · Confusing or extra work</t>
        </is>
      </c>
      <c r="E34" s="138" t="inlineStr">
        <is>
          <t>FE</t>
        </is>
      </c>
      <c r="F34" s="120" t="inlineStr">
        <is>
          <t>Code</t>
        </is>
      </c>
      <c r="G34" s="80" t="inlineStr">
        <is>
          <t>Sponsor request detail with Edit and Withdraw</t>
        </is>
      </c>
      <c r="H34" s="107" t="inlineStr">
        <is>
          <t>The request opens to a detail page with Edit (while editable) and Withdraw.</t>
        </is>
      </c>
      <c r="I34" s="108" t="inlineStr">
        <is>
          <t>Ready</t>
        </is>
      </c>
      <c r="J34" s="108" t="n">
        <v>1</v>
      </c>
      <c r="K34" s="109" t="n"/>
      <c r="L34" s="109" t="n"/>
      <c r="M34" s="110" t="inlineStr">
        <is>
          <t>HeckerCreatives</t>
        </is>
      </c>
      <c r="N34" s="81" t="n">
        <v>0</v>
      </c>
      <c r="O34" s="80" t="inlineStr">
        <is>
          <t>POL-BE-17</t>
        </is>
      </c>
      <c r="P34" s="80" t="inlineStr">
        <is>
          <t>Sponsor can open, edit and withdraw a request</t>
        </is>
      </c>
      <c r="Q34" s="82" t="inlineStr">
        <is>
          <t>polish.md #17</t>
        </is>
      </c>
      <c r="R34" s="111" t="inlineStr">
        <is>
          <t>Raised 2026-10-28 from the UX review.</t>
        </is>
      </c>
    </row>
    <row r="35" ht="23.85" customHeight="1" s="75">
      <c r="A35" s="104" t="n">
        <v>31</v>
      </c>
      <c r="B35" s="105" t="inlineStr">
        <is>
          <t>POL-BE-18</t>
        </is>
      </c>
      <c r="C35" s="81" t="n">
        <v>3</v>
      </c>
      <c r="D35" s="82" t="inlineStr">
        <is>
          <t>C · Confusing or extra work</t>
        </is>
      </c>
      <c r="E35" s="138" t="inlineStr">
        <is>
          <t>BE</t>
        </is>
      </c>
      <c r="F35" s="120" t="inlineStr">
        <is>
          <t>Code</t>
        </is>
      </c>
      <c r="G35" s="80" t="inlineStr">
        <is>
          <t>Resend and change the request confirmation email</t>
        </is>
      </c>
      <c r="H35" s="107" t="inlineStr">
        <is>
          <t>Endpoints to resend the confirmation email and change the address, rate limited (if missing).</t>
        </is>
      </c>
      <c r="I35" s="108" t="inlineStr">
        <is>
          <t>Ready</t>
        </is>
      </c>
      <c r="J35" s="108" t="n">
        <v>0.5</v>
      </c>
      <c r="K35" s="109" t="n"/>
      <c r="L35" s="109" t="n"/>
      <c r="M35" s="110" t="inlineStr">
        <is>
          <t>rcfworks</t>
        </is>
      </c>
      <c r="N35" s="81" t="n">
        <v>1</v>
      </c>
      <c r="O35" s="80" t="n"/>
      <c r="P35" s="80" t="inlineStr">
        <is>
          <t>Resend and change work, rate limited; tests</t>
        </is>
      </c>
      <c r="Q35" s="82" t="inlineStr">
        <is>
          <t>polish.md #18</t>
        </is>
      </c>
      <c r="R35" s="111" t="inlineStr">
        <is>
          <t>Raised 2026-10-28 from the UX review.</t>
        </is>
      </c>
    </row>
    <row r="36" ht="23.85" customHeight="1" s="75">
      <c r="A36" s="104" t="n">
        <v>32</v>
      </c>
      <c r="B36" s="105" t="inlineStr">
        <is>
          <t>POL-FE-18</t>
        </is>
      </c>
      <c r="C36" s="81" t="n">
        <v>3</v>
      </c>
      <c r="D36" s="82" t="inlineStr">
        <is>
          <t>C · Confusing or extra work</t>
        </is>
      </c>
      <c r="E36" s="138" t="inlineStr">
        <is>
          <t>FE</t>
        </is>
      </c>
      <c r="F36" s="120" t="inlineStr">
        <is>
          <t>Code</t>
        </is>
      </c>
      <c r="G36" s="80" t="inlineStr">
        <is>
          <t>Resend email and Change email on the request status</t>
        </is>
      </c>
      <c r="H36" s="107" t="inlineStr">
        <is>
          <t>Buttons on the sponsor request status page.</t>
        </is>
      </c>
      <c r="I36" s="108" t="inlineStr">
        <is>
          <t>Ready</t>
        </is>
      </c>
      <c r="J36" s="108" t="n">
        <v>0.5</v>
      </c>
      <c r="K36" s="109" t="n"/>
      <c r="L36" s="109" t="n"/>
      <c r="M36" s="110" t="inlineStr">
        <is>
          <t>HeckerCreatives</t>
        </is>
      </c>
      <c r="N36" s="81" t="n">
        <v>0</v>
      </c>
      <c r="O36" s="80" t="inlineStr">
        <is>
          <t>POL-BE-18</t>
        </is>
      </c>
      <c r="P36" s="80" t="inlineStr">
        <is>
          <t>Sponsor can resend or fix the address</t>
        </is>
      </c>
      <c r="Q36" s="82" t="inlineStr">
        <is>
          <t>polish.md #18</t>
        </is>
      </c>
      <c r="R36" s="111" t="inlineStr">
        <is>
          <t>Raised 2026-10-28 from the UX review.</t>
        </is>
      </c>
    </row>
    <row r="37" ht="23.85" customHeight="1" s="75">
      <c r="A37" s="104" t="n">
        <v>33</v>
      </c>
      <c r="B37" s="105" t="inlineStr">
        <is>
          <t>POL-BE-19</t>
        </is>
      </c>
      <c r="C37" s="81" t="n">
        <v>3</v>
      </c>
      <c r="D37" s="82" t="inlineStr">
        <is>
          <t>C · Confusing or extra work</t>
        </is>
      </c>
      <c r="E37" s="138" t="inlineStr">
        <is>
          <t>BE</t>
        </is>
      </c>
      <c r="F37" s="120" t="inlineStr">
        <is>
          <t>Code</t>
        </is>
      </c>
      <c r="G37" s="80" t="inlineStr">
        <is>
          <t>Sponsor admin invites teammates</t>
        </is>
      </c>
      <c r="H37" s="107" t="inlineStr">
        <is>
          <t>Invite by email and set roles within the sponsor's own organisation (if the API lacks it).</t>
        </is>
      </c>
      <c r="I37" s="108" t="inlineStr">
        <is>
          <t>Ready</t>
        </is>
      </c>
      <c r="J37" s="108" t="n">
        <v>1.5</v>
      </c>
      <c r="K37" s="109" t="n"/>
      <c r="L37" s="109" t="n"/>
      <c r="M37" s="110" t="inlineStr">
        <is>
          <t>rcfworks</t>
        </is>
      </c>
      <c r="N37" s="81" t="n">
        <v>1</v>
      </c>
      <c r="O37" s="80" t="n"/>
      <c r="P37" s="80" t="inlineStr">
        <is>
          <t>Invite and role change work; own tenant only; tests</t>
        </is>
      </c>
      <c r="Q37" s="82" t="inlineStr">
        <is>
          <t>polish.md #19</t>
        </is>
      </c>
      <c r="R37" s="111" t="inlineStr">
        <is>
          <t>Raised 2026-10-28 from the UX review.</t>
        </is>
      </c>
    </row>
    <row r="38" ht="23.85" customHeight="1" s="75">
      <c r="A38" s="104" t="n">
        <v>34</v>
      </c>
      <c r="B38" s="105" t="inlineStr">
        <is>
          <t>POL-FE-19</t>
        </is>
      </c>
      <c r="C38" s="81" t="n">
        <v>3</v>
      </c>
      <c r="D38" s="82" t="inlineStr">
        <is>
          <t>C · Confusing or extra work</t>
        </is>
      </c>
      <c r="E38" s="138" t="inlineStr">
        <is>
          <t>FE</t>
        </is>
      </c>
      <c r="F38" s="120" t="inlineStr">
        <is>
          <t>Code</t>
        </is>
      </c>
      <c r="G38" s="80" t="inlineStr">
        <is>
          <t>Sponsor team screen; hide dead menu items</t>
        </is>
      </c>
      <c r="H38" s="107" t="inlineStr">
        <is>
          <t>Team screen to invite and set roles; hide Settings and Messages until they work.</t>
        </is>
      </c>
      <c r="I38" s="108" t="inlineStr">
        <is>
          <t>Ready</t>
        </is>
      </c>
      <c r="J38" s="108" t="n">
        <v>1</v>
      </c>
      <c r="K38" s="109" t="n"/>
      <c r="L38" s="109" t="n"/>
      <c r="M38" s="110" t="inlineStr">
        <is>
          <t>HeckerCreatives</t>
        </is>
      </c>
      <c r="N38" s="81" t="n">
        <v>0</v>
      </c>
      <c r="O38" s="80" t="inlineStr">
        <is>
          <t>POL-BE-19</t>
        </is>
      </c>
      <c r="P38" s="80" t="inlineStr">
        <is>
          <t>Sponsor admin can invite teammates; no dead menu items</t>
        </is>
      </c>
      <c r="Q38" s="82" t="inlineStr">
        <is>
          <t>polish.md #19</t>
        </is>
      </c>
      <c r="R38" s="111" t="inlineStr">
        <is>
          <t>Raised 2026-10-28 from the UX review.</t>
        </is>
      </c>
    </row>
    <row r="39" ht="23.85" customHeight="1" s="75">
      <c r="A39" s="104" t="n">
        <v>35</v>
      </c>
      <c r="B39" s="105" t="inlineStr">
        <is>
          <t>POL-FE-20</t>
        </is>
      </c>
      <c r="C39" s="81" t="n">
        <v>3</v>
      </c>
      <c r="D39" s="82" t="inlineStr">
        <is>
          <t>C · Confusing or extra work</t>
        </is>
      </c>
      <c r="E39" s="138" t="inlineStr">
        <is>
          <t>FE</t>
        </is>
      </c>
      <c r="F39" s="120" t="inlineStr">
        <is>
          <t>Code</t>
        </is>
      </c>
      <c r="G39" s="80" t="inlineStr">
        <is>
          <t>'Needs your OK' only when there is an action</t>
        </is>
      </c>
      <c r="H39" s="107" t="inlineStr">
        <is>
          <t>Show it only when the sponsor has an action, linked straight to it.</t>
        </is>
      </c>
      <c r="I39" s="108" t="inlineStr">
        <is>
          <t>Ready</t>
        </is>
      </c>
      <c r="J39" s="108" t="n">
        <v>0.5</v>
      </c>
      <c r="K39" s="109" t="n"/>
      <c r="L39" s="109" t="n"/>
      <c r="M39" s="110" t="inlineStr">
        <is>
          <t>HeckerCreatives</t>
        </is>
      </c>
      <c r="N39" s="81" t="n">
        <v>0</v>
      </c>
      <c r="O39" s="80" t="n"/>
      <c r="P39" s="80" t="inlineStr">
        <is>
          <t>Never shown without a sponsor action; links to it</t>
        </is>
      </c>
      <c r="Q39" s="82" t="inlineStr">
        <is>
          <t>polish.md #20</t>
        </is>
      </c>
      <c r="R39" s="111" t="inlineStr">
        <is>
          <t>Raised 2026-10-28 from the UX review.</t>
        </is>
      </c>
    </row>
    <row r="40" ht="23.85" customHeight="1" s="75">
      <c r="A40" s="104" t="n">
        <v>36</v>
      </c>
      <c r="B40" s="105" t="inlineStr">
        <is>
          <t>POL-FE-21</t>
        </is>
      </c>
      <c r="C40" s="81" t="n">
        <v>3</v>
      </c>
      <c r="D40" s="82" t="inlineStr">
        <is>
          <t>C · Confusing or extra work</t>
        </is>
      </c>
      <c r="E40" s="138" t="inlineStr">
        <is>
          <t>FE</t>
        </is>
      </c>
      <c r="F40" s="120" t="inlineStr">
        <is>
          <t>Code</t>
        </is>
      </c>
      <c r="G40" s="80" t="inlineStr">
        <is>
          <t>Request progress steps follow the real state</t>
        </is>
      </c>
      <c r="H40" s="107" t="inlineStr">
        <is>
          <t>No 'Price agreed' or 'Campaign live' before they happen.</t>
        </is>
      </c>
      <c r="I40" s="108" t="inlineStr">
        <is>
          <t>Ready</t>
        </is>
      </c>
      <c r="J40" s="108" t="n">
        <v>0.5</v>
      </c>
      <c r="K40" s="109" t="n"/>
      <c r="L40" s="109" t="n"/>
      <c r="M40" s="110" t="inlineStr">
        <is>
          <t>HeckerCreatives</t>
        </is>
      </c>
      <c r="N40" s="81" t="n">
        <v>0</v>
      </c>
      <c r="O40" s="80" t="n"/>
      <c r="P40" s="80" t="inlineStr">
        <is>
          <t>Steps match the request's real state</t>
        </is>
      </c>
      <c r="Q40" s="82" t="inlineStr">
        <is>
          <t>polish.md #21</t>
        </is>
      </c>
      <c r="R40" s="111" t="inlineStr">
        <is>
          <t>Raised 2026-10-28 from the UX review.</t>
        </is>
      </c>
    </row>
    <row r="41" ht="23.85" customHeight="1" s="75">
      <c r="A41" s="104" t="n">
        <v>37</v>
      </c>
      <c r="B41" s="105" t="inlineStr">
        <is>
          <t>POL-BE-22</t>
        </is>
      </c>
      <c r="C41" s="81" t="n">
        <v>3</v>
      </c>
      <c r="D41" s="82" t="inlineStr">
        <is>
          <t>C · Confusing or extra work</t>
        </is>
      </c>
      <c r="E41" s="138" t="inlineStr">
        <is>
          <t>BE</t>
        </is>
      </c>
      <c r="F41" s="120" t="inlineStr">
        <is>
          <t>Code</t>
        </is>
      </c>
      <c r="G41" s="80" t="inlineStr">
        <is>
          <t>Mark a stalled campaign</t>
        </is>
      </c>
      <c r="H41" s="107" t="inlineStr">
        <is>
          <t>The API flags a campaign whose staffing has stalled and when BTG stepped in.</t>
        </is>
      </c>
      <c r="I41" s="108" t="inlineStr">
        <is>
          <t>Ready</t>
        </is>
      </c>
      <c r="J41" s="108" t="n">
        <v>0.5</v>
      </c>
      <c r="K41" s="109" t="n"/>
      <c r="L41" s="109" t="n"/>
      <c r="M41" s="110" t="inlineStr">
        <is>
          <t>rcfworks</t>
        </is>
      </c>
      <c r="N41" s="81" t="n">
        <v>1</v>
      </c>
      <c r="O41" s="80" t="n"/>
      <c r="P41" s="80" t="inlineStr">
        <is>
          <t>Stalled campaigns flagged; tests</t>
        </is>
      </c>
      <c r="Q41" s="82" t="inlineStr">
        <is>
          <t>polish.md #22</t>
        </is>
      </c>
      <c r="R41" s="111" t="inlineStr">
        <is>
          <t>Raised 2026-10-28 from the UX review.</t>
        </is>
      </c>
    </row>
    <row r="42" ht="22.35" customHeight="1" s="75">
      <c r="A42" s="104" t="n">
        <v>38</v>
      </c>
      <c r="B42" s="105" t="inlineStr">
        <is>
          <t>POL-FE-22</t>
        </is>
      </c>
      <c r="C42" s="81" t="n">
        <v>3</v>
      </c>
      <c r="D42" s="82" t="inlineStr">
        <is>
          <t>C · Confusing or extra work</t>
        </is>
      </c>
      <c r="E42" s="138" t="inlineStr">
        <is>
          <t>FE</t>
        </is>
      </c>
      <c r="F42" s="120" t="inlineStr">
        <is>
          <t>Code</t>
        </is>
      </c>
      <c r="G42" s="80" t="inlineStr">
        <is>
          <t>Sponsor sees 'BTG is finding more athletes'</t>
        </is>
      </c>
      <c r="H42" s="107" t="inlineStr">
        <is>
          <t>Shown on a stalled campaign, with a date.</t>
        </is>
      </c>
      <c r="I42" s="108" t="inlineStr">
        <is>
          <t>Ready</t>
        </is>
      </c>
      <c r="J42" s="108" t="n">
        <v>0.5</v>
      </c>
      <c r="K42" s="109" t="n"/>
      <c r="L42" s="109" t="n"/>
      <c r="M42" s="110" t="inlineStr">
        <is>
          <t>HeckerCreatives</t>
        </is>
      </c>
      <c r="N42" s="81" t="n">
        <v>0</v>
      </c>
      <c r="O42" s="80" t="inlineStr">
        <is>
          <t>POL-BE-22</t>
        </is>
      </c>
      <c r="P42" s="80" t="inlineStr">
        <is>
          <t>Sponsor sees the stalled message</t>
        </is>
      </c>
      <c r="Q42" s="82" t="inlineStr">
        <is>
          <t>polish.md #22</t>
        </is>
      </c>
      <c r="R42" s="111" t="inlineStr">
        <is>
          <t>Raised 2026-10-28 from the UX review.</t>
        </is>
      </c>
    </row>
    <row r="43" ht="23.85" customHeight="1" s="75">
      <c r="A43" s="104" t="n">
        <v>39</v>
      </c>
      <c r="B43" s="105" t="inlineStr">
        <is>
          <t>POL-FE-23</t>
        </is>
      </c>
      <c r="C43" s="81" t="n">
        <v>3</v>
      </c>
      <c r="D43" s="82" t="inlineStr">
        <is>
          <t>C · Confusing or extra work</t>
        </is>
      </c>
      <c r="E43" s="138" t="inlineStr">
        <is>
          <t>FE</t>
        </is>
      </c>
      <c r="F43" s="120" t="inlineStr">
        <is>
          <t>Code</t>
        </is>
      </c>
      <c r="G43" s="80" t="inlineStr">
        <is>
          <t>Content review shows a review-by date and opens the post</t>
        </is>
      </c>
      <c r="H43" s="107" t="inlineStr">
        <is>
          <t>Show the due date (back end adds it if missing); the dashboard link opens the post.</t>
        </is>
      </c>
      <c r="I43" s="108" t="inlineStr">
        <is>
          <t>Ready</t>
        </is>
      </c>
      <c r="J43" s="108" t="n">
        <v>0.5</v>
      </c>
      <c r="K43" s="109" t="n"/>
      <c r="L43" s="109" t="n"/>
      <c r="M43" s="110" t="inlineStr">
        <is>
          <t>HeckerCreatives</t>
        </is>
      </c>
      <c r="N43" s="81" t="n">
        <v>0</v>
      </c>
      <c r="O43" s="80" t="n"/>
      <c r="P43" s="80" t="inlineStr">
        <is>
          <t>Due date shown; link lands on the post</t>
        </is>
      </c>
      <c r="Q43" s="82" t="inlineStr">
        <is>
          <t>polish.md #23</t>
        </is>
      </c>
      <c r="R43" s="111" t="inlineStr">
        <is>
          <t>Raised 2026-10-28 from the UX review.</t>
        </is>
      </c>
    </row>
    <row r="44" ht="22.35" customHeight="1" s="75">
      <c r="A44" s="104" t="n">
        <v>40</v>
      </c>
      <c r="B44" s="105" t="inlineStr">
        <is>
          <t>POL-FE-24</t>
        </is>
      </c>
      <c r="C44" s="81" t="n">
        <v>3</v>
      </c>
      <c r="D44" s="82" t="inlineStr">
        <is>
          <t>C · Confusing or extra work</t>
        </is>
      </c>
      <c r="E44" s="138" t="inlineStr">
        <is>
          <t>FE</t>
        </is>
      </c>
      <c r="F44" s="120" t="inlineStr">
        <is>
          <t>Code</t>
        </is>
      </c>
      <c r="G44" s="80" t="inlineStr">
        <is>
          <t>Athlete Campaign Orders list with Accept and Decline</t>
        </is>
      </c>
      <c r="H44" s="107" t="inlineStr">
        <is>
          <t>A Campaign Orders list; Decline uses the existing API; menu labels separate it from marketplace sales.</t>
        </is>
      </c>
      <c r="I44" s="108" t="inlineStr">
        <is>
          <t>Ready</t>
        </is>
      </c>
      <c r="J44" s="108" t="n">
        <v>1</v>
      </c>
      <c r="K44" s="109" t="n"/>
      <c r="L44" s="109" t="n"/>
      <c r="M44" s="110" t="inlineStr">
        <is>
          <t>HeckerCreatives</t>
        </is>
      </c>
      <c r="N44" s="81" t="n">
        <v>0</v>
      </c>
      <c r="O44" s="80" t="n"/>
      <c r="P44" s="80" t="inlineStr">
        <is>
          <t>Athlete can see, accept and decline Campaign Orders</t>
        </is>
      </c>
      <c r="Q44" s="82" t="inlineStr">
        <is>
          <t>polish.md #24</t>
        </is>
      </c>
      <c r="R44" s="111" t="inlineStr">
        <is>
          <t>Raised 2026-10-28 from the UX review.</t>
        </is>
      </c>
    </row>
    <row r="45" ht="23.85" customHeight="1" s="75">
      <c r="A45" s="104" t="n">
        <v>41</v>
      </c>
      <c r="B45" s="105" t="inlineStr">
        <is>
          <t>POL-FE-25</t>
        </is>
      </c>
      <c r="C45" s="81" t="n">
        <v>3</v>
      </c>
      <c r="D45" s="82" t="inlineStr">
        <is>
          <t>C · Confusing or extra work</t>
        </is>
      </c>
      <c r="E45" s="138" t="inlineStr">
        <is>
          <t>FE</t>
        </is>
      </c>
      <c r="F45" s="120" t="inlineStr">
        <is>
          <t>Code</t>
        </is>
      </c>
      <c r="G45" s="80" t="inlineStr">
        <is>
          <t>Earnings and Payouts say the same thing</t>
        </is>
      </c>
      <c r="H45" s="107" t="inlineStr">
        <is>
          <t>Remove 'BTG handles payouts outside the platform' where it contradicts the Payouts page.</t>
        </is>
      </c>
      <c r="I45" s="108" t="inlineStr">
        <is>
          <t>Ready</t>
        </is>
      </c>
      <c r="J45" s="108" t="n">
        <v>0.25</v>
      </c>
      <c r="K45" s="109" t="n"/>
      <c r="L45" s="109" t="n"/>
      <c r="M45" s="110" t="inlineStr">
        <is>
          <t>HeckerCreatives</t>
        </is>
      </c>
      <c r="N45" s="81" t="n">
        <v>0</v>
      </c>
      <c r="O45" s="80" t="n"/>
      <c r="P45" s="80" t="inlineStr">
        <is>
          <t>One consistent message</t>
        </is>
      </c>
      <c r="Q45" s="82" t="inlineStr">
        <is>
          <t>polish.md #25</t>
        </is>
      </c>
      <c r="R45" s="111" t="inlineStr">
        <is>
          <t>Raised 2026-10-28 from the UX review.</t>
        </is>
      </c>
    </row>
    <row r="46" ht="23.85" customHeight="1" s="75">
      <c r="A46" s="104" t="n">
        <v>42</v>
      </c>
      <c r="B46" s="105" t="inlineStr">
        <is>
          <t>POL-FE-26</t>
        </is>
      </c>
      <c r="C46" s="81" t="n">
        <v>3</v>
      </c>
      <c r="D46" s="82" t="inlineStr">
        <is>
          <t>C · Confusing or extra work</t>
        </is>
      </c>
      <c r="E46" s="138" t="inlineStr">
        <is>
          <t>FE</t>
        </is>
      </c>
      <c r="F46" s="120" t="inlineStr">
        <is>
          <t>Code</t>
        </is>
      </c>
      <c r="G46" s="80" t="inlineStr">
        <is>
          <t>Minors see 'your guardian sets this up'</t>
        </is>
      </c>
      <c r="H46" s="107" t="inlineStr">
        <is>
          <t>Hide the Stripe setup button for a minor; the guardian sees it.</t>
        </is>
      </c>
      <c r="I46" s="108" t="inlineStr">
        <is>
          <t>Ready</t>
        </is>
      </c>
      <c r="J46" s="108" t="n">
        <v>0.5</v>
      </c>
      <c r="K46" s="109" t="n"/>
      <c r="L46" s="109" t="n"/>
      <c r="M46" s="110" t="inlineStr">
        <is>
          <t>HeckerCreatives</t>
        </is>
      </c>
      <c r="N46" s="81" t="n">
        <v>0</v>
      </c>
      <c r="O46" s="80" t="n"/>
      <c r="P46" s="80" t="inlineStr">
        <is>
          <t>Minor never sees a button that fails</t>
        </is>
      </c>
      <c r="Q46" s="82" t="inlineStr">
        <is>
          <t>polish.md #26</t>
        </is>
      </c>
      <c r="R46" s="111" t="inlineStr">
        <is>
          <t>Raised 2026-10-28 from the UX review.</t>
        </is>
      </c>
    </row>
    <row r="47" ht="22.35" customHeight="1" s="75">
      <c r="A47" s="104" t="n">
        <v>43</v>
      </c>
      <c r="B47" s="105" t="inlineStr">
        <is>
          <t>POL-FE-27</t>
        </is>
      </c>
      <c r="C47" s="81" t="n">
        <v>3</v>
      </c>
      <c r="D47" s="82" t="inlineStr">
        <is>
          <t>C · Confusing or extra work</t>
        </is>
      </c>
      <c r="E47" s="138" t="inlineStr">
        <is>
          <t>FE</t>
        </is>
      </c>
      <c r="F47" s="120" t="inlineStr">
        <is>
          <t>Code</t>
        </is>
      </c>
      <c r="G47" s="80" t="inlineStr">
        <is>
          <t>Confirm before declining an invitation</t>
        </is>
      </c>
      <c r="H47" s="107" t="inlineStr">
        <is>
          <t>Add an 'are you sure?' like offers have.</t>
        </is>
      </c>
      <c r="I47" s="108" t="inlineStr">
        <is>
          <t>Ready</t>
        </is>
      </c>
      <c r="J47" s="108" t="n">
        <v>0.25</v>
      </c>
      <c r="K47" s="109" t="n"/>
      <c r="L47" s="109" t="n"/>
      <c r="M47" s="110" t="inlineStr">
        <is>
          <t>HeckerCreatives</t>
        </is>
      </c>
      <c r="N47" s="81" t="n">
        <v>0</v>
      </c>
      <c r="O47" s="80" t="n"/>
      <c r="P47" s="80" t="inlineStr">
        <is>
          <t>Declining asks first</t>
        </is>
      </c>
      <c r="Q47" s="82" t="inlineStr">
        <is>
          <t>polish.md #27</t>
        </is>
      </c>
      <c r="R47" s="111" t="inlineStr">
        <is>
          <t>Raised 2026-10-28 from the UX review.</t>
        </is>
      </c>
    </row>
    <row r="48" ht="23.85" customHeight="1" s="75">
      <c r="A48" s="104" t="n">
        <v>44</v>
      </c>
      <c r="B48" s="105" t="inlineStr">
        <is>
          <t>POL-FE-28</t>
        </is>
      </c>
      <c r="C48" s="81" t="n">
        <v>3</v>
      </c>
      <c r="D48" s="82" t="inlineStr">
        <is>
          <t>C · Confusing or extra work</t>
        </is>
      </c>
      <c r="E48" s="138" t="inlineStr">
        <is>
          <t>FE</t>
        </is>
      </c>
      <c r="F48" s="120" t="inlineStr">
        <is>
          <t>Code</t>
        </is>
      </c>
      <c r="G48" s="80" t="inlineStr">
        <is>
          <t>Confirm before 'Confirm delivered'</t>
        </is>
      </c>
      <c r="H48" s="107" t="inlineStr">
        <is>
          <t>Confirmation saying the seller will be paid.</t>
        </is>
      </c>
      <c r="I48" s="108" t="inlineStr">
        <is>
          <t>Ready</t>
        </is>
      </c>
      <c r="J48" s="108" t="n">
        <v>0.25</v>
      </c>
      <c r="K48" s="109" t="n"/>
      <c r="L48" s="109" t="n"/>
      <c r="M48" s="110" t="inlineStr">
        <is>
          <t>HeckerCreatives</t>
        </is>
      </c>
      <c r="N48" s="81" t="n">
        <v>0</v>
      </c>
      <c r="O48" s="80" t="n"/>
      <c r="P48" s="80" t="inlineStr">
        <is>
          <t>Confirm delivered asks first</t>
        </is>
      </c>
      <c r="Q48" s="82" t="inlineStr">
        <is>
          <t>polish.md #28</t>
        </is>
      </c>
      <c r="R48" s="111" t="inlineStr">
        <is>
          <t>Raised 2026-10-28 from the UX review.</t>
        </is>
      </c>
    </row>
    <row r="49" ht="23.85" customHeight="1" s="75">
      <c r="A49" s="104" t="n">
        <v>45</v>
      </c>
      <c r="B49" s="105" t="inlineStr">
        <is>
          <t>POL-BE-29</t>
        </is>
      </c>
      <c r="C49" s="81" t="n">
        <v>3</v>
      </c>
      <c r="D49" s="82" t="inlineStr">
        <is>
          <t>C · Confusing or extra work</t>
        </is>
      </c>
      <c r="E49" s="138" t="inlineStr">
        <is>
          <t>BE</t>
        </is>
      </c>
      <c r="F49" s="120" t="inlineStr">
        <is>
          <t>Code</t>
        </is>
      </c>
      <c r="G49" s="80" t="inlineStr">
        <is>
          <t>Handoff queue oldest first</t>
        </is>
      </c>
      <c r="H49" s="107" t="inlineStr">
        <is>
          <t>Sort guardian handoffs oldest first.</t>
        </is>
      </c>
      <c r="I49" s="108" t="inlineStr">
        <is>
          <t>Ready</t>
        </is>
      </c>
      <c r="J49" s="108" t="n">
        <v>0.25</v>
      </c>
      <c r="K49" s="109" t="n"/>
      <c r="L49" s="109" t="n"/>
      <c r="M49" s="110" t="inlineStr">
        <is>
          <t>rcfworks</t>
        </is>
      </c>
      <c r="N49" s="81" t="n">
        <v>0</v>
      </c>
      <c r="O49" s="80" t="n"/>
      <c r="P49" s="80" t="inlineStr">
        <is>
          <t>Oldest first; test</t>
        </is>
      </c>
      <c r="Q49" s="82" t="inlineStr">
        <is>
          <t>polish.md #29</t>
        </is>
      </c>
      <c r="R49" s="111" t="inlineStr">
        <is>
          <t>Raised 2026-10-28 from the UX review.</t>
        </is>
      </c>
    </row>
    <row r="50" ht="23.85" customHeight="1" s="75">
      <c r="A50" s="104" t="n">
        <v>46</v>
      </c>
      <c r="B50" s="105" t="inlineStr">
        <is>
          <t>POL-FE-30</t>
        </is>
      </c>
      <c r="C50" s="81" t="n">
        <v>3</v>
      </c>
      <c r="D50" s="82" t="inlineStr">
        <is>
          <t>C · Confusing or extra work</t>
        </is>
      </c>
      <c r="E50" s="138" t="inlineStr">
        <is>
          <t>FE</t>
        </is>
      </c>
      <c r="F50" s="120" t="inlineStr">
        <is>
          <t>Code</t>
        </is>
      </c>
      <c r="G50" s="80" t="inlineStr">
        <is>
          <t>Unsubscribe fallback points at support</t>
        </is>
      </c>
      <c r="H50" s="107" t="inlineStr">
        <is>
          <t>Replace 'reply to the email' (no-reply sender) with the support address.</t>
        </is>
      </c>
      <c r="I50" s="108" t="inlineStr">
        <is>
          <t>Ready</t>
        </is>
      </c>
      <c r="J50" s="108" t="n">
        <v>0.25</v>
      </c>
      <c r="K50" s="109" t="n"/>
      <c r="L50" s="109" t="n"/>
      <c r="M50" s="110" t="inlineStr">
        <is>
          <t>HeckerCreatives</t>
        </is>
      </c>
      <c r="N50" s="81" t="n">
        <v>0</v>
      </c>
      <c r="O50" s="80" t="n"/>
      <c r="P50" s="80" t="inlineStr">
        <is>
          <t>Fallback reaches a person</t>
        </is>
      </c>
      <c r="Q50" s="82" t="inlineStr">
        <is>
          <t>polish.md #30</t>
        </is>
      </c>
      <c r="R50" s="111" t="inlineStr">
        <is>
          <t>Raised 2026-10-28 from the UX review.</t>
        </is>
      </c>
    </row>
    <row r="51" ht="23.85" customHeight="1" s="75">
      <c r="A51" s="104" t="n">
        <v>47</v>
      </c>
      <c r="B51" s="105" t="inlineStr">
        <is>
          <t>POL-FE-31</t>
        </is>
      </c>
      <c r="C51" s="81" t="n">
        <v>4</v>
      </c>
      <c r="D51" s="82" t="inlineStr">
        <is>
          <t>D · Polish</t>
        </is>
      </c>
      <c r="E51" s="138" t="inlineStr">
        <is>
          <t>FE</t>
        </is>
      </c>
      <c r="F51" s="120" t="inlineStr">
        <is>
          <t>Code</t>
        </is>
      </c>
      <c r="G51" s="80" t="inlineStr">
        <is>
          <t>Plain message for a failed card payment</t>
        </is>
      </c>
      <c r="H51" s="107" t="inlineStr">
        <is>
          <t>Replace 'ref: pi_…' with what to do next and how to contact support.</t>
        </is>
      </c>
      <c r="I51" s="108" t="inlineStr">
        <is>
          <t>Ready</t>
        </is>
      </c>
      <c r="J51" s="108" t="n">
        <v>0.25</v>
      </c>
      <c r="K51" s="109" t="n"/>
      <c r="L51" s="109" t="n"/>
      <c r="M51" s="110" t="inlineStr">
        <is>
          <t>HeckerCreatives</t>
        </is>
      </c>
      <c r="N51" s="81" t="n">
        <v>0</v>
      </c>
      <c r="O51" s="80" t="n"/>
      <c r="P51" s="80" t="inlineStr">
        <is>
          <t>No raw Stripe codes shown</t>
        </is>
      </c>
      <c r="Q51" s="82" t="inlineStr">
        <is>
          <t>polish.md #31</t>
        </is>
      </c>
      <c r="R51" s="111" t="inlineStr">
        <is>
          <t>Raised 2026-10-28 from the UX review.</t>
        </is>
      </c>
    </row>
    <row r="52" s="75">
      <c r="A52" s="104" t="n">
        <v>48</v>
      </c>
      <c r="B52" s="105" t="inlineStr">
        <is>
          <t>POL-FE-32</t>
        </is>
      </c>
      <c r="C52" s="81" t="n">
        <v>4</v>
      </c>
      <c r="D52" s="82" t="inlineStr">
        <is>
          <t>D · Polish</t>
        </is>
      </c>
      <c r="E52" s="138" t="inlineStr">
        <is>
          <t>FE</t>
        </is>
      </c>
      <c r="F52" s="120" t="inlineStr">
        <is>
          <t>Code</t>
        </is>
      </c>
      <c r="G52" s="80" t="inlineStr">
        <is>
          <t>'Welcome' on first sign-in</t>
        </is>
      </c>
      <c r="H52" s="107" t="inlineStr">
        <is>
          <t>Not 'Welcome back' for a brand-new user.</t>
        </is>
      </c>
      <c r="I52" s="108" t="inlineStr">
        <is>
          <t>Ready</t>
        </is>
      </c>
      <c r="J52" s="108" t="n">
        <v>0.25</v>
      </c>
      <c r="K52" s="109" t="n"/>
      <c r="L52" s="109" t="n"/>
      <c r="M52" s="110" t="inlineStr">
        <is>
          <t>HeckerCreatives</t>
        </is>
      </c>
      <c r="N52" s="81" t="n">
        <v>0</v>
      </c>
      <c r="O52" s="80" t="n"/>
      <c r="P52" s="80" t="inlineStr">
        <is>
          <t>First sign-in says Welcome</t>
        </is>
      </c>
      <c r="Q52" s="82" t="inlineStr">
        <is>
          <t>polish.md #32</t>
        </is>
      </c>
      <c r="R52" s="111" t="inlineStr">
        <is>
          <t>Raised 2026-10-28 from the UX review.</t>
        </is>
      </c>
    </row>
    <row r="53" s="75">
      <c r="A53" s="104" t="n">
        <v>49</v>
      </c>
      <c r="B53" s="105" t="inlineStr">
        <is>
          <t>POL-FE-33</t>
        </is>
      </c>
      <c r="C53" s="81" t="n">
        <v>4</v>
      </c>
      <c r="D53" s="82" t="inlineStr">
        <is>
          <t>D · Polish</t>
        </is>
      </c>
      <c r="E53" s="138" t="inlineStr">
        <is>
          <t>FE</t>
        </is>
      </c>
      <c r="F53" s="120" t="inlineStr">
        <is>
          <t>Code</t>
        </is>
      </c>
      <c r="G53" s="80" t="inlineStr">
        <is>
          <t>Remove 'Sample screens' for real users</t>
        </is>
      </c>
      <c r="H53" s="107" t="inlineStr">
        <is>
          <t>Settings stops linking real athletes to Riley's sample screens.</t>
        </is>
      </c>
      <c r="I53" s="108" t="inlineStr">
        <is>
          <t>Ready</t>
        </is>
      </c>
      <c r="J53" s="108" t="n">
        <v>0.25</v>
      </c>
      <c r="K53" s="109" t="n"/>
      <c r="L53" s="109" t="n"/>
      <c r="M53" s="110" t="inlineStr">
        <is>
          <t>HeckerCreatives</t>
        </is>
      </c>
      <c r="N53" s="81" t="n">
        <v>0</v>
      </c>
      <c r="O53" s="80" t="n"/>
      <c r="P53" s="80" t="inlineStr">
        <is>
          <t>Real users see no sample link</t>
        </is>
      </c>
      <c r="Q53" s="82" t="inlineStr">
        <is>
          <t>polish.md #33</t>
        </is>
      </c>
      <c r="R53" s="111" t="inlineStr">
        <is>
          <t>Raised 2026-10-28 from the UX review.</t>
        </is>
      </c>
    </row>
    <row r="54" s="75">
      <c r="A54" s="104" t="n">
        <v>50</v>
      </c>
      <c r="B54" s="105" t="inlineStr">
        <is>
          <t>POL-FE-34</t>
        </is>
      </c>
      <c r="C54" s="81" t="n">
        <v>4</v>
      </c>
      <c r="D54" s="82" t="inlineStr">
        <is>
          <t>D · Polish</t>
        </is>
      </c>
      <c r="E54" s="138" t="inlineStr">
        <is>
          <t>FE</t>
        </is>
      </c>
      <c r="F54" s="120" t="inlineStr">
        <is>
          <t>Code</t>
        </is>
      </c>
      <c r="G54" s="80" t="inlineStr">
        <is>
          <t>Sign in button on 'You're approved'</t>
        </is>
      </c>
      <c r="H54" s="107" t="inlineStr">
        <is>
          <t>Add a Sign in button to the approved /join status.</t>
        </is>
      </c>
      <c r="I54" s="108" t="inlineStr">
        <is>
          <t>Ready</t>
        </is>
      </c>
      <c r="J54" s="108" t="n">
        <v>0.25</v>
      </c>
      <c r="K54" s="109" t="n"/>
      <c r="L54" s="109" t="n"/>
      <c r="M54" s="110" t="inlineStr">
        <is>
          <t>HeckerCreatives</t>
        </is>
      </c>
      <c r="N54" s="81" t="n">
        <v>0</v>
      </c>
      <c r="O54" s="80" t="n"/>
      <c r="P54" s="80" t="inlineStr">
        <is>
          <t>Approved person can sign in from the page</t>
        </is>
      </c>
      <c r="Q54" s="82" t="inlineStr">
        <is>
          <t>polish.md #34</t>
        </is>
      </c>
      <c r="R54" s="111" t="inlineStr">
        <is>
          <t>Raised 2026-10-28 from the UX review.</t>
        </is>
      </c>
    </row>
    <row r="55" s="75">
      <c r="A55" s="104" t="n">
        <v>51</v>
      </c>
      <c r="B55" s="105" t="inlineStr">
        <is>
          <t>POL-FE-35</t>
        </is>
      </c>
      <c r="C55" s="81" t="n">
        <v>4</v>
      </c>
      <c r="D55" s="82" t="inlineStr">
        <is>
          <t>D · Polish</t>
        </is>
      </c>
      <c r="E55" s="138" t="inlineStr">
        <is>
          <t>FE</t>
        </is>
      </c>
      <c r="F55" s="120" t="inlineStr">
        <is>
          <t>Code</t>
        </is>
      </c>
      <c r="G55" s="80" t="inlineStr">
        <is>
          <t>'Contact BTG' links to support</t>
        </is>
      </c>
      <c r="H55" s="107" t="inlineStr">
        <is>
          <t>Team Documents and Roster pages link 'Contact BTG' to the support address.</t>
        </is>
      </c>
      <c r="I55" s="108" t="inlineStr">
        <is>
          <t>Ready</t>
        </is>
      </c>
      <c r="J55" s="108" t="n">
        <v>0.25</v>
      </c>
      <c r="K55" s="109" t="n"/>
      <c r="L55" s="109" t="n"/>
      <c r="M55" s="110" t="inlineStr">
        <is>
          <t>HeckerCreatives</t>
        </is>
      </c>
      <c r="N55" s="81" t="n">
        <v>0</v>
      </c>
      <c r="O55" s="80" t="n"/>
      <c r="P55" s="80" t="inlineStr">
        <is>
          <t>Contact BTG opens the support address</t>
        </is>
      </c>
      <c r="Q55" s="82" t="inlineStr">
        <is>
          <t>polish.md #35</t>
        </is>
      </c>
      <c r="R55" s="111" t="inlineStr">
        <is>
          <t>Raised 2026-10-28 from the UX review.</t>
        </is>
      </c>
    </row>
    <row r="56">
      <c r="A56" s="104" t="n">
        <v>52</v>
      </c>
      <c r="B56" s="105" t="inlineStr">
        <is>
          <t>POL-BE-36</t>
        </is>
      </c>
      <c r="C56" s="81" t="n">
        <v>5</v>
      </c>
      <c r="D56" s="82" t="inlineStr">
        <is>
          <t>E · Payments switch</t>
        </is>
      </c>
      <c r="E56" s="138" t="inlineStr">
        <is>
          <t>BE</t>
        </is>
      </c>
      <c r="F56" s="120" t="inlineStr">
        <is>
          <t>Code</t>
        </is>
      </c>
      <c r="G56" s="80" t="inlineStr">
        <is>
          <t>Payments on/off switch, held in the database</t>
        </is>
      </c>
      <c r="H56" s="107" t="inlineStr">
        <is>
          <t>A platform-wide Payments switch BTG Admin and Finance can flip at once without a deploy, with a reason, audited (who, when). Can only turn on when production has a live key and webhook secrets; PAYMENT_PROVIDER stays the master off. Off = no checkout, no transfer, no non-payment cancellation (with POL-BE-04).</t>
        </is>
      </c>
      <c r="I56" s="108" t="inlineStr">
        <is>
          <t>Ready</t>
        </is>
      </c>
      <c r="J56" s="108" t="n">
        <v>1.5</v>
      </c>
      <c r="K56" s="109" t="n"/>
      <c r="L56" s="109" t="n"/>
      <c r="M56" s="110" t="inlineStr">
        <is>
          <t>rcfworks</t>
        </is>
      </c>
      <c r="N56" s="81" t="n">
        <v>1</v>
      </c>
      <c r="O56" s="80" t="n"/>
      <c r="P56" s="80" t="inlineStr">
        <is>
          <t>BTG Admin and Finance can switch payments on and off; each change audited with a reason; other roles refused; off blocks checkout, transfers and non-payment cancellation; can't turn on without keys; tests</t>
        </is>
      </c>
      <c r="Q56" s="82" t="inlineStr">
        <is>
          <t>polish.md #36</t>
        </is>
      </c>
      <c r="R56" s="111" t="inlineStr">
        <is>
          <t>Raised 2026-10-28 by the user: live key ready today, payments stay off until polish is done.</t>
        </is>
      </c>
    </row>
    <row r="57">
      <c r="A57" s="104" t="n">
        <v>53</v>
      </c>
      <c r="B57" s="105" t="inlineStr">
        <is>
          <t>POL-FE-36</t>
        </is>
      </c>
      <c r="C57" s="81" t="n">
        <v>5</v>
      </c>
      <c r="D57" s="82" t="inlineStr">
        <is>
          <t>E · Payments switch</t>
        </is>
      </c>
      <c r="E57" s="138" t="inlineStr">
        <is>
          <t>FE</t>
        </is>
      </c>
      <c r="F57" s="120" t="inlineStr">
        <is>
          <t>Code</t>
        </is>
      </c>
      <c r="G57" s="80" t="inlineStr">
        <is>
          <t>Payments switch on BTG's admin screen</t>
        </is>
      </c>
      <c r="H57" s="107" t="inlineStr">
        <is>
          <t>A Payments on/off control on BTG's admin screen with a reason box and confirmation, showing who changed it and when; pay and payout buttons say payments open soon while it is off.</t>
        </is>
      </c>
      <c r="I57" s="108" t="inlineStr">
        <is>
          <t>Ready</t>
        </is>
      </c>
      <c r="J57" s="108" t="n">
        <v>0.5</v>
      </c>
      <c r="K57" s="109" t="n"/>
      <c r="L57" s="109" t="n"/>
      <c r="M57" s="110" t="inlineStr">
        <is>
          <t>HeckerCreatives</t>
        </is>
      </c>
      <c r="N57" s="81" t="n">
        <v>0</v>
      </c>
      <c r="O57" s="80" t="inlineStr">
        <is>
          <t>POL-BE-36</t>
        </is>
      </c>
      <c r="P57" s="80" t="inlineStr">
        <is>
          <t>BTG Admin and Finance see and use the switch with a reason; others don't see it; screens say payments open soon while off</t>
        </is>
      </c>
      <c r="Q57" s="82" t="inlineStr">
        <is>
          <t>polish.md #36</t>
        </is>
      </c>
      <c r="R57" s="111" t="inlineStr">
        <is>
          <t>Raised 2026-10-28 by the user.</t>
        </is>
      </c>
    </row>
  </sheetData>
  <autoFilter ref="A4:R57"/>
  <mergeCells count="2">
    <mergeCell ref="A2:R2"/>
    <mergeCell ref="A1:R1"/>
  </mergeCells>
  <conditionalFormatting sqref="I5:I5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7">
    <cfRule type="expression" rank="0" priority="7" equalAverage="0" aboveAverage="0" dxfId="32" text="" percent="0" bottom="0">
      <formula>$I5="Done"</formula>
    </cfRule>
  </conditionalFormatting>
  <conditionalFormatting sqref="N5:N57">
    <cfRule type="cellIs" rank="0" priority="8" equalAverage="0" operator="greaterThanOrEqual" aboveAverage="0" dxfId="33" text="" percent="0" bottom="0">
      <formula>50</formula>
    </cfRule>
  </conditionalFormatting>
  <dataValidations count="1">
    <dataValidation sqref="I5:I57"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33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s="75">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row r="323" s="75">
      <c r="A323" s="104" t="n">
        <v>157.99</v>
      </c>
      <c r="B323" s="105" t="inlineStr">
        <is>
          <t>P8-BE-08</t>
        </is>
      </c>
      <c r="C323" s="81" t="n">
        <v>8</v>
      </c>
      <c r="D323" s="82" t="inlineStr">
        <is>
          <t>Integration, Hardening &amp; Launch</t>
        </is>
      </c>
      <c r="E323" s="139" t="inlineStr">
        <is>
          <t>BE</t>
        </is>
      </c>
      <c r="F323" s="120" t="inlineStr">
        <is>
          <t>Code</t>
        </is>
      </c>
      <c r="G323" s="80" t="inlineStr">
        <is>
          <t>Featured athletes list for the home page</t>
        </is>
      </c>
      <c r="H323" s="107" t="inlineStr">
        <is>
          <t>Public list of up to 4 athletes by the approved criteria (photo and every public field required); BTG pin, remove and approve.</t>
        </is>
      </c>
      <c r="I323" s="108" t="inlineStr">
        <is>
          <t>Done</t>
        </is>
      </c>
      <c r="J323" s="108" t="n">
        <v>3</v>
      </c>
      <c r="K323" s="163" t="n">
        <v>46322</v>
      </c>
      <c r="L323" s="163" t="n">
        <v>46322</v>
      </c>
      <c r="M323" s="110" t="inlineStr">
        <is>
          <t>rcfworks</t>
        </is>
      </c>
      <c r="N323" s="81" t="n">
        <v>1</v>
      </c>
      <c r="O323" s="80" t="n"/>
      <c r="P323" s="80" t="inlineStr">
        <is>
          <t>Only qualifying athletes, pinned first, at most 4; minors need approval; removed stay off; nothing private; tenant and role tests</t>
        </is>
      </c>
      <c r="Q323" s="82" t="inlineStr">
        <is>
          <t>§9, §11, §26</t>
        </is>
      </c>
      <c r="R323" s="111" t="inlineStr">
        <is>
          <t>2026-10-27 DONE (rcfworks): criteria approved by the user. Photo upload added (athletes had none). 3,540 backend tests pass.</t>
        </is>
      </c>
    </row>
    <row r="324" s="75">
      <c r="A324" s="104" t="n">
        <v>157.995</v>
      </c>
      <c r="B324" s="105" t="inlineStr">
        <is>
          <t>P8-FE-10</t>
        </is>
      </c>
      <c r="C324" s="81" t="n">
        <v>8</v>
      </c>
      <c r="D324" s="82" t="inlineStr">
        <is>
          <t>Integration, Hardening &amp; Launch</t>
        </is>
      </c>
      <c r="E324" s="139" t="inlineStr">
        <is>
          <t>FE</t>
        </is>
      </c>
      <c r="F324" s="120" t="inlineStr">
        <is>
          <t>Code</t>
        </is>
      </c>
      <c r="G324" s="80" t="inlineStr">
        <is>
          <t>Home page Featured athletes from the API</t>
        </is>
      </c>
      <c r="H324" s="107" t="inlineStr">
        <is>
          <t>Panel reads the API instead of samples; athlete photo upload; BTG pin, remove and approve controls.</t>
        </is>
      </c>
      <c r="I324" s="108" t="inlineStr">
        <is>
          <t>Done</t>
        </is>
      </c>
      <c r="J324" s="108" t="n">
        <v>3</v>
      </c>
      <c r="K324" s="163" t="n">
        <v>46322</v>
      </c>
      <c r="L324" s="163" t="n">
        <v>46322</v>
      </c>
      <c r="M324" s="110" t="inlineStr">
        <is>
          <t>HeckerCreatives</t>
        </is>
      </c>
      <c r="N324" s="81" t="n">
        <v>0</v>
      </c>
      <c r="O324" s="80" t="inlineStr">
        <is>
          <t>P8-BE-08</t>
        </is>
      </c>
      <c r="P324" s="80" t="inlineStr">
        <is>
          <t>Panel shows the API list and hides when empty; photo upload works; controls for BTG admin and Network Manager only</t>
        </is>
      </c>
      <c r="Q324" s="82" t="inlineStr">
        <is>
          <t>§9, §10</t>
        </is>
      </c>
      <c r="R324" s="111" t="inlineStr">
        <is>
          <t>2026-10-27 DONE (HeckerCreatives): five QA passes green; merged to main_development and promoted to main. | 2026-10-27 QA5 (HeckerCreatives): no bugs. Storage-level upload security 12/12 (presigned PUT pinned to type/size/key; SVG, .., other-tenant keys refused); BE/FE contract alignment 7/7; team e2e (public, landing-city, loop-p3-application, public@mobile) 11 passed; latest commit under next start 7/7 incl. the drawer's server action; API 33/33; BE suite 3,526 + 4 Windows-only. | 2026-10-27 QA4 (HeckerCreatives): full regression green (API 33, browser 101, drawer 8, roles 8, robustness 5, extras 17); applications desk unaffected (tabs, Escape/focus, decision bar, axe on drawer); NM uploads from the drawer; missing photo object, reduced motion, no-JS HTML ok. Fixed: 2,147,483,647 followers printed '2147M' - now '2.1B'. | 2026-10-27 QA3 (HeckerCreatives): found the Network Manager couldn't reach the controls (/admin/new-signups is BTG-admin only) - fixed: the Home page section now also opens in the approved athlete's drawer on /admin/applications. Prod server (next start) ok; NM, super, guardian, other-tenant roles ok; stale tab, double-click, focus, hostile name ok. Notes: CSP is report-only - enforcing it needs R2_PUBLIC_BASE_URL on the web service; guardians have no photo screen (pre-existing demo editor). | 2026-10-27 QA (HeckerCreatives): 33 live API probes + 94 browser checks on 11 devices (WebKit incl.) on a staged scenario (restored byte-for-byte); axe clean x3; API-down home still loads without the panel; minor approve/withdraw live. Fixed: /athletes/me reached the public bucket from the route (payments-pii would fail on CI) - now athletePhotoUrl() in the domain; 'Under 18' shown for no-age athletes - now 'Under 18 or no age on file'. npm run build green (worktree); BE suite 3,525 pass + known Windows-only files. | 2026-10-27 (HeckerCreatives): on feature/P8-FE-10-featured-athletes. Home panel reads GET /public/featured-athletes (server/featured-athletes.ts, 1-min keep, edge forward); rows show photo, name, sport/position, city/state, followers tagged Verified/Self-reported; job tag + sample figures dropped; no read or empty list hides it. Athlete photo editor (upload/change/remove, browser type/size check, direct PUT to the public bucket) on the athlete's edit page and BTG's athlete page. BTG 'Home page' section on /admin/new-signups/athletes/{id}: on-panel state, every reason off (missing fields named, minor awaiting approval), pin/unpin, remove/restore, approve/withdraw; drawn only when GET /athletes/{id}/home-page answers (BTG admin, Network Manager). Backend: GET /athletes/me returns photoUrl. FE vitest 1,729; BE DB tests 42/42 on sponsorx_test; walked live on MinIO (QA athlete restored after). | Raised 2026-10-27. API details in the Phase 1 doc.</t>
        </is>
      </c>
    </row>
    <row r="325" s="75">
      <c r="A325" s="104" t="n">
        <v>157.996</v>
      </c>
      <c r="B325" s="105" t="inlineStr">
        <is>
          <t>P8-BE-09</t>
        </is>
      </c>
      <c r="C325" s="81" t="n">
        <v>8</v>
      </c>
      <c r="D325" s="82" t="inlineStr">
        <is>
          <t>Integration, Hardening &amp; Launch</t>
        </is>
      </c>
      <c r="E325" s="139" t="inlineStr">
        <is>
          <t>BE</t>
        </is>
      </c>
      <c r="F325" s="120" t="inlineStr">
        <is>
          <t>Code</t>
        </is>
      </c>
      <c r="G325" s="80" t="inlineStr">
        <is>
          <t>Every document upload checked for a usable file</t>
        </is>
      </c>
      <c r="H325" s="107" t="inlineStr">
        <is>
          <t>Found 2026-10-28: an ID arrived as a near-black blurred photo and nothing stopped it. At the confirm step of all ten document uploads, open the file: real type (first bytes), opens, photo/scanned page not too small, dark, washed out, blank or blurred; PDF not password-locked, has pages. Refused files are deleted and audited, with the reason in plain words.</t>
        </is>
      </c>
      <c r="I325" s="108" t="inlineStr">
        <is>
          <t>Done</t>
        </is>
      </c>
      <c r="J325" s="108" t="n">
        <v>2</v>
      </c>
      <c r="K325" s="163" t="n">
        <v>46323</v>
      </c>
      <c r="L325" s="163" t="n">
        <v>46323</v>
      </c>
      <c r="M325" s="110" t="inlineStr">
        <is>
          <t>rcfworks</t>
        </is>
      </c>
      <c r="N325" s="81" t="n">
        <v>2</v>
      </c>
      <c r="O325" s="80" t="n"/>
      <c r="P325" s="80" t="inlineStr">
        <is>
          <t>Each of the ten uploads refuses a dark, blurred, blank, too-small, renamed, damaged or locked file with its reason, deletes and audits it; good files pass; tests cover every rule and flow</t>
        </is>
      </c>
      <c r="Q325" s="82" t="inlineStr">
        <is>
          <t>§26; 2S8-SEC-03</t>
        </is>
      </c>
      <c r="R325" s="111" t="inlineStr">
        <is>
          <t>2026-10-28 DONE (rcfworks): every document confirm (10 uploads) opens the file: renamed, damaged, locked, too small, dark, washed out, blank or blurred refused in words, deleted, audited. Limits calibrated on the real near-black upload. 3,592 backend tests pass. | 2026-10-28 (rcfworks): raised and started. The user: "do 1 and 2", "do A and B", all documents.</t>
        </is>
      </c>
    </row>
    <row r="326" s="75">
      <c r="A326" s="104" t="n">
        <v>157.997</v>
      </c>
      <c r="B326" s="105" t="inlineStr">
        <is>
          <t>P8-BE-10</t>
        </is>
      </c>
      <c r="C326" s="81" t="n">
        <v>8</v>
      </c>
      <c r="D326" s="82" t="inlineStr">
        <is>
          <t>Integration, Hardening &amp; Launch</t>
        </is>
      </c>
      <c r="E326" s="139" t="inlineStr">
        <is>
          <t>BE</t>
        </is>
      </c>
      <c r="F326" s="120" t="inlineStr">
        <is>
          <t>Code</t>
        </is>
      </c>
      <c r="G326" s="80" t="inlineStr">
        <is>
          <t>BTG sends a document back</t>
        </is>
      </c>
      <c r="H326" s="107" t="inlineStr">
        <is>
          <t>BTG sends any document it reviews back with a reason (sign-up IDs and guardian papers, coming-of-age ID, new legal name ID, handoff papers, organisation papers, sponsor proof of business): it stops counting, the file is deleted, the person is emailed the reason and their upload link, and the checks re-run on the new one.</t>
        </is>
      </c>
      <c r="I326" s="108" t="inlineStr">
        <is>
          <t>Done</t>
        </is>
      </c>
      <c r="J326" s="108" t="n">
        <v>2</v>
      </c>
      <c r="K326" s="163" t="n">
        <v>46323</v>
      </c>
      <c r="L326" s="163" t="n">
        <v>46323</v>
      </c>
      <c r="M326" s="110" t="inlineStr">
        <is>
          <t>rcfworks</t>
        </is>
      </c>
      <c r="N326" s="81" t="n">
        <v>1</v>
      </c>
      <c r="O326" s="80" t="inlineStr">
        <is>
          <t>P8-BE-09</t>
        </is>
      </c>
      <c r="P326" s="80" t="inlineStr">
        <is>
          <t>BTG can send back each kind with a reason; it stops counting and the file is gone; the person is emailed; a new upload re-runs the checks; other roles and tenants refused; tests per flow</t>
        </is>
      </c>
      <c r="Q326" s="82" t="inlineStr">
        <is>
          <t>§10, §26</t>
        </is>
      </c>
      <c r="R326" s="111" t="inlineStr">
        <is>
          <t>2026-10-28 DONE (rcfworks): BTG send-back with a reason on sign-ups (athlete and guardian), organisations, sponsor requests, handoffs and legal-name IDs: stops counting, file deleted, person emailed the reason and their upload link, flow back to waiting, audited. | 2026-10-28 (rcfworks): raised and started (the user: "do 1 and 2").</t>
        </is>
      </c>
    </row>
    <row r="327" s="75">
      <c r="A327" s="104" t="n">
        <v>157.998</v>
      </c>
      <c r="B327" s="105" t="inlineStr">
        <is>
          <t>P8-BE-11</t>
        </is>
      </c>
      <c r="C327" s="81" t="n">
        <v>8</v>
      </c>
      <c r="D327" s="82" t="inlineStr">
        <is>
          <t>Integration, Hardening &amp; Launch</t>
        </is>
      </c>
      <c r="E327" s="139" t="inlineStr">
        <is>
          <t>BE</t>
        </is>
      </c>
      <c r="F327" s="120" t="inlineStr">
        <is>
          <t>Code</t>
        </is>
      </c>
      <c r="G327" s="80" t="inlineStr">
        <is>
          <t>Documents read and compared</t>
        </is>
      </c>
      <c r="H327" s="107" t="inlineStr">
        <is>
          <t>After P8-BE-09 the server reads the document (PDF text, or OCR on our own server; nothing sent out, no text kept) and compares: the right name, the right kind, not expired, the athlete's date of birth. Result clear / flagged (findings in words) / unread. Flagged or unread holds the automatic approval (sign-up, organisation, sponsor request, guardian handoff, legal name) for BTG with the findings as reasons. BTG reads results via GET /document-checks.</t>
        </is>
      </c>
      <c r="I327" s="108" t="inlineStr">
        <is>
          <t>Done</t>
        </is>
      </c>
      <c r="J327" s="108" t="n">
        <v>3</v>
      </c>
      <c r="K327" s="163" t="n">
        <v>46323</v>
      </c>
      <c r="L327" s="163" t="n">
        <v>46323</v>
      </c>
      <c r="M327" s="110" t="inlineStr">
        <is>
          <t>rcfworks</t>
        </is>
      </c>
      <c r="N327" s="81" t="n">
        <v>1</v>
      </c>
      <c r="O327" s="80" t="inlineStr">
        <is>
          <t>P8-BE-09</t>
        </is>
      </c>
      <c r="P327" s="80" t="inlineStr">
        <is>
          <t>Every listed document gets a result; wrong name, kind, expired date or date of birth flagged in words; no text stored; each automatic approval held when flagged and unchanged when clear; BTG reads results; held legal name can be applied or rejected; tests for rules, flows, roles, tenants</t>
        </is>
      </c>
      <c r="Q327" s="82" t="inlineStr">
        <is>
          <t>§10, §26; Phase 2 automation rule</t>
        </is>
      </c>
      <c r="R327" s="111" t="inlineStr">
        <is>
          <t>2026-10-28 DONE (rcfworks): documents read on our own server (PDF text or tesseract OCR; no text stored); name, kind, expiry, birth date compared; flagged/unread holds sign-up, organisation, sponsor request, handoff and legal name for BTG with reasons; BTG apply/decline for a held legal name. | 2026-10-28 (rcfworks): raised and started (the user: "do A and B").</t>
        </is>
      </c>
    </row>
    <row r="328" s="75">
      <c r="A328" s="104" t="n">
        <v>157.999</v>
      </c>
      <c r="B328" s="105" t="inlineStr">
        <is>
          <t>P8-FE-11</t>
        </is>
      </c>
      <c r="C328" s="81" t="n">
        <v>8</v>
      </c>
      <c r="D328" s="82" t="inlineStr">
        <is>
          <t>Integration, Hardening &amp; Launch</t>
        </is>
      </c>
      <c r="E328" s="139" t="inlineStr">
        <is>
          <t>FE</t>
        </is>
      </c>
      <c r="F328" s="120" t="inlineStr">
        <is>
          <t>Code</t>
        </is>
      </c>
      <c r="G328" s="80" t="inlineStr">
        <is>
          <t>Document checks on screen</t>
        </is>
      </c>
      <c r="H328" s="107" t="inlineStr">
        <is>
          <t>Upload screens show the refusal reason and "Checking your document…" while confirming; BTG review screens show each document's check (Clear / Flagged with findings / Couldn't read) and a Send back button with a reason; a held legal name can be applied or rejected.</t>
        </is>
      </c>
      <c r="I328" s="108" t="inlineStr">
        <is>
          <t>Ready</t>
        </is>
      </c>
      <c r="J328" s="108" t="n">
        <v>2</v>
      </c>
      <c r="K328" s="163" t="n"/>
      <c r="L328" s="163" t="n"/>
      <c r="M328" s="110" t="inlineStr">
        <is>
          <t>HeckerCreatives</t>
        </is>
      </c>
      <c r="N328" s="81" t="n">
        <v>0</v>
      </c>
      <c r="O328" s="80" t="inlineStr">
        <is>
          <t>P8-BE-09, P8-BE-10, P8-BE-11</t>
        </is>
      </c>
      <c r="P328" s="80" t="inlineStr">
        <is>
          <t>People see why a file was refused; BTG sees each result and can send a document back; a held legal name can be applied or rejected</t>
        </is>
      </c>
      <c r="Q328" s="82" t="inlineStr">
        <is>
          <t>§10</t>
        </is>
      </c>
      <c r="R328" s="111" t="inlineStr">
        <is>
          <t>2026-10-28 (rcfworks): unblocked — P8-BE-09/10/11 done; every route and field is in the Phase 1 doc. | 2026-10-28 (rcfworks): raised with P8-BE-09/10/11 — frontend, for HeckerCreatives. API details in the Phase 1 doc.</t>
        </is>
      </c>
    </row>
    <row r="329" s="75">
      <c r="A329" s="104" t="n">
        <v>157.9991</v>
      </c>
      <c r="B329" s="105" t="inlineStr">
        <is>
          <t>P8-BE-12</t>
        </is>
      </c>
      <c r="C329" s="81" t="n">
        <v>8</v>
      </c>
      <c r="D329" s="82" t="inlineStr">
        <is>
          <t>Integration, Hardening &amp; Launch</t>
        </is>
      </c>
      <c r="E329" s="139" t="inlineStr">
        <is>
          <t>BE</t>
        </is>
      </c>
      <c r="F329" s="120" t="inlineStr">
        <is>
          <t>Code</t>
        </is>
      </c>
      <c r="G329" s="80" t="inlineStr">
        <is>
          <t>Cancel and change a campaign, automatically</t>
        </is>
      </c>
      <c r="H329" s="107" t="inlineStr">
        <is>
          <t>Rodney's questions (2026-10-28). Impact read before acting (cancel-impact, change-impact: every affected product grouped with its outcome, and the money). Cancel settles everything under the campaign: unaccepted offers/invites withdrawn, accepted orders not started cancelled (athletes emailed), delivered work still paid, rewards paused, placements released, NEXT ads released or refunded, Zoho Closed Lost. Change: name, dates, budget (not below committed). Applied at once when nothing is in progress; otherwise held for BTG with reasons and BTG admins emailed; BTG approves or declines. Sponsor admin (own) and BTG.</t>
        </is>
      </c>
      <c r="I329" s="108" t="inlineStr">
        <is>
          <t>Ready</t>
        </is>
      </c>
      <c r="J329" s="108" t="n">
        <v>3</v>
      </c>
      <c r="K329" s="163" t="n"/>
      <c r="L329" s="163" t="n"/>
      <c r="M329" s="110" t="inlineStr">
        <is>
          <t>rcfworks</t>
        </is>
      </c>
      <c r="N329" s="81" t="n">
        <v>1</v>
      </c>
      <c r="O329" s="80" t="n"/>
      <c r="P329" s="80" t="inlineStr">
        <is>
          <t>Impact lists every affected product, outcome and money; safe cancel/change applies at once and settles everything under the campaign; unsafe ones held with reasons and BTG emailed; BTG approves or declines; sponsor reaches only own campaigns; tests for outcomes, roles, tenants</t>
        </is>
      </c>
      <c r="Q329" s="82" t="inlineStr">
        <is>
          <t>§7, §21; Phase 2 automation rule</t>
        </is>
      </c>
      <c r="R329" s="111" t="inlineStr">
        <is>
          <t>2026-10-28 (rcfworks): raised from Rodney's questions; the user: automate, email BTG when it won't go through, show what's affected first. API contract in the Phase 1 doc.</t>
        </is>
      </c>
    </row>
    <row r="330" s="75">
      <c r="A330" s="104" t="n">
        <v>157.9992</v>
      </c>
      <c r="B330" s="105" t="inlineStr">
        <is>
          <t>P8-FE-12</t>
        </is>
      </c>
      <c r="C330" s="81" t="n">
        <v>8</v>
      </c>
      <c r="D330" s="82" t="inlineStr">
        <is>
          <t>Integration, Hardening &amp; Launch</t>
        </is>
      </c>
      <c r="E330" s="139" t="inlineStr">
        <is>
          <t>FE</t>
        </is>
      </c>
      <c r="F330" s="120" t="inlineStr">
        <is>
          <t>Code</t>
        </is>
      </c>
      <c r="G330" s="80" t="inlineStr">
        <is>
          <t>Cancel and Change buttons, with what they affect</t>
        </is>
      </c>
      <c r="H330" s="107" t="inlineStr">
        <is>
          <t>Change campaign and Cancel campaign on the sponsor's and BTG's campaign page (Edit campaign, which saves nothing, becomes Change). Before confirming, a modal: 'This affects N products', each group with its count and outcome, the money, BTG-approval note and refusals; Cancel asks for a reason; then the outcome (cancelled / saved / sent to BTG). BTG's Campaign requests list with Approve and Decline.</t>
        </is>
      </c>
      <c r="I330" s="108" t="inlineStr">
        <is>
          <t>Ready</t>
        </is>
      </c>
      <c r="J330" s="108" t="n">
        <v>2</v>
      </c>
      <c r="K330" s="163" t="n"/>
      <c r="L330" s="163" t="n"/>
      <c r="M330" s="110" t="inlineStr">
        <is>
          <t>HeckerCreatives</t>
        </is>
      </c>
      <c r="N330" s="81" t="n">
        <v>0</v>
      </c>
      <c r="O330" s="80" t="inlineStr">
        <is>
          <t>P8-BE-12</t>
        </is>
      </c>
      <c r="P330" s="80" t="inlineStr">
        <is>
          <t>Sponsor admin and BTG can cancel and change from the campaign page; the modal shows affected products, outcomes and money before confirming; held requests say they went to BTG; BTG approves or declines; other roles see no buttons</t>
        </is>
      </c>
      <c r="Q330" s="82" t="inlineStr">
        <is>
          <t>§7, §10</t>
        </is>
      </c>
      <c r="R330" s="111" t="inlineStr">
        <is>
          <t>2026-10-28 (rcfworks): raised for HeckerCreatives (the user). Build against the P8-BE-12 contract in the Phase 1 doc; wire when it lands.</t>
        </is>
      </c>
    </row>
  </sheetData>
  <autoFilter ref="A4:R330"/>
  <mergeCells count="2">
    <mergeCell ref="A2:R2"/>
    <mergeCell ref="A1:R1"/>
  </mergeCells>
  <conditionalFormatting sqref="I5:I33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30">
    <cfRule type="expression" rank="0" priority="7" equalAverage="0" aboveAverage="0" dxfId="32" text="" percent="0" bottom="0">
      <formula>$I5="Done"</formula>
    </cfRule>
  </conditionalFormatting>
  <conditionalFormatting sqref="N5:N330">
    <cfRule type="cellIs" rank="0" priority="8" equalAverage="0" operator="greaterThanOrEqual" aboveAverage="0" dxfId="33" text="" percent="0" bottom="0">
      <formula>50</formula>
    </cfRule>
  </conditionalFormatting>
  <dataValidations count="1">
    <dataValidation sqref="I5:I33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Ready</t>
        </is>
      </c>
      <c r="J5" s="108" t="n">
        <v>1</v>
      </c>
      <c r="K5" s="109" t="n"/>
      <c r="L5" s="109" t="n"/>
      <c r="M5" s="110" t="n"/>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2026-10-28T13:43:59Z</dcterms:modified>
  <cp:revision>0</cp:revision>
</cp:coreProperties>
</file>