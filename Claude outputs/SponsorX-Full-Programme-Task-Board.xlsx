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1'!$A$4:$R$205</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1'!$I$5:$I$205,"Ready")</f>
        <v/>
      </c>
      <c r="C5" s="81">
        <f>COUNTIF('Phase 1'!$I$5:$I$205,"In progress")</f>
        <v/>
      </c>
      <c r="D5" s="81">
        <f>COUNTIF('Phase 1'!$I$5:$I$205,"Code review")</f>
        <v/>
      </c>
      <c r="E5" s="81">
        <f>COUNTIF('Phase 1'!$I$5:$I$205,"Blocked")</f>
        <v/>
      </c>
      <c r="F5" s="81">
        <f>COUNTIF('Phase 1'!$I$5:$I$205,"Done")</f>
        <v/>
      </c>
      <c r="G5" s="81">
        <f>COUNTA('Phase 1'!$B$5:$B$205)</f>
        <v/>
      </c>
      <c r="H5" s="81">
        <f>SUMIF('Phase 1'!$I$5:$I$205,"&lt;&gt;Done",'Phase 1'!$J$5:$J$205)</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1'!$F$5:$F$205,"Document")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1'!$F$5:$F$205,"Zoho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1'!$F$5:$F$205,"Vendor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1'!$F$5:$F$205,"Code")</f>
        <v/>
      </c>
      <c r="C16" s="81">
        <f>COUNTIF('Phase 2'!$F$5:$F$68,"Code")</f>
        <v/>
      </c>
      <c r="D16" s="81">
        <f>COUNTIF('Phase 3'!$F$5:$F$48,"Code")</f>
        <v/>
      </c>
      <c r="E16" s="81">
        <f>COUNTIF('Phase 4'!$F$5:$F$55,"Code")</f>
        <v/>
      </c>
      <c r="F16" s="81">
        <f>SUM(B16:E16)</f>
        <v/>
      </c>
    </row>
    <row r="17" ht="15" customHeight="1" s="75">
      <c r="A17" s="99" t="inlineStr">
        <is>
          <t>Code + console</t>
        </is>
      </c>
      <c r="B17" s="81">
        <f>COUNTIF('Phase 1'!$F$5:$F$205,"Code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1'!$F$5:$F$205,"Design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1'!$F$5:$F$205,"Document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1'!$F$5:$F$205,"External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1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30" customHeight="1" s="75">
      <c r="A2" s="153" t="inlineStr">
        <is>
          <t>Live formulas over the Phase 1 sheet — the top block needs no maintenance and is always current. The snapshot below is appended by hand once a day; that is the only part that shows velocity, because a formula cannot remember yesterday.</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1'!$C$5:$C$205,$A5,'Phase 1'!$I$5:$I$205,"Done")</f>
        <v/>
      </c>
      <c r="D5" s="74">
        <f>COUNTIF('Phase 1'!$C$5:$C$205,$A5)</f>
        <v/>
      </c>
      <c r="E5" s="156">
        <f>IF($D5=0,0,$C5/$D5)</f>
        <v/>
      </c>
      <c r="F5" s="74">
        <f>SUMIFS('Phase 1'!$J$5:$J$205,'Phase 1'!$C$5:$C$205,$A5,'Phase 1'!$I$5:$I$205,"&lt;&gt;Done")</f>
        <v/>
      </c>
      <c r="G5" s="74">
        <f>COUNTIFS('Phase 1'!$C$5:$C$205,$A5,'Phase 1'!$I$5:$I$205,"In progress")+COUNTIFS('Phase 1'!$C$5:$C$205,$A5,'Phase 1'!$I$5:$I$205,"Code review")</f>
        <v/>
      </c>
      <c r="H5" s="74">
        <f>COUNTIFS('Phase 1'!$C$5:$C$205,$A5,'Phase 1'!$I$5:$I$205,"Blocked")</f>
        <v/>
      </c>
    </row>
    <row r="6">
      <c r="A6" s="155" t="n">
        <v>1</v>
      </c>
      <c r="B6" s="74" t="inlineStr">
        <is>
          <t>UI Scaffold on Fixtures</t>
        </is>
      </c>
      <c r="C6" s="74">
        <f>COUNTIFS('Phase 1'!$C$5:$C$205,$A6,'Phase 1'!$I$5:$I$205,"Done")</f>
        <v/>
      </c>
      <c r="D6" s="74">
        <f>COUNTIF('Phase 1'!$C$5:$C$205,$A6)</f>
        <v/>
      </c>
      <c r="E6" s="156">
        <f>IF($D6=0,0,$C6/$D6)</f>
        <v/>
      </c>
      <c r="F6" s="74">
        <f>SUMIFS('Phase 1'!$J$5:$J$205,'Phase 1'!$C$5:$C$205,$A6,'Phase 1'!$I$5:$I$205,"&lt;&gt;Done")</f>
        <v/>
      </c>
      <c r="G6" s="74">
        <f>COUNTIFS('Phase 1'!$C$5:$C$205,$A6,'Phase 1'!$I$5:$I$205,"In progress")+COUNTIFS('Phase 1'!$C$5:$C$205,$A6,'Phase 1'!$I$5:$I$205,"Code review")</f>
        <v/>
      </c>
      <c r="H6" s="74">
        <f>COUNTIFS('Phase 1'!$C$5:$C$205,$A6,'Phase 1'!$I$5:$I$205,"Blocked")</f>
        <v/>
      </c>
    </row>
    <row r="7">
      <c r="A7" s="155" t="n">
        <v>2</v>
      </c>
      <c r="B7" s="74" t="inlineStr">
        <is>
          <t>Platform Foundations</t>
        </is>
      </c>
      <c r="C7" s="74">
        <f>COUNTIFS('Phase 1'!$C$5:$C$205,$A7,'Phase 1'!$I$5:$I$205,"Done")</f>
        <v/>
      </c>
      <c r="D7" s="74">
        <f>COUNTIF('Phase 1'!$C$5:$C$205,$A7)</f>
        <v/>
      </c>
      <c r="E7" s="156">
        <f>IF($D7=0,0,$C7/$D7)</f>
        <v/>
      </c>
      <c r="F7" s="74">
        <f>SUMIFS('Phase 1'!$J$5:$J$205,'Phase 1'!$C$5:$C$205,$A7,'Phase 1'!$I$5:$I$205,"&lt;&gt;Done")</f>
        <v/>
      </c>
      <c r="G7" s="74">
        <f>COUNTIFS('Phase 1'!$C$5:$C$205,$A7,'Phase 1'!$I$5:$I$205,"In progress")+COUNTIFS('Phase 1'!$C$5:$C$205,$A7,'Phase 1'!$I$5:$I$205,"Code review")</f>
        <v/>
      </c>
      <c r="H7" s="74">
        <f>COUNTIFS('Phase 1'!$C$5:$C$205,$A7,'Phase 1'!$I$5:$I$205,"Blocked")</f>
        <v/>
      </c>
    </row>
    <row r="8">
      <c r="A8" s="155" t="n">
        <v>3</v>
      </c>
      <c r="B8" s="74" t="inlineStr">
        <is>
          <t>Athlete Network</t>
        </is>
      </c>
      <c r="C8" s="74">
        <f>COUNTIFS('Phase 1'!$C$5:$C$205,$A8,'Phase 1'!$I$5:$I$205,"Done")</f>
        <v/>
      </c>
      <c r="D8" s="74">
        <f>COUNTIF('Phase 1'!$C$5:$C$205,$A8)</f>
        <v/>
      </c>
      <c r="E8" s="156">
        <f>IF($D8=0,0,$C8/$D8)</f>
        <v/>
      </c>
      <c r="F8" s="74">
        <f>SUMIFS('Phase 1'!$J$5:$J$205,'Phase 1'!$C$5:$C$205,$A8,'Phase 1'!$I$5:$I$205,"&lt;&gt;Done")</f>
        <v/>
      </c>
      <c r="G8" s="74">
        <f>COUNTIFS('Phase 1'!$C$5:$C$205,$A8,'Phase 1'!$I$5:$I$205,"In progress")+COUNTIFS('Phase 1'!$C$5:$C$205,$A8,'Phase 1'!$I$5:$I$205,"Code review")</f>
        <v/>
      </c>
      <c r="H8" s="74">
        <f>COUNTIFS('Phase 1'!$C$5:$C$205,$A8,'Phase 1'!$I$5:$I$205,"Blocked")</f>
        <v/>
      </c>
    </row>
    <row r="9">
      <c r="A9" s="155" t="n">
        <v>4</v>
      </c>
      <c r="B9" s="74" t="inlineStr">
        <is>
          <t>Sponsor Demand &amp; Matching</t>
        </is>
      </c>
      <c r="C9" s="74">
        <f>COUNTIFS('Phase 1'!$C$5:$C$205,$A9,'Phase 1'!$I$5:$I$205,"Done")</f>
        <v/>
      </c>
      <c r="D9" s="74">
        <f>COUNTIF('Phase 1'!$C$5:$C$205,$A9)</f>
        <v/>
      </c>
      <c r="E9" s="156">
        <f>IF($D9=0,0,$C9/$D9)</f>
        <v/>
      </c>
      <c r="F9" s="74">
        <f>SUMIFS('Phase 1'!$J$5:$J$205,'Phase 1'!$C$5:$C$205,$A9,'Phase 1'!$I$5:$I$205,"&lt;&gt;Done")</f>
        <v/>
      </c>
      <c r="G9" s="74">
        <f>COUNTIFS('Phase 1'!$C$5:$C$205,$A9,'Phase 1'!$I$5:$I$205,"In progress")+COUNTIFS('Phase 1'!$C$5:$C$205,$A9,'Phase 1'!$I$5:$I$205,"Code review")</f>
        <v/>
      </c>
      <c r="H9" s="74">
        <f>COUNTIFS('Phase 1'!$C$5:$C$205,$A9,'Phase 1'!$I$5:$I$205,"Blocked")</f>
        <v/>
      </c>
    </row>
    <row r="10">
      <c r="A10" s="155" t="n">
        <v>5</v>
      </c>
      <c r="B10" s="74" t="inlineStr">
        <is>
          <t>Campaign Execution</t>
        </is>
      </c>
      <c r="C10" s="74">
        <f>COUNTIFS('Phase 1'!$C$5:$C$205,$A10,'Phase 1'!$I$5:$I$205,"Done")</f>
        <v/>
      </c>
      <c r="D10" s="74">
        <f>COUNTIF('Phase 1'!$C$5:$C$205,$A10)</f>
        <v/>
      </c>
      <c r="E10" s="156">
        <f>IF($D10=0,0,$C10/$D10)</f>
        <v/>
      </c>
      <c r="F10" s="74">
        <f>SUMIFS('Phase 1'!$J$5:$J$205,'Phase 1'!$C$5:$C$205,$A10,'Phase 1'!$I$5:$I$205,"&lt;&gt;Done")</f>
        <v/>
      </c>
      <c r="G10" s="74">
        <f>COUNTIFS('Phase 1'!$C$5:$C$205,$A10,'Phase 1'!$I$5:$I$205,"In progress")+COUNTIFS('Phase 1'!$C$5:$C$205,$A10,'Phase 1'!$I$5:$I$205,"Code review")</f>
        <v/>
      </c>
      <c r="H10" s="74">
        <f>COUNTIFS('Phase 1'!$C$5:$C$205,$A10,'Phase 1'!$I$5:$I$205,"Blocked")</f>
        <v/>
      </c>
    </row>
    <row r="11">
      <c r="A11" s="155" t="n">
        <v>6</v>
      </c>
      <c r="B11" s="74" t="inlineStr">
        <is>
          <t>Measurement &amp; Reward</t>
        </is>
      </c>
      <c r="C11" s="74">
        <f>COUNTIFS('Phase 1'!$C$5:$C$205,$A11,'Phase 1'!$I$5:$I$205,"Done")</f>
        <v/>
      </c>
      <c r="D11" s="74">
        <f>COUNTIF('Phase 1'!$C$5:$C$205,$A11)</f>
        <v/>
      </c>
      <c r="E11" s="156">
        <f>IF($D11=0,0,$C11/$D11)</f>
        <v/>
      </c>
      <c r="F11" s="74">
        <f>SUMIFS('Phase 1'!$J$5:$J$205,'Phase 1'!$C$5:$C$205,$A11,'Phase 1'!$I$5:$I$205,"&lt;&gt;Done")</f>
        <v/>
      </c>
      <c r="G11" s="74">
        <f>COUNTIFS('Phase 1'!$C$5:$C$205,$A11,'Phase 1'!$I$5:$I$205,"In progress")+COUNTIFS('Phase 1'!$C$5:$C$205,$A11,'Phase 1'!$I$5:$I$205,"Code review")</f>
        <v/>
      </c>
      <c r="H11" s="74">
        <f>COUNTIFS('Phase 1'!$C$5:$C$205,$A11,'Phase 1'!$I$5:$I$205,"Blocked")</f>
        <v/>
      </c>
    </row>
    <row r="12">
      <c r="A12" s="155" t="n">
        <v>7</v>
      </c>
      <c r="B12" s="74" t="inlineStr">
        <is>
          <t>Money &amp; Reporting</t>
        </is>
      </c>
      <c r="C12" s="74">
        <f>COUNTIFS('Phase 1'!$C$5:$C$205,$A12,'Phase 1'!$I$5:$I$205,"Done")</f>
        <v/>
      </c>
      <c r="D12" s="74">
        <f>COUNTIF('Phase 1'!$C$5:$C$205,$A12)</f>
        <v/>
      </c>
      <c r="E12" s="156">
        <f>IF($D12=0,0,$C12/$D12)</f>
        <v/>
      </c>
      <c r="F12" s="74">
        <f>SUMIFS('Phase 1'!$J$5:$J$205,'Phase 1'!$C$5:$C$205,$A12,'Phase 1'!$I$5:$I$205,"&lt;&gt;Done")</f>
        <v/>
      </c>
      <c r="G12" s="74">
        <f>COUNTIFS('Phase 1'!$C$5:$C$205,$A12,'Phase 1'!$I$5:$I$205,"In progress")+COUNTIFS('Phase 1'!$C$5:$C$205,$A12,'Phase 1'!$I$5:$I$205,"Code review")</f>
        <v/>
      </c>
      <c r="H12" s="74">
        <f>COUNTIFS('Phase 1'!$C$5:$C$205,$A12,'Phase 1'!$I$5:$I$205,"Blocked")</f>
        <v/>
      </c>
    </row>
    <row r="13">
      <c r="A13" s="155" t="n">
        <v>8</v>
      </c>
      <c r="B13" s="74" t="inlineStr">
        <is>
          <t>Integration, Hardening &amp; Launch</t>
        </is>
      </c>
      <c r="C13" s="74">
        <f>COUNTIFS('Phase 1'!$C$5:$C$205,$A13,'Phase 1'!$I$5:$I$205,"Done")</f>
        <v/>
      </c>
      <c r="D13" s="74">
        <f>COUNTIF('Phase 1'!$C$5:$C$205,$A13)</f>
        <v/>
      </c>
      <c r="E13" s="156">
        <f>IF($D13=0,0,$C13/$D13)</f>
        <v/>
      </c>
      <c r="F13" s="74">
        <f>SUMIFS('Phase 1'!$J$5:$J$205,'Phase 1'!$C$5:$C$205,$A13,'Phase 1'!$I$5:$I$205,"&lt;&gt;Done")</f>
        <v/>
      </c>
      <c r="G13" s="74">
        <f>COUNTIFS('Phase 1'!$C$5:$C$205,$A13,'Phase 1'!$I$5:$I$205,"In progress")+COUNTIFS('Phase 1'!$C$5:$C$205,$A13,'Phase 1'!$I$5:$I$205,"Code review")</f>
        <v/>
      </c>
      <c r="H13" s="74">
        <f>COUNTIFS('Phase 1'!$C$5:$C$205,$A13,'Phase 1'!$I$5:$I$205,"Blocked")</f>
        <v/>
      </c>
    </row>
    <row r="14">
      <c r="A14" s="157" t="n"/>
      <c r="B14" s="157" t="inlineStr">
        <is>
          <t>TOTAL</t>
        </is>
      </c>
      <c r="C14" s="157">
        <f>SUM(C5:C13)</f>
        <v/>
      </c>
      <c r="D14" s="157">
        <f>SUM(D5:D13)</f>
        <v/>
      </c>
      <c r="E14" s="158">
        <f>IF($D14=0,0,$C14/$D14)</f>
        <v/>
      </c>
      <c r="F14" s="157">
        <f>SUM(F5:F13)</f>
        <v/>
      </c>
      <c r="G14" s="157">
        <f>SUM(G5:G13)</f>
        <v/>
      </c>
      <c r="H14" s="157">
        <f>SUM(H5:H13)</f>
        <v/>
      </c>
    </row>
    <row r="16">
      <c r="A16" s="159" t="inlineStr">
        <is>
          <t>DAILY SNAPSHOT</t>
        </is>
      </c>
    </row>
    <row r="17">
      <c r="A17" s="160" t="inlineStr">
        <is>
          <t>One row per day, appended at end of day. Literal numbers, never formulas — a snapshot that recalculates is not a snapshot.</t>
        </is>
      </c>
    </row>
    <row r="18">
      <c r="A18" s="161" t="inlineStr">
        <is>
          <t>Date</t>
        </is>
      </c>
      <c r="B18" s="161" t="inlineStr">
        <is>
          <t>S0</t>
        </is>
      </c>
      <c r="C18" s="161" t="inlineStr">
        <is>
          <t>S1</t>
        </is>
      </c>
      <c r="D18" s="161" t="inlineStr">
        <is>
          <t>S2</t>
        </is>
      </c>
      <c r="E18" s="161" t="inlineStr">
        <is>
          <t>S3</t>
        </is>
      </c>
      <c r="F18" s="161" t="inlineStr">
        <is>
          <t>S4</t>
        </is>
      </c>
      <c r="G18" s="161" t="inlineStr">
        <is>
          <t>S5</t>
        </is>
      </c>
      <c r="H18" s="161" t="inlineStr">
        <is>
          <t>S6</t>
        </is>
      </c>
      <c r="I18" s="161" t="inlineStr">
        <is>
          <t>S7</t>
        </is>
      </c>
      <c r="J18" s="161" t="inlineStr">
        <is>
          <t>S8</t>
        </is>
      </c>
      <c r="K18" s="161" t="inlineStr">
        <is>
          <t>Done</t>
        </is>
      </c>
      <c r="L18" s="161" t="inlineStr">
        <is>
          <t>Days left</t>
        </is>
      </c>
    </row>
    <row r="19">
      <c r="A19" s="162" t="inlineStr">
        <is>
          <t>2026-09-22</t>
        </is>
      </c>
      <c r="B19" s="155" t="n">
        <v>20</v>
      </c>
      <c r="C19" s="155" t="n">
        <v>21</v>
      </c>
      <c r="D19" s="155" t="n">
        <v>10</v>
      </c>
      <c r="E19" s="155" t="n">
        <v>5</v>
      </c>
      <c r="F19" s="155" t="n">
        <v>1</v>
      </c>
      <c r="G19" s="155" t="n">
        <v>1</v>
      </c>
      <c r="H19" s="155" t="n">
        <v>0</v>
      </c>
      <c r="I19" s="155" t="n">
        <v>0</v>
      </c>
      <c r="J19" s="155" t="n">
        <v>0</v>
      </c>
      <c r="K19" s="155" t="n">
        <v>58</v>
      </c>
      <c r="L19" s="155" t="n">
        <v>358</v>
      </c>
    </row>
  </sheetData>
  <mergeCells count="2">
    <mergeCell ref="A2:H2"/>
    <mergeCell ref="A17:M17"/>
  </mergeCells>
  <conditionalFormatting sqref="E5:E13">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202 tasks · 464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8</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Ready</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3</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1</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Ready</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Ready</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Ready</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Ready</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v>2</v>
      </c>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quarterly magazine, with SponsorX supplying the platform, training, sales structure and sponsor relationships. The question this settles is whether it goes into the product or beside it. Answer: into it, as a module inside the BTG tenant — roughly 70% of it already exists in the Phase 1 models under different nouns (school = Property kind SCHOOL, local business = Sponsor, ad sale = Brief/Campaign/Order, article = Deliverable, editorial review = DeliverableState unchanged, athlete QR = Reward/RewardToken, minor consent = Guardian). A separate app or tenant breaks the one thing that makes NEXT valuable: the magazine QR is an acquisition funnel into SponsorX athlete profiles, and splitting it puts the QR and its destination on opposite sides of a trust boundary while duplicating every local business as two Sponsor rows and two Zoho Account sync paths.</t>
        </is>
      </c>
      <c r="I205" s="108" t="inlineStr">
        <is>
          <t>Code review</t>
        </is>
      </c>
      <c r="J205" s="108" t="n">
        <v>1</v>
      </c>
      <c r="K205" s="109" t="inlineStr">
        <is>
          <t>2026-09-22</t>
        </is>
      </c>
      <c r="L205" s="109" t="n"/>
      <c r="M205" s="110" t="n"/>
      <c r="N205" s="81" t="n"/>
      <c r="O205" s="80" t="inlineStr">
        <is>
          <t>P0-PMO-13, P2-BE-02</t>
        </is>
      </c>
      <c r="P205" s="80" t="inlineStr">
        <is>
          <t>The spec names what already exists, the four models that do not, the two roles, the routes and the front-end impact; the build is sequenced into a gated Block C rather than into Phase 1; every open question is listed rather than assumed</t>
        </is>
      </c>
      <c r="Q205" s="82" t="inlineStr">
        <is>
          <t>Blueprint §5 §7 §11 §16 §18 §21 §26 §37 §39; documentation/SponsorX-NEXT-Integration-Spec.md; Roadmap Block C</t>
        </is>
      </c>
      <c r="R205" s="111" t="inlineStr">
        <is>
          <t>RAISED 2026-09-22. Spec written, NOT YET REVIEWED by anyone — Code review, not Done. THE FINDING THAT DECIDES THE SHAPE: SponsorPackage needs NO schema change to sell a NEXT package. `includes` already means 'non-NIL inventory sold alongside the jobs' (P0-PMO-13 §5), which is exactly what a magazine page is — so the flagship $1,500 hybrid (full page + 4 social posts + athlete feature + QR + report) is an ordinary SponsorPackage flowing through the existing marketplace, campaign builder, Zoho Deal sync and ROI report. FOUR REAL GAPS, none of them urgent: Student (not an Athlete — an athlete correspondent is both, and student compensation is deliberately not cash); Publication/Edition/AdSlot (a back cover is quantity ONE on ONE edition before a close date — scarcity, position and a deadline are three columns NilJob does not have); RevenueSplit (35/25/25/15 four ways — kept OFF Earning, which stays one athlete one order with its taxYear rollup); StudentPoints (no EarningState, no cents column, no relation to Earning — points and cents in one table means finance reconciliation starts returning minors' scholarship balances). TWO THINGS THE PHASE 1 MODELS WERE NEVER POSED, both open: (1) a pure ad sale has NO CampaignOrder, because athleteId and jobId are both non-null — so either ad-only campaigns skip STAFFING or an ad sale attaches to the Edition instead of being a Campaign at all; (2) confirm P3-BE-12 checks the 1.4x floor line-by-line and not against a package total, or a hybrid package's ad revenue hides a losing NIL line behind a profitable page. ATTRIBUTION: a student sales code is a THIRD subject, at /s/[code] — never a fourth use of TrackingLink, whose deliverableId is @unique for a reason the schema comment still carries a scar about. SEQUENCING IS THE POINT OF THIS TASK: do not build it yet. The first edition runs on existing primitives with zero new models (Spec §10, Stage 0) and proves something entirely commercial — that a local business buys the hybrid package, that students can sell, that a school signs. All of that can fail, and finding out costs no schema. Block C is gated on B8 being done, an edition having actually sold, and legal clearing money to minors (the 25% student pool, the $1,000 scholarship prizes, and the Sales Challenge as a contest — P0-LEG-*, Blueprint §26 §37). ALSO UNRESOLVED: magazine copy sales at $10 x 500 is taking money from parents, which the Phase 1 payment policy forbids — either the school collects and we record units, or it waits for the Phase 2 payment adapter.</t>
        </is>
      </c>
    </row>
  </sheetData>
  <autoFilter ref="A4:R205"/>
  <mergeCells count="2">
    <mergeCell ref="A2:R2"/>
    <mergeCell ref="A1:R1"/>
  </mergeCells>
  <conditionalFormatting sqref="I5:I2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5">
    <cfRule type="expression" rank="0" priority="7" equalAverage="0" aboveAverage="0" dxfId="32" text="" percent="0" bottom="0">
      <formula>$I5="Done"</formula>
    </cfRule>
  </conditionalFormatting>
  <conditionalFormatting sqref="N5:N205">
    <cfRule type="cellIs" rank="0" priority="8" equalAverage="0" operator="greaterThanOrEqual" aboveAverage="0" dxfId="33" text="" percent="0" bottom="0">
      <formula>50</formula>
    </cfRule>
  </conditionalFormatting>
  <dataValidations count="1">
    <dataValidation sqref="I5:I2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2026-09-22T03:25:47Z</dcterms:modified>
  <cp:revision>0</cp:revision>
</cp:coreProperties>
</file>