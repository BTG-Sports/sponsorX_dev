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Phase 5" sheetId="8" state="visible" r:id="rId8"/>
    <sheet name="Legal" sheetId="9" state="visible" r:id="rId9"/>
    <sheet name="Legend" sheetId="10" state="visible" r:id="rId10"/>
  </sheets>
  <definedNames>
    <definedName name="_xlnm._FilterDatabase" localSheetId="3" hidden="1">'Phase 1'!$A$4:$R$307</definedName>
    <definedName name="_xlnm._FilterDatabase" localSheetId="4" hidden="1">'Phase 2'!$A$4:$R$144</definedName>
    <definedName name="_xlnm._FilterDatabase" localSheetId="5" hidden="1">'Phase 3'!$A$4:$R$66</definedName>
    <definedName name="_xlnm._FilterDatabase" localSheetId="6" hidden="1">'Phase 4'!$A$4:$R$23</definedName>
    <definedName name="_xlnm._FilterDatabase" localSheetId="7" hidden="1">'Phase 5'!$A$4:$R$54</definedName>
    <definedName name="_xlnm._FilterDatabase" localSheetId="8" hidden="1">'Legal'!$A$4:$S$13</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yyyy\-mm\-dd"/>
    <numFmt numFmtId="165" formatCode="yyyy-mm-dd"/>
    <numFmt numFmtId="166" formatCode="yyyy-mm-dd h:mm:ss"/>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Five phases (the blueprint's four, with the INFINEX game split out as Phase 5 on 2026-10-16),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to Phase 5 on 2026-10-20: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INFINEX game integration: the in-game connector, the staging world test, the pilot world, calibrated virtual pricing, and player accounts (email, Google, Apple, authenticator) with a live connection</t>
        </is>
      </c>
      <c r="C9" s="85" t="n">
        <v>50</v>
      </c>
      <c r="D9" s="85" t="n">
        <v>198</v>
      </c>
      <c r="E9" s="86" t="inlineStr">
        <is>
          <t>after the game's staging world exists</t>
        </is>
      </c>
      <c r="F9" s="86" t="inlineStr">
        <is>
          <t>—</t>
        </is>
      </c>
      <c r="G9" s="84" t="inlineStr">
        <is>
          <t>The INFINEX game (not started 2026-10-16), Phase 4's endpoints</t>
        </is>
      </c>
    </row>
    <row r="10">
      <c r="A10" s="89" t="inlineStr">
        <is>
          <t>TOTAL</t>
        </is>
      </c>
      <c r="B10" s="89" t="inlineStr">
        <is>
          <t>Full SponsorX platform</t>
        </is>
      </c>
      <c r="C10" s="89">
        <f>SUM(C5:C9)</f>
        <v/>
      </c>
      <c r="D10" s="89">
        <f>SUM(D5:D9)</f>
        <v/>
      </c>
      <c r="E10" s="89" t="inlineStr">
        <is>
          <t>66–82 weeks</t>
        </is>
      </c>
      <c r="F10" s="89" t="inlineStr">
        <is>
          <t>$350K–$535K</t>
        </is>
      </c>
      <c r="G10"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1–5, identical 18 columns, so they behave the same way.</t>
        </is>
      </c>
    </row>
    <row r="25" ht="27.75" customHeight="1" s="75">
      <c r="A25" s="91" t="inlineStr">
        <is>
          <t>Task IDs</t>
        </is>
      </c>
      <c r="B25" s="92" t="inlineStr">
        <is>
          <t>Phase 1: P{stage}-{CAT}-{nn}, e.g. P4-BE-03. Phases 2–5: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 Phase 5 waits for the INFINEX game.</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5, 5S2-QA-01).</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five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89" t="inlineStr">
        <is>
          <t>TOTAL</t>
        </is>
      </c>
      <c r="B10" s="89">
        <f>SUM(B5:B9)</f>
        <v/>
      </c>
      <c r="C10" s="89">
        <f>SUM(C5:C9)</f>
        <v/>
      </c>
      <c r="D10" s="89">
        <f>SUM(D5:D9)</f>
        <v/>
      </c>
      <c r="E10" s="89">
        <f>SUM(E5:E9)</f>
        <v/>
      </c>
      <c r="F10" s="89">
        <f>SUM(F5:F9)</f>
        <v/>
      </c>
      <c r="G10" s="89">
        <f>SUM(G5:G9)</f>
        <v/>
      </c>
      <c r="H10" s="89">
        <f>SUM(H5:H9)</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Phase 5</t>
        </is>
      </c>
      <c r="G12" s="78" t="inlineStr">
        <is>
          <t>Total</t>
        </is>
      </c>
    </row>
    <row r="13" ht="15" customHeight="1" s="75">
      <c r="A13" s="97" t="inlineStr">
        <is>
          <t>Document</t>
        </is>
      </c>
      <c r="B13" s="81">
        <f>COUNTIF('Phase 1'!$F$5:$F$400,"Document")</f>
        <v/>
      </c>
      <c r="C13" s="81">
        <f>COUNTIF('Phase 2'!$F$5:$F$144,"Document")</f>
        <v/>
      </c>
      <c r="D13" s="81">
        <f>COUNTIF('Phase 3'!$F$5:$F$66,"Document")</f>
        <v/>
      </c>
      <c r="E13" s="81">
        <f>COUNTIF('Phase 4'!$F$5:$F$51,"Document")</f>
        <v/>
      </c>
      <c r="F13" s="81">
        <f>COUNTIF('Phase 5'!$F$5:$F$100,"Document")</f>
        <v/>
      </c>
      <c r="G13" s="81">
        <f>SUM(B13:F13)</f>
        <v/>
      </c>
    </row>
    <row r="14" ht="15" customHeight="1" s="75">
      <c r="A14" s="98" t="inlineStr">
        <is>
          <t>Zoho dashboard</t>
        </is>
      </c>
      <c r="B14" s="81">
        <f>COUNTIF('Phase 1'!$F$5:$F$400,"Zoho dashboard")</f>
        <v/>
      </c>
      <c r="C14" s="81">
        <f>COUNTIF('Phase 2'!$F$5:$F$144,"Zoho dashboard")</f>
        <v/>
      </c>
      <c r="D14" s="81">
        <f>COUNTIF('Phase 3'!$F$5:$F$66,"Zoho dashboard")</f>
        <v/>
      </c>
      <c r="E14" s="81">
        <f>COUNTIF('Phase 4'!$F$5:$F$51,"Zoho dashboard")</f>
        <v/>
      </c>
      <c r="F14" s="81">
        <f>COUNTIF('Phase 5'!$F$5:$F$100,"Zoho dashboard")</f>
        <v/>
      </c>
      <c r="G14" s="81">
        <f>SUM(B14:F14)</f>
        <v/>
      </c>
    </row>
    <row r="15" ht="15" customHeight="1" s="75">
      <c r="A15" s="99" t="inlineStr">
        <is>
          <t>Vendor console</t>
        </is>
      </c>
      <c r="B15" s="81">
        <f>COUNTIF('Phase 1'!$F$5:$F$400,"Vendor console")</f>
        <v/>
      </c>
      <c r="C15" s="81">
        <f>COUNTIF('Phase 2'!$F$5:$F$144,"Vendor console")</f>
        <v/>
      </c>
      <c r="D15" s="81">
        <f>COUNTIF('Phase 3'!$F$5:$F$66,"Vendor console")</f>
        <v/>
      </c>
      <c r="E15" s="81">
        <f>COUNTIF('Phase 4'!$F$5:$F$51,"Vendor console")</f>
        <v/>
      </c>
      <c r="F15" s="81">
        <f>COUNTIF('Phase 5'!$F$5:$F$100,"Vendor console")</f>
        <v/>
      </c>
      <c r="G15" s="81">
        <f>SUM(B15:F15)</f>
        <v/>
      </c>
    </row>
    <row r="16" ht="15" customHeight="1" s="75">
      <c r="A16" s="100" t="inlineStr">
        <is>
          <t>Code</t>
        </is>
      </c>
      <c r="B16" s="81">
        <f>COUNTIF('Phase 1'!$F$5:$F$400,"Code")</f>
        <v/>
      </c>
      <c r="C16" s="81">
        <f>COUNTIF('Phase 2'!$F$5:$F$144,"Code")</f>
        <v/>
      </c>
      <c r="D16" s="81">
        <f>COUNTIF('Phase 3'!$F$5:$F$66,"Code")</f>
        <v/>
      </c>
      <c r="E16" s="81">
        <f>COUNTIF('Phase 4'!$F$5:$F$51,"Code")</f>
        <v/>
      </c>
      <c r="F16" s="81">
        <f>COUNTIF('Phase 5'!$F$5:$F$100,"Code")</f>
        <v/>
      </c>
      <c r="G16" s="81">
        <f>SUM(B16:F16)</f>
        <v/>
      </c>
    </row>
    <row r="17" ht="15" customHeight="1" s="75">
      <c r="A17" s="99" t="inlineStr">
        <is>
          <t>Code + console</t>
        </is>
      </c>
      <c r="B17" s="81">
        <f>COUNTIF('Phase 1'!$F$5:$F$400,"Code + console")</f>
        <v/>
      </c>
      <c r="C17" s="81">
        <f>COUNTIF('Phase 2'!$F$5:$F$144,"Code + console")</f>
        <v/>
      </c>
      <c r="D17" s="81">
        <f>COUNTIF('Phase 3'!$F$5:$F$66,"Code + console")</f>
        <v/>
      </c>
      <c r="E17" s="81">
        <f>COUNTIF('Phase 4'!$F$5:$F$51,"Code + console")</f>
        <v/>
      </c>
      <c r="F17" s="81">
        <f>COUNTIF('Phase 5'!$F$5:$F$100,"Code + console")</f>
        <v/>
      </c>
      <c r="G17" s="81">
        <f>SUM(B17:F17)</f>
        <v/>
      </c>
    </row>
    <row r="18" ht="15" customHeight="1" s="75">
      <c r="A18" s="101" t="inlineStr">
        <is>
          <t>Design tool</t>
        </is>
      </c>
      <c r="B18" s="81">
        <f>COUNTIF('Phase 1'!$F$5:$F$400,"Design tool")</f>
        <v/>
      </c>
      <c r="C18" s="81">
        <f>COUNTIF('Phase 2'!$F$5:$F$144,"Design tool")</f>
        <v/>
      </c>
      <c r="D18" s="81">
        <f>COUNTIF('Phase 3'!$F$5:$F$66,"Design tool")</f>
        <v/>
      </c>
      <c r="E18" s="81">
        <f>COUNTIF('Phase 4'!$F$5:$F$51,"Design tool")</f>
        <v/>
      </c>
      <c r="F18" s="81">
        <f>COUNTIF('Phase 5'!$F$5:$F$100,"Design tool")</f>
        <v/>
      </c>
      <c r="G18" s="81">
        <f>SUM(B18:F18)</f>
        <v/>
      </c>
    </row>
    <row r="19" ht="15" customHeight="1" s="75">
      <c r="A19" s="97" t="inlineStr">
        <is>
          <t>Document + code</t>
        </is>
      </c>
      <c r="B19" s="81">
        <f>COUNTIF('Phase 1'!$F$5:$F$400,"Document + code")</f>
        <v/>
      </c>
      <c r="C19" s="81">
        <f>COUNTIF('Phase 2'!$F$5:$F$144,"Document + code")</f>
        <v/>
      </c>
      <c r="D19" s="81">
        <f>COUNTIF('Phase 3'!$F$5:$F$66,"Document + code")</f>
        <v/>
      </c>
      <c r="E19" s="81">
        <f>COUNTIF('Phase 4'!$F$5:$F$51,"Document + code")</f>
        <v/>
      </c>
      <c r="F19" s="81">
        <f>COUNTIF('Phase 5'!$F$5:$F$100,"Document + code")</f>
        <v/>
      </c>
      <c r="G19" s="81">
        <f>SUM(B19:F19)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4'!$F$5:$F$51,"External · counsel")</f>
        <v/>
      </c>
      <c r="F20" s="81">
        <f>COUNTIF('Phase 5'!$F$5:$F$100,"External · counsel")</f>
        <v/>
      </c>
      <c r="G20" s="81">
        <f>SUM(B20:F20)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7"/>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258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Code review</t>
        </is>
      </c>
      <c r="J306" s="108" t="n">
        <v>1</v>
      </c>
      <c r="K306" s="163" t="n">
        <v>46315</v>
      </c>
      <c r="L306" s="163" t="n"/>
      <c r="M306" s="110" t="inlineStr">
        <is>
          <t>rcfworks</t>
        </is>
      </c>
      <c r="N306" s="81" t="n">
        <v>1</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Code review</t>
        </is>
      </c>
      <c r="J307" s="108" t="n">
        <v>2</v>
      </c>
      <c r="K307" s="163" t="n">
        <v>46315</v>
      </c>
      <c r="L307" s="163" t="n"/>
      <c r="M307" s="110" t="inlineStr">
        <is>
          <t>rcfworks</t>
        </is>
      </c>
      <c r="N307" s="81" t="n">
        <v>0</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sheetData>
  <autoFilter ref="A4:R307"/>
  <mergeCells count="2">
    <mergeCell ref="A2:R2"/>
    <mergeCell ref="A1:R1"/>
  </mergeCells>
  <conditionalFormatting sqref="I5:I30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7">
    <cfRule type="expression" rank="0" priority="7" equalAverage="0" aboveAverage="0" dxfId="32" text="" percent="0" bottom="0">
      <formula>$I5="Done"</formula>
    </cfRule>
  </conditionalFormatting>
  <conditionalFormatting sqref="N5:N307">
    <cfRule type="cellIs" rank="0" priority="8" equalAverage="0" operator="greaterThanOrEqual" aboveAverage="0" dxfId="33" text="" percent="0" bottom="0">
      <formula>50</formula>
    </cfRule>
  </conditionalFormatting>
  <dataValidations count="1">
    <dataValidation sqref="I5:I307"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to Phase 5 on 2026-10-20 (the game is parked).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5S1-INT-02.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5S1-INT-02.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5S1-INT-03.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5S1-INT-03.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Phase 5 (the former UAT is 5S8-PMO-01).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t>
        </is>
      </c>
    </row>
    <row r="6" ht="32.8" customHeight="1" s="75">
      <c r="A6" s="104" t="n">
        <v>2</v>
      </c>
      <c r="B6" s="105" t="inlineStr">
        <is>
          <t>5S1-INT-02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5S1-INT-01, 4S3-INT-02</t>
        </is>
      </c>
      <c r="P6" s="80" t="inlineStr">
        <is>
          <t>The game reports its heartbeat and SponsorX raises an alert when it stops</t>
        </is>
      </c>
      <c r="Q6" s="82" t="inlineStr">
        <is>
          <t>Spec §28, §30</t>
        </is>
      </c>
      <c r="R6" s="111" t="inlineStr">
        <is>
          <t>Game half of 4S3-INT-02 (split 2026-10-16).</t>
        </is>
      </c>
    </row>
    <row r="7" ht="32.8" customHeight="1" s="75">
      <c r="A7" s="104" t="n">
        <v>3</v>
      </c>
      <c r="B7" s="105" t="inlineStr">
        <is>
          <t>5S1-INT-03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5S1-INT-01, 4S3-INT-03</t>
        </is>
      </c>
      <c r="P7" s="80" t="inlineStr">
        <is>
          <t>The game reads its config remotely and honours telemetry limits</t>
        </is>
      </c>
      <c r="Q7" s="82" t="inlineStr">
        <is>
          <t>Spec §28</t>
        </is>
      </c>
      <c r="R7" s="111" t="inlineStr">
        <is>
          <t>Game half of 4S3-INT-03 (split 2026-10-16).</t>
        </is>
      </c>
    </row>
    <row r="8" ht="32.8" customHeight="1" s="75">
      <c r="A8" s="104" t="n">
        <v>4</v>
      </c>
      <c r="B8" s="105" t="inlineStr">
        <is>
          <t>5S1-QA-01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5S1-INT-01</t>
        </is>
      </c>
      <c r="P8" s="80" t="inlineStr">
        <is>
          <t>Placement passes the staging test before it can be marked available</t>
        </is>
      </c>
      <c r="Q8" s="82" t="inlineStr">
        <is>
          <t>Spec §27.1</t>
        </is>
      </c>
      <c r="R8" s="111" t="inlineStr">
        <is>
          <t>Formerly 4S3-QA-01 (moved 2026-10-16).</t>
        </is>
      </c>
    </row>
    <row r="9" ht="32.8" customHeight="1" s="75">
      <c r="A9" s="104" t="n">
        <v>5</v>
      </c>
      <c r="B9" s="105" t="inlineStr">
        <is>
          <t>5S2-QA-01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5S1-INT-01, 5S4-OPS-02</t>
        </is>
      </c>
      <c r="P9" s="80" t="inlineStr">
        <is>
          <t>Telemetry reconciles between client and server within defined tolerance</t>
        </is>
      </c>
      <c r="Q9" s="82" t="inlineStr">
        <is>
          <t>Spec §33</t>
        </is>
      </c>
      <c r="R9" s="111" t="inlineStr">
        <is>
          <t>Formerly 4S9-QA-01 (moved 2026-10-16).</t>
        </is>
      </c>
    </row>
    <row r="10" ht="32.8" customHeight="1" s="75">
      <c r="A10" s="104" t="n">
        <v>6</v>
      </c>
      <c r="B10" s="105" t="inlineStr">
        <is>
          <t>5S2-PMO-01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5S2-QA-01</t>
        </is>
      </c>
      <c r="P10" s="80" t="inlineStr">
        <is>
          <t>Virtual rates recalibrated against observed traffic, viewability and dwell</t>
        </is>
      </c>
      <c r="Q10" s="82" t="inlineStr">
        <is>
          <t>Spec §32</t>
        </is>
      </c>
      <c r="R10" s="111" t="inlineStr">
        <is>
          <t>Formerly 4S9-PMO-01 (moved 2026-10-16).</t>
        </is>
      </c>
    </row>
    <row r="11" ht="32.8" customHeight="1" s="75">
      <c r="A11" s="104" t="n">
        <v>7</v>
      </c>
      <c r="B11" s="105" t="inlineStr">
        <is>
          <t>5S2-PMO-02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5S2-QA-01, 5S3-QA-01</t>
        </is>
      </c>
      <c r="P11" s="80" t="inlineStr">
        <is>
          <t>All 15 Phase 5 acceptance criteria demonstrated and signed off</t>
        </is>
      </c>
      <c r="Q11" s="82" t="inlineStr">
        <is>
          <t>Spec §34</t>
        </is>
      </c>
      <c r="R11" s="111" t="inlineStr">
        <is>
          <t>New 2026-10-16: the real-sponsor pilot, formerly part of 4S9-PMO-02.</t>
        </is>
      </c>
    </row>
    <row r="12" ht="32.8" customHeight="1" s="75">
      <c r="A12" s="104" t="n">
        <v>8</v>
      </c>
      <c r="B12" s="105" t="inlineStr">
        <is>
          <t>5S3-PMO-01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row>
    <row r="13" ht="32.8" customHeight="1" s="75">
      <c r="A13" s="104" t="n">
        <v>8.5</v>
      </c>
      <c r="B13" s="105" t="inlineStr">
        <is>
          <t>5S3-PMO-02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row>
    <row r="14" ht="32.8" customHeight="1" s="75">
      <c r="A14" s="104" t="n">
        <v>9</v>
      </c>
      <c r="B14" s="105" t="inlineStr">
        <is>
          <t>5S3-SEC-01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5S3-PMO-01, 4S0-SEC-01</t>
        </is>
      </c>
      <c r="P14" s="80" t="inlineStr">
        <is>
          <t>The player authentication design is reviewed and approved</t>
        </is>
      </c>
      <c r="Q14" s="82" t="inlineStr">
        <is>
          <t>Spec §29, §31</t>
        </is>
      </c>
    </row>
    <row r="15" ht="32.8" customHeight="1" s="75">
      <c r="A15" s="104" t="n">
        <v>10</v>
      </c>
      <c r="B15" s="105" t="inlineStr">
        <is>
          <t>5S3-BE-01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5S3-SEC-01</t>
        </is>
      </c>
      <c r="P15" s="80" t="inlineStr">
        <is>
          <t>A player creates an account with email and password, verifies the email, and a duplicate or weak password is refused without revealing existing accounts</t>
        </is>
      </c>
      <c r="Q15" s="82" t="inlineStr">
        <is>
          <t>Spec §29</t>
        </is>
      </c>
    </row>
    <row r="16" ht="32.8" customHeight="1" s="75">
      <c r="A16" s="104" t="n">
        <v>11</v>
      </c>
      <c r="B16" s="105" t="inlineStr">
        <is>
          <t>5S3-BE-02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5S3-BE-01</t>
        </is>
      </c>
      <c r="P16" s="80" t="inlineStr">
        <is>
          <t>The game can tell an invalid login, a locked account, an unverified email and a required authenticator step apart from the server's response, and none of them reveals whether an account exists</t>
        </is>
      </c>
      <c r="Q16" s="82" t="inlineStr">
        <is>
          <t>Spec §29</t>
        </is>
      </c>
    </row>
    <row r="17" ht="32.8" customHeight="1" s="75">
      <c r="A17" s="104" t="n">
        <v>12</v>
      </c>
      <c r="B17" s="105" t="inlineStr">
        <is>
          <t>5S3-BE-03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5S3-BE-02</t>
        </is>
      </c>
      <c r="P17" s="80" t="inlineStr">
        <is>
          <t>Repeated failed logins lock the account for a set time, the game shows when it unlocks, the owner can unlock by email, and every lock is audited</t>
        </is>
      </c>
      <c r="Q17" s="82" t="inlineStr">
        <is>
          <t>Spec §29, §31</t>
        </is>
      </c>
    </row>
    <row r="18" ht="32.8" customHeight="1" s="75">
      <c r="A18" s="104" t="n">
        <v>13</v>
      </c>
      <c r="B18" s="105" t="inlineStr">
        <is>
          <t>5S3-INT-01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5S3-SEC-01, 5S3-BE-01</t>
        </is>
      </c>
      <c r="P18" s="80" t="inlineStr">
        <is>
          <t>A player signs up and signs in with Google, and can link Google to an existing account</t>
        </is>
      </c>
      <c r="Q18" s="82" t="inlineStr">
        <is>
          <t>Spec §29</t>
        </is>
      </c>
    </row>
    <row r="19" ht="32.8" customHeight="1" s="75">
      <c r="A19" s="104" t="n">
        <v>14</v>
      </c>
      <c r="B19" s="105" t="inlineStr">
        <is>
          <t>5S3-INT-02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5S3-SEC-01, 5S3-BE-01</t>
        </is>
      </c>
      <c r="P19" s="80" t="inlineStr">
        <is>
          <t>A player signs up and signs in with Apple, including with a hidden (relay) email, and can link Apple to an existing account</t>
        </is>
      </c>
      <c r="Q19" s="82" t="inlineStr">
        <is>
          <t>Spec §29</t>
        </is>
      </c>
    </row>
    <row r="20" ht="32.8" customHeight="1" s="75">
      <c r="A20" s="104" t="n">
        <v>15</v>
      </c>
      <c r="B20" s="105" t="inlineStr">
        <is>
          <t>5S3-BE-04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5S3-BE-02</t>
        </is>
      </c>
      <c r="P20" s="80" t="inlineStr">
        <is>
          <t>A player turns on an authenticator, every later login asks for its code, recovery codes work once each, and turning it off needs a fresh sign-in</t>
        </is>
      </c>
      <c r="Q20" s="82" t="inlineStr">
        <is>
          <t>Spec §29, §31</t>
        </is>
      </c>
    </row>
    <row r="21" ht="32.8" customHeight="1" s="75">
      <c r="A21" s="104" t="n">
        <v>16</v>
      </c>
      <c r="B21" s="105" t="inlineStr">
        <is>
          <t>5S3-BE-05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5S3-BE-02, 5S3-INT-01, 5S3-INT-02</t>
        </is>
      </c>
      <c r="P21" s="80" t="inlineStr">
        <is>
          <t>A player resets a forgotten password, links and unlinks Google or Apple without locking themselves out, and deletes their account in the game</t>
        </is>
      </c>
      <c r="Q21" s="82" t="inlineStr">
        <is>
          <t>Spec §29</t>
        </is>
      </c>
    </row>
    <row r="22" ht="32.8" customHeight="1" s="75">
      <c r="A22" s="104" t="n">
        <v>17</v>
      </c>
      <c r="B22" s="105" t="inlineStr">
        <is>
          <t>5S3-BE-06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5S3-BE-02</t>
        </is>
      </c>
      <c r="P22" s="80" t="inlineStr">
        <is>
          <t>Access tokens are short-lived, refresh tokens rotate, a reused refresh token ends the session, and a player can sign out one device or all of them</t>
        </is>
      </c>
      <c r="Q22" s="82" t="inlineStr">
        <is>
          <t>Spec §29, §31</t>
        </is>
      </c>
    </row>
    <row r="23" ht="32.8" customHeight="1" s="75">
      <c r="A23" s="104" t="n">
        <v>18</v>
      </c>
      <c r="B23" s="105" t="inlineStr">
        <is>
          <t>5S3-INT-03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5S3-PMO-02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5S3-PMO-02, 5S3-BE-06</t>
        </is>
      </c>
      <c r="P23" s="80" t="inlineStr">
        <is>
          <t>An authenticated game holds a live socket, receives a pause or feed change within seconds, reconnects on its own, falls back to polling, and an expired or revoked session is disconnected</t>
        </is>
      </c>
      <c r="Q23" s="82" t="inlineStr">
        <is>
          <t>Spec §28, §34</t>
        </is>
      </c>
    </row>
    <row r="24" ht="32.8" customHeight="1" s="75">
      <c r="A24" s="104" t="n">
        <v>19</v>
      </c>
      <c r="B24" s="105" t="inlineStr">
        <is>
          <t>5S3-INT-04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5S3-BE-02, 5S3-BE-03, 5S3-BE-04, 5S3-INT-01, 5S3-INT-02, 5S3-INT-03</t>
        </is>
      </c>
      <c r="P24" s="80" t="inlineStr">
        <is>
          <t>A player signs up and signs in inside the game by each method, sees the right message for every refused login, and the game connects its socket after login</t>
        </is>
      </c>
      <c r="Q24" s="82" t="inlineStr">
        <is>
          <t>Spec §29</t>
        </is>
      </c>
    </row>
    <row r="25" ht="32.8" customHeight="1" s="75">
      <c r="A25" s="104" t="n">
        <v>20</v>
      </c>
      <c r="B25" s="105" t="inlineStr">
        <is>
          <t>5S3-QA-01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5S3-INT-04</t>
        </is>
      </c>
      <c r="P25" s="80" t="inlineStr">
        <is>
          <t>Every check passes, or each open finding is recorded with its risk and its owner</t>
        </is>
      </c>
      <c r="Q25" s="82" t="inlineStr">
        <is>
          <t>Spec §29, §31</t>
        </is>
      </c>
    </row>
    <row r="26" ht="32.8" customHeight="1" s="75">
      <c r="A26" s="104" t="n">
        <v>21</v>
      </c>
      <c r="B26" s="105" t="inlineStr">
        <is>
          <t>5S4-PMO-01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row>
    <row r="27" ht="23.85" customHeight="1" s="75">
      <c r="A27" s="104" t="n">
        <v>22</v>
      </c>
      <c r="B27" s="105" t="inlineStr">
        <is>
          <t>5S4-BE-01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row>
    <row r="28" ht="23.85" customHeight="1" s="75">
      <c r="A28" s="104" t="n">
        <v>23</v>
      </c>
      <c r="B28" s="105" t="inlineStr">
        <is>
          <t>5S4-OPS-01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row>
    <row r="29" ht="23.85" customHeight="1" s="75">
      <c r="A29" s="104" t="n">
        <v>24</v>
      </c>
      <c r="B29" s="105" t="inlineStr">
        <is>
          <t>5S4-OPS-02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5S4-OPS-01</t>
        </is>
      </c>
      <c r="P29" s="80" t="inlineStr">
        <is>
          <t>Load test meets the agreed ingestion throughput and dashboard latency targets</t>
        </is>
      </c>
      <c r="Q29" s="82" t="inlineStr">
        <is>
          <t>Spec §34</t>
        </is>
      </c>
    </row>
    <row r="30" ht="23.85" customHeight="1" s="75">
      <c r="A30" s="104" t="n">
        <v>25</v>
      </c>
      <c r="B30" s="105" t="inlineStr">
        <is>
          <t>5S5-BE-01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row>
    <row r="31" ht="23.85" customHeight="1" s="75">
      <c r="A31" s="104" t="n">
        <v>26</v>
      </c>
      <c r="B31" s="105" t="inlineStr">
        <is>
          <t>5S5-DATA-01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5S5-BE-01</t>
        </is>
      </c>
      <c r="P31" s="80" t="inlineStr">
        <is>
          <t>Aggregates compute on schedule and dashboards read aggregates, never raw telemetry</t>
        </is>
      </c>
      <c r="Q31" s="82" t="inlineStr">
        <is>
          <t>Spec §27.3</t>
        </is>
      </c>
    </row>
    <row r="32" ht="22.35" customHeight="1" s="75">
      <c r="A32" s="104" t="n">
        <v>27</v>
      </c>
      <c r="B32" s="105" t="inlineStr">
        <is>
          <t>5S5-DATA-02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5S5-DATA-01</t>
        </is>
      </c>
      <c r="P32" s="80" t="inlineStr">
        <is>
          <t>Traffic benchmarks compute per world and zone</t>
        </is>
      </c>
      <c r="Q32" s="82" t="inlineStr">
        <is>
          <t>Spec §30, §32</t>
        </is>
      </c>
    </row>
    <row r="33" ht="23.85" customHeight="1" s="75">
      <c r="A33" s="104" t="n">
        <v>28</v>
      </c>
      <c r="B33" s="105" t="inlineStr">
        <is>
          <t>5S5-FE-01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5S5-DATA-01</t>
        </is>
      </c>
      <c r="P33" s="80" t="inlineStr">
        <is>
          <t>Dashboard renders virtual delivery with gross and viewable clearly separated</t>
        </is>
      </c>
      <c r="Q33" s="82" t="inlineStr">
        <is>
          <t>Spec §26 P4-07</t>
        </is>
      </c>
    </row>
    <row r="34" ht="23.85" customHeight="1" s="75">
      <c r="A34" s="104" t="n">
        <v>29</v>
      </c>
      <c r="B34" s="105" t="inlineStr">
        <is>
          <t>5S5-BE-02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5S5-DATA-02</t>
        </is>
      </c>
      <c r="P34" s="80" t="inlineStr">
        <is>
          <t>A virtual placement produces a recommended rate with its factor breakdown visible</t>
        </is>
      </c>
      <c r="Q34" s="82" t="inlineStr">
        <is>
          <t>Spec §32</t>
        </is>
      </c>
    </row>
    <row r="35" ht="23.85" customHeight="1" s="75">
      <c r="A35" s="104" t="n">
        <v>30</v>
      </c>
      <c r="B35" s="105" t="inlineStr">
        <is>
          <t>5S6-BE-01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row>
    <row r="36" ht="23.85" customHeight="1" s="75">
      <c r="A36" s="104" t="n">
        <v>31</v>
      </c>
      <c r="B36" s="105" t="inlineStr">
        <is>
          <t>5S6-BE-02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5S6-BE-01</t>
        </is>
      </c>
      <c r="P36" s="80" t="inlineStr">
        <is>
          <t>Activation can start and complete, validated against its eligibility rules</t>
        </is>
      </c>
      <c r="Q36" s="82" t="inlineStr">
        <is>
          <t>Spec §27.4</t>
        </is>
      </c>
    </row>
    <row r="37" ht="23.85" customHeight="1" s="75">
      <c r="A37" s="104" t="n">
        <v>32</v>
      </c>
      <c r="B37" s="105" t="inlineStr">
        <is>
          <t>5S6-BE-03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5S6-BE-02</t>
        </is>
      </c>
      <c r="P37" s="80" t="inlineStr">
        <is>
          <t>An activation triggers a SponsorX reward exactly once per configured eligibility rule</t>
        </is>
      </c>
      <c r="Q37" s="82" t="inlineStr">
        <is>
          <t>Spec §34</t>
        </is>
      </c>
    </row>
    <row r="38" ht="23.85" customHeight="1" s="75">
      <c r="A38" s="104" t="n">
        <v>33</v>
      </c>
      <c r="B38" s="105" t="inlineStr">
        <is>
          <t>5S6-INT-01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5S6-BE-03</t>
        </is>
      </c>
      <c r="P38" s="80" t="inlineStr">
        <is>
          <t>A completed activation delivers a reward through the existing reward and wallet services</t>
        </is>
      </c>
      <c r="Q38" s="82" t="inlineStr">
        <is>
          <t>Spec §27.4</t>
        </is>
      </c>
    </row>
    <row r="39" ht="23.85" customHeight="1" s="75">
      <c r="A39" s="104" t="n">
        <v>34</v>
      </c>
      <c r="B39" s="105" t="inlineStr">
        <is>
          <t>5S6-FE-01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5S8-ART-01</t>
        </is>
      </c>
      <c r="P39" s="80" t="inlineStr">
        <is>
          <t>A campaign manager can build and publish an activation without engineering help</t>
        </is>
      </c>
      <c r="Q39" s="82" t="inlineStr">
        <is>
          <t>Spec §26 P4-06</t>
        </is>
      </c>
    </row>
    <row r="40" ht="23.85" customHeight="1" s="75">
      <c r="A40" s="104" t="n">
        <v>35</v>
      </c>
      <c r="B40" s="105" t="inlineStr">
        <is>
          <t>5S7-DATA-01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row>
    <row r="41" ht="23.85" customHeight="1" s="75">
      <c r="A41" s="104" t="n">
        <v>36</v>
      </c>
      <c r="B41" s="105" t="inlineStr">
        <is>
          <t>5S7-FE-01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5S7-DATA-01</t>
        </is>
      </c>
      <c r="P41" s="80" t="inlineStr">
        <is>
          <t>Dashboard compares all channels on consistent metrics</t>
        </is>
      </c>
      <c r="Q41" s="82" t="inlineStr">
        <is>
          <t>Spec §26 P4-08</t>
        </is>
      </c>
    </row>
    <row r="42" ht="22.35" customHeight="1" s="75">
      <c r="A42" s="104" t="n">
        <v>37</v>
      </c>
      <c r="B42" s="105" t="inlineStr">
        <is>
          <t>5S7-FE-02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5S5-FE-01</t>
        </is>
      </c>
      <c r="P42" s="80" t="inlineStr">
        <is>
          <t>A pilot sponsor receives a report with virtual delivery, interaction, reward funnel and creative proof</t>
        </is>
      </c>
      <c r="Q42" s="82" t="inlineStr">
        <is>
          <t>Spec §26 P4-11, §34</t>
        </is>
      </c>
    </row>
    <row r="43" ht="23.85" customHeight="1" s="75">
      <c r="A43" s="104" t="n">
        <v>38</v>
      </c>
      <c r="B43" s="105" t="inlineStr">
        <is>
          <t>5S7-FE-03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5S5-DATA-02</t>
        </is>
      </c>
      <c r="P43" s="80" t="inlineStr">
        <is>
          <t>Heatmap renders zone-level traffic and engagement</t>
        </is>
      </c>
      <c r="Q43" s="82" t="inlineStr">
        <is>
          <t>Spec §26 P4-12</t>
        </is>
      </c>
    </row>
    <row r="44" ht="22.35" customHeight="1" s="75">
      <c r="A44" s="104" t="n">
        <v>39</v>
      </c>
      <c r="B44" s="105" t="inlineStr">
        <is>
          <t>5S7-FE-04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row>
    <row r="45" ht="23.85" customHeight="1" s="75">
      <c r="A45" s="104" t="n">
        <v>40</v>
      </c>
      <c r="B45" s="105" t="inlineStr">
        <is>
          <t>5S7-DATA-02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5S4-BE-01</t>
        </is>
      </c>
      <c r="P45" s="80" t="inlineStr">
        <is>
          <t>Suspicious event patterns are flagged and excluded from sponsor-facing aggregates</t>
        </is>
      </c>
      <c r="Q45" s="82" t="inlineStr">
        <is>
          <t>Spec §27.3</t>
        </is>
      </c>
    </row>
    <row r="46" ht="23.85" customHeight="1" s="75">
      <c r="A46" s="104" t="n">
        <v>41</v>
      </c>
      <c r="B46" s="105" t="inlineStr">
        <is>
          <t>5S8-ART-01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47" ht="22.35" customHeight="1" s="75">
      <c r="A47" s="104" t="n">
        <v>42</v>
      </c>
      <c r="B47" s="105" t="inlineStr">
        <is>
          <t>5S8-FE-01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5S8-ART-01</t>
        </is>
      </c>
      <c r="P47" s="80" t="inlineStr">
        <is>
          <t>Admin can register and manage worlds and zones</t>
        </is>
      </c>
      <c r="Q47" s="82" t="inlineStr">
        <is>
          <t>Spec §26 P4-01</t>
        </is>
      </c>
    </row>
    <row r="48" ht="23.85" customHeight="1" s="75">
      <c r="A48" s="104" t="n">
        <v>43</v>
      </c>
      <c r="B48" s="105" t="inlineStr">
        <is>
          <t>5S8-FE-02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row>
    <row r="49" ht="23.85" customHeight="1" s="75">
      <c r="A49" s="104" t="n">
        <v>44</v>
      </c>
      <c r="B49" s="105" t="inlineStr">
        <is>
          <t>5S8-FE-03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row>
    <row r="50" ht="23.85" customHeight="1" s="75">
      <c r="A50" s="104" t="n">
        <v>45</v>
      </c>
      <c r="B50" s="105" t="inlineStr">
        <is>
          <t>5S8-FE-04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5S8-ART-01</t>
        </is>
      </c>
      <c r="P50" s="80" t="inlineStr">
        <is>
          <t>Staff can run the full deployment lifecycle from the console</t>
        </is>
      </c>
      <c r="Q50" s="82" t="inlineStr">
        <is>
          <t>Spec §26 P4-05</t>
        </is>
      </c>
    </row>
    <row r="51" ht="23.85" customHeight="1" s="75">
      <c r="A51" s="104" t="n">
        <v>46</v>
      </c>
      <c r="B51" s="105" t="inlineStr">
        <is>
          <t>5S8-BE-01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row>
    <row r="52" s="75">
      <c r="A52" s="104" t="n">
        <v>47</v>
      </c>
      <c r="B52" s="105" t="inlineStr">
        <is>
          <t>5S8-BE-02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5S8-BE-01</t>
        </is>
      </c>
      <c r="P52" s="80" t="inlineStr">
        <is>
          <t>Incidents are logged, tracked and closable with notes</t>
        </is>
      </c>
      <c r="Q52" s="82" t="inlineStr">
        <is>
          <t>Spec §30</t>
        </is>
      </c>
    </row>
    <row r="53" s="75">
      <c r="A53" s="104" t="n">
        <v>48</v>
      </c>
      <c r="B53" s="105" t="inlineStr">
        <is>
          <t>5S8-PMO-01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5S8-FE-01, 5S8-FE-02, 5S8-FE-03, 5S8-FE-04, 5S8-BE-02</t>
        </is>
      </c>
      <c r="P53" s="80" t="inlineStr">
        <is>
          <t>Phase 5 criteria 14 and 15 demonstrated and signed off</t>
        </is>
      </c>
      <c r="Q53" s="82" t="inlineStr">
        <is>
          <t>Spec §34</t>
        </is>
      </c>
      <c r="R53" s="74" t="inlineStr">
        <is>
          <t>Changed 2026-10-16 (user): no longer waits on the pilot world (now Phase 5).</t>
        </is>
      </c>
    </row>
    <row r="54" s="75">
      <c r="A54" s="104" t="n">
        <v>49</v>
      </c>
      <c r="B54" s="105" t="inlineStr">
        <is>
          <t>5S8-OPS-01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5S8-PMO-01</t>
        </is>
      </c>
      <c r="P54" s="80" t="inlineStr">
        <is>
          <t>Production rollout complete with monitoring, alerting and an incident runbook</t>
        </is>
      </c>
      <c r="Q54" s="82" t="inlineStr">
        <is>
          <t>Spec §31, §38</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Ready</t>
        </is>
      </c>
      <c r="K9" s="74" t="n">
        <v>0.5</v>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0.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2–5</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2026-10-20T08:38:07Z</dcterms:modified>
  <cp:revision>0</cp:revision>
</cp:coreProperties>
</file>