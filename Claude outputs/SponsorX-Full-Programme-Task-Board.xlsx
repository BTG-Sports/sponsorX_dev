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1'!$A$4:$R$204</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1'!$I$5:$I$204,"Ready")</f>
        <v/>
      </c>
      <c r="C5" s="81">
        <f>COUNTIF('Phase 1'!$I$5:$I$204,"In progress")</f>
        <v/>
      </c>
      <c r="D5" s="81">
        <f>COUNTIF('Phase 1'!$I$5:$I$204,"Code review")</f>
        <v/>
      </c>
      <c r="E5" s="81">
        <f>COUNTIF('Phase 1'!$I$5:$I$204,"Blocked")</f>
        <v/>
      </c>
      <c r="F5" s="81">
        <f>COUNTIF('Phase 1'!$I$5:$I$204,"Done")</f>
        <v/>
      </c>
      <c r="G5" s="81">
        <f>COUNTA('Phase 1'!$B$5:$B$204)</f>
        <v/>
      </c>
      <c r="H5" s="81">
        <f>SUMIF('Phase 1'!$I$5:$I$204,"&lt;&gt;Done",'Phase 1'!$J$5:$J$204)</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1'!$F$5:$F$204,"Document")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1'!$F$5:$F$204,"Zoho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1'!$F$5:$F$204,"Vendor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1'!$F$5:$F$204,"Code")</f>
        <v/>
      </c>
      <c r="C16" s="81">
        <f>COUNTIF('Phase 2'!$F$5:$F$68,"Code")</f>
        <v/>
      </c>
      <c r="D16" s="81">
        <f>COUNTIF('Phase 3'!$F$5:$F$48,"Code")</f>
        <v/>
      </c>
      <c r="E16" s="81">
        <f>COUNTIF('Phase 4'!$F$5:$F$55,"Code")</f>
        <v/>
      </c>
      <c r="F16" s="81">
        <f>SUM(B16:E16)</f>
        <v/>
      </c>
    </row>
    <row r="17" ht="15" customHeight="1" s="75">
      <c r="A17" s="99" t="inlineStr">
        <is>
          <t>Code + console</t>
        </is>
      </c>
      <c r="B17" s="81">
        <f>COUNTIF('Phase 1'!$F$5:$F$204,"Code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1'!$F$5:$F$204,"Design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1'!$F$5:$F$204,"Document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1'!$F$5:$F$204,"External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Code review</t>
        </is>
      </c>
      <c r="J73" s="108" t="n">
        <v>3</v>
      </c>
      <c r="K73" s="109" t="inlineStr">
        <is>
          <t>2026-09-21</t>
        </is>
      </c>
      <c r="L73" s="109" t="n"/>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Code review</t>
        </is>
      </c>
      <c r="J75" s="108" t="n">
        <v>3</v>
      </c>
      <c r="K75" s="109" t="inlineStr">
        <is>
          <t>2026-09-21</t>
        </is>
      </c>
      <c r="L75" s="109" t="n"/>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Code review</t>
        </is>
      </c>
      <c r="J77" s="108" t="n">
        <v>3</v>
      </c>
      <c r="K77" s="109" t="inlineStr">
        <is>
          <t>2026-09-21</t>
        </is>
      </c>
      <c r="L77" s="109" t="n"/>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Code review</t>
        </is>
      </c>
      <c r="J79" s="108" t="n">
        <v>3</v>
      </c>
      <c r="K79" s="109" t="inlineStr">
        <is>
          <t>2026-09-21</t>
        </is>
      </c>
      <c r="L79" s="109" t="n"/>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inlineStr">
        <is>
          <t>0</t>
        </is>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t>
        </is>
      </c>
    </row>
  </sheetData>
  <autoFilter ref="A4:R204"/>
  <mergeCells count="2">
    <mergeCell ref="A2:R2"/>
    <mergeCell ref="A1:R1"/>
  </mergeCells>
  <conditionalFormatting sqref="I5:I2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4">
    <cfRule type="expression" rank="0" priority="7" equalAverage="0" aboveAverage="0" dxfId="32" text="" percent="0" bottom="0">
      <formula>$I5="Done"</formula>
    </cfRule>
  </conditionalFormatting>
  <conditionalFormatting sqref="N5:N204">
    <cfRule type="cellIs" rank="0" priority="8" equalAverage="0" operator="greaterThanOrEqual" aboveAverage="0" dxfId="33" text="" percent="0" bottom="0">
      <formula>50</formula>
    </cfRule>
  </conditionalFormatting>
  <dataValidations count="1">
    <dataValidation sqref="I5:I2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2026-09-21T11:01:03Z</dcterms:modified>
  <cp:revision>0</cp:revision>
</cp:coreProperties>
</file>