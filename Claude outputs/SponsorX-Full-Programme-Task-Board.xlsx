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1'!$A$4:$R$302</definedName>
    <definedName name="_xlnm._FilterDatabase" localSheetId="4" hidden="1">'Phase 2'!$A$4:$R$144</definedName>
    <definedName name="_xlnm._FilterDatabase" localSheetId="5" hidden="1">'Phase 3'!$A$4:$R$61</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3'!$I$5:$I$61,"Ready")</f>
        <v/>
      </c>
      <c r="C7" s="81">
        <f>COUNTIF('Phase 3'!$I$5:$I$61,"In progress")</f>
        <v/>
      </c>
      <c r="D7" s="81">
        <f>COUNTIF('Phase 3'!$I$5:$I$61,"Code review")</f>
        <v/>
      </c>
      <c r="E7" s="81">
        <f>COUNTIF('Phase 3'!$I$5:$I$61,"Blocked")</f>
        <v/>
      </c>
      <c r="F7" s="81">
        <f>COUNTIF('Phase 3'!$I$5:$I$61,"Done")</f>
        <v/>
      </c>
      <c r="G7" s="81">
        <f>COUNTA('Phase 3'!$B$5:$B$61)</f>
        <v/>
      </c>
      <c r="H7" s="81">
        <f>SUMIF('Phase 3'!$I$5:$I$61,"&lt;&gt;Done",'Phase 3'!$J$5:$J$61)</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3'!$F$5:$F$61,"Document")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3'!$F$5:$F$61,"Zoho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3'!$F$5:$F$61,"Vendor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3'!$F$5:$F$61,"Code")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3'!$F$5:$F$61,"Code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3'!$F$5:$F$61,"Design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3'!$F$5:$F$61,"Document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3'!$F$5:$F$61,"External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sheetData>
  <autoFilter ref="A4:R302"/>
  <mergeCells count="2">
    <mergeCell ref="A2:R2"/>
    <mergeCell ref="A1:R1"/>
  </mergeCells>
  <conditionalFormatting sqref="I5:I30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2">
    <cfRule type="expression" rank="0" priority="7" equalAverage="0" aboveAverage="0" dxfId="32" text="" percent="0" bottom="0">
      <formula>$I5="Done"</formula>
    </cfRule>
  </conditionalFormatting>
  <conditionalFormatting sqref="N5:N302">
    <cfRule type="cellIs" rank="0" priority="8" equalAverage="0" operator="greaterThanOrEqual" aboveAverage="0" dxfId="33" text="" percent="0" bottom="0">
      <formula>50</formula>
    </cfRule>
  </conditionalFormatting>
  <dataValidations count="1">
    <dataValidation sqref="I5:I30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3S1-DATA-05</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3S1-DATA-05</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Re-pointed 2026-10-13 to the fact ledger (3S1-BE-01…): reads the daily summaries in the app database, not the warehouse.</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3S1-DATA-05</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Ready</t>
        </is>
      </c>
      <c r="J55" s="108" t="n">
        <v>2</v>
      </c>
      <c r="K55" s="109" t="n"/>
      <c r="L55" s="109" t="n"/>
      <c r="M55" s="110" t="n"/>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n"/>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3S1-DATA-05,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Blocked</t>
        </is>
      </c>
      <c r="J57" s="108" t="n">
        <v>2</v>
      </c>
      <c r="K57" s="109" t="n"/>
      <c r="L57" s="109" t="n"/>
      <c r="M57" s="110" t="n"/>
      <c r="N57" s="85" t="n">
        <v>0</v>
      </c>
      <c r="O57" s="84" t="inlineStr">
        <is>
          <t>3S1-BE-01</t>
        </is>
      </c>
      <c r="P57" s="84" t="inlineStr">
        <is>
          <t>Every listed action writes its fact in its own transaction; the daily summaries match the app's own totals for a seeded campaign</t>
        </is>
      </c>
      <c r="Q57" s="86" t="inlineStr">
        <is>
          <t>Spec §19, §21, §22</t>
        </is>
      </c>
      <c r="R57" s="111" t="n"/>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Blocked</t>
        </is>
      </c>
      <c r="J58" s="108" t="n">
        <v>1</v>
      </c>
      <c r="K58" s="109" t="n"/>
      <c r="L58" s="109" t="n"/>
      <c r="M58" s="110" t="n"/>
      <c r="N58" s="85" t="n">
        <v>0</v>
      </c>
      <c r="O58" s="84" t="inlineStr">
        <is>
          <t>3S1-BE-02</t>
        </is>
      </c>
      <c r="P58" s="84" t="inlineStr">
        <is>
          <t>Removing a fact write, or adding an unclassified state, fails CI</t>
        </is>
      </c>
      <c r="Q58" s="86" t="inlineStr">
        <is>
          <t>Spec §19, §21, §22</t>
        </is>
      </c>
      <c r="R58" s="111" t="n"/>
    </row>
    <row r="59">
      <c r="A59" s="112" t="n">
        <v>7.4</v>
      </c>
      <c r="B59" s="113" t="inlineStr">
        <is>
          <t>3S1-DATA-05</t>
        </is>
      </c>
      <c r="C59" s="85" t="n">
        <v>1</v>
      </c>
      <c r="D59" s="86" t="inlineStr">
        <is>
          <t>Sprint 1 · Warehouse &amp; benchmarks</t>
        </is>
      </c>
      <c r="E59" s="129" t="inlineStr">
        <is>
          <t>DATA</t>
        </is>
      </c>
      <c r="F59" s="122" t="inlineStr">
        <is>
          <t>Code</t>
        </is>
      </c>
      <c r="G59" s="84" t="inlineStr">
        <is>
          <t>Fill fact history from current records</t>
        </is>
      </c>
      <c r="H59" s="116" t="inlineStr">
        <is>
          <t>A one-off, re-runnable fill of facts for everything that happened before the ledger existed, from the app's current records and its audit history.</t>
        </is>
      </c>
      <c r="I59" s="108" t="inlineStr">
        <is>
          <t>Blocked</t>
        </is>
      </c>
      <c r="J59" s="108" t="n">
        <v>1</v>
      </c>
      <c r="K59" s="109" t="n"/>
      <c r="L59" s="109" t="n"/>
      <c r="M59" s="110" t="n"/>
      <c r="N59" s="85" t="n">
        <v>0</v>
      </c>
      <c r="O59" s="84" t="inlineStr">
        <is>
          <t>3S1-BE-02</t>
        </is>
      </c>
      <c r="P59" s="84" t="inlineStr">
        <is>
          <t>History is filled for all tenants; re-running adds nothing; summaries equal the app's totals for every campaign</t>
        </is>
      </c>
      <c r="Q59" s="86" t="inlineStr">
        <is>
          <t>Spec §19, §21, §22</t>
        </is>
      </c>
      <c r="R59" s="111" t="n"/>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3S1-DATA-05</t>
        </is>
      </c>
      <c r="P60" s="84" t="inlineStr">
        <is>
          <t>No warehouse service, setting or code remains; analysis reads the summaries; the design docs say so</t>
        </is>
      </c>
      <c r="Q60" s="86" t="inlineStr">
        <is>
          <t>Spec §19, §21, §22</t>
        </is>
      </c>
      <c r="R60" s="111" t="n"/>
    </row>
    <row r="61">
      <c r="A61" s="112" t="n">
        <v>7.6</v>
      </c>
      <c r="B61" s="113" t="inlineStr">
        <is>
          <t>3S1-OPS-03</t>
        </is>
      </c>
      <c r="C61" s="85" t="n">
        <v>1</v>
      </c>
      <c r="D61" s="86" t="inlineStr">
        <is>
          <t>Sprint 1 · Warehouse &amp; benchmarks</t>
        </is>
      </c>
      <c r="E61" s="129" t="inlineStr">
        <is>
          <t>OPS</t>
        </is>
      </c>
      <c r="F61" s="122" t="inlineStr">
        <is>
          <t>Code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Ready</t>
        </is>
      </c>
      <c r="J61" s="108" t="n">
        <v>1</v>
      </c>
      <c r="K61" s="109" t="n"/>
      <c r="L61" s="109" t="n"/>
      <c r="M61" s="110" t="n"/>
      <c r="N61" s="85" t="n">
        <v>0</v>
      </c>
      <c r="O61" s="84" t="n"/>
      <c r="P61" s="84" t="inlineStr">
        <is>
          <t>In staging and production only the app's login can write; a read-only login exists for people; the change is recorded in the deployment runbook</t>
        </is>
      </c>
      <c r="Q61" s="86" t="inlineStr">
        <is>
          <t>Spec §19, §21, §22</t>
        </is>
      </c>
      <c r="R61" s="111" t="n"/>
    </row>
  </sheetData>
  <autoFilter ref="A4:R61"/>
  <mergeCells count="2">
    <mergeCell ref="A2:R2"/>
    <mergeCell ref="A1:R1"/>
  </mergeCells>
  <conditionalFormatting sqref="I5:I6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1">
    <cfRule type="expression" rank="0" priority="7" equalAverage="0" aboveAverage="0" dxfId="32" text="" percent="0" bottom="0">
      <formula>$I5="Done"</formula>
    </cfRule>
  </conditionalFormatting>
  <conditionalFormatting sqref="N5:N61">
    <cfRule type="cellIs" rank="0" priority="8" equalAverage="0" operator="greaterThanOrEqual" aboveAverage="0" dxfId="33" text="" percent="0" bottom="0">
      <formula>50</formula>
    </cfRule>
  </conditionalFormatting>
  <dataValidations count="1">
    <dataValidation sqref="I5:I6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2026-10-13T06:12:37Z</dcterms:modified>
  <cp:revision>0</cp:revision>
</cp:coreProperties>
</file>