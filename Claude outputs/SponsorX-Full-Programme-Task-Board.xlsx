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1'!$A$4:$R$203</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195</v>
      </c>
      <c r="D5" s="81" t="n">
        <v>457</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1'!$I$5:$I$203,"Ready")</f>
        <v/>
      </c>
      <c r="C5" s="81">
        <f>COUNTIF('Phase 1'!$I$5:$I$203,"In progress")</f>
        <v/>
      </c>
      <c r="D5" s="81">
        <f>COUNTIF('Phase 1'!$I$5:$I$203,"Code review")</f>
        <v/>
      </c>
      <c r="E5" s="81">
        <f>COUNTIF('Phase 1'!$I$5:$I$203,"Blocked")</f>
        <v/>
      </c>
      <c r="F5" s="81">
        <f>COUNTIF('Phase 1'!$I$5:$I$203,"Done")</f>
        <v/>
      </c>
      <c r="G5" s="81">
        <f>COUNTA('Phase 1'!$B$5:$B$203)</f>
        <v/>
      </c>
      <c r="H5" s="81">
        <f>SUMIF('Phase 1'!$I$5:$I$203,"&lt;&gt;Done",'Phase 1'!$J$5:$J$203)</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1'!$F$5:$F$203,"Document")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1'!$F$5:$F$203,"Zoho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1'!$F$5:$F$203,"Vendor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1'!$F$5:$F$203,"Code")</f>
        <v/>
      </c>
      <c r="C16" s="81">
        <f>COUNTIF('Phase 2'!$F$5:$F$68,"Code")</f>
        <v/>
      </c>
      <c r="D16" s="81">
        <f>COUNTIF('Phase 3'!$F$5:$F$48,"Code")</f>
        <v/>
      </c>
      <c r="E16" s="81">
        <f>COUNTIF('Phase 4'!$F$5:$F$55,"Code")</f>
        <v/>
      </c>
      <c r="F16" s="81">
        <f>SUM(B16:E16)</f>
        <v/>
      </c>
    </row>
    <row r="17" ht="15" customHeight="1" s="75">
      <c r="A17" s="99" t="inlineStr">
        <is>
          <t>Code + console</t>
        </is>
      </c>
      <c r="B17" s="81">
        <f>COUNTIF('Phase 1'!$F$5:$F$203,"Code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1'!$F$5:$F$203,"Design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1'!$F$5:$F$203,"Document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1'!$F$5:$F$203,"External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20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201 tasks · 463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3</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55</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12</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10</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8</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7</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5</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4</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3</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2</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3</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0</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v>0</v>
      </c>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v>0</v>
      </c>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v>0</v>
      </c>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v>0</v>
      </c>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v>0</v>
      </c>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v>0</v>
      </c>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v>0</v>
      </c>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5</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v>0</v>
      </c>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v>0</v>
      </c>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v>0</v>
      </c>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0</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v>0</v>
      </c>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v>0</v>
      </c>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114</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In progress</t>
        </is>
      </c>
      <c r="J47" s="108" t="n">
        <v>5</v>
      </c>
      <c r="K47" s="109" t="inlineStr">
        <is>
          <t>2026-09-18</t>
        </is>
      </c>
      <c r="L47" s="109" t="inlineStr">
        <is>
          <t>2026-09-18</t>
        </is>
      </c>
      <c r="M47" s="110" t="inlineStr">
        <is>
          <t>rcfworks</t>
        </is>
      </c>
      <c r="N47" s="85" t="n">
        <v>104</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53</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51</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23</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6</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6</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In progress</t>
        </is>
      </c>
      <c r="J53" s="108" t="n">
        <v>1</v>
      </c>
      <c r="K53" s="109" t="inlineStr">
        <is>
          <t>2026-09-18</t>
        </is>
      </c>
      <c r="L53" s="109" t="inlineStr">
        <is>
          <t>2026-09-18</t>
        </is>
      </c>
      <c r="M53" s="110" t="inlineStr">
        <is>
          <t>rcfworks</t>
        </is>
      </c>
      <c r="N53" s="85" t="n">
        <v>5</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4</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In progress</t>
        </is>
      </c>
      <c r="J55" s="108" t="n">
        <v>3</v>
      </c>
      <c r="K55" s="109" t="inlineStr">
        <is>
          <t>2026-09-18</t>
        </is>
      </c>
      <c r="L55" s="109" t="inlineStr">
        <is>
          <t>2026-09-18</t>
        </is>
      </c>
      <c r="M55" s="110" t="inlineStr">
        <is>
          <t>rcfworks</t>
        </is>
      </c>
      <c r="N55" s="85" t="n">
        <v>4</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3</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2</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v>0</v>
      </c>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v>0</v>
      </c>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v>0</v>
      </c>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v>0</v>
      </c>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v>0</v>
      </c>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v>0</v>
      </c>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v>0</v>
      </c>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v>0</v>
      </c>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v>0</v>
      </c>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v>0</v>
      </c>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v>0</v>
      </c>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Code review</t>
        </is>
      </c>
      <c r="J73" s="108" t="n">
        <v>3</v>
      </c>
      <c r="K73" s="109" t="inlineStr">
        <is>
          <t>2026-09-21</t>
        </is>
      </c>
      <c r="L73" s="109" t="n"/>
      <c r="M73" s="110" t="inlineStr">
        <is>
          <t>rcfworks</t>
        </is>
      </c>
      <c r="N73" s="85" t="n">
        <v>51</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Blocked</t>
        </is>
      </c>
      <c r="J74" s="108" t="n">
        <v>1</v>
      </c>
      <c r="K74" s="109" t="n"/>
      <c r="L74" s="109" t="n"/>
      <c r="M74" s="110" t="n"/>
      <c r="N74" s="81" t="n">
        <v>39</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Code review</t>
        </is>
      </c>
      <c r="J75" s="108" t="n">
        <v>3</v>
      </c>
      <c r="K75" s="109" t="inlineStr">
        <is>
          <t>2026-09-21</t>
        </is>
      </c>
      <c r="L75" s="109" t="n"/>
      <c r="M75" s="110" t="inlineStr">
        <is>
          <t>rcfworks</t>
        </is>
      </c>
      <c r="N75" s="85" t="n">
        <v>30</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Blocked</t>
        </is>
      </c>
      <c r="J76" s="108" t="n">
        <v>3</v>
      </c>
      <c r="K76" s="109" t="n"/>
      <c r="L76" s="109" t="n"/>
      <c r="M76" s="110" t="n"/>
      <c r="N76" s="81" t="n">
        <v>3</v>
      </c>
      <c r="O76" s="80" t="inlineStr">
        <is>
          <t>P3-BE-01</t>
        </is>
      </c>
      <c r="P76" s="80" t="inlineStr">
        <is>
          <t>Admin can approve, request changes or reject; every transition is audited and notifies the applicant</t>
        </is>
      </c>
      <c r="Q76" s="82" t="inlineStr">
        <is>
          <t>§13, §23</t>
        </is>
      </c>
      <c r="R76" s="111" t="n"/>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Code review</t>
        </is>
      </c>
      <c r="J77" s="108" t="n">
        <v>3</v>
      </c>
      <c r="K77" s="109" t="inlineStr">
        <is>
          <t>2026-09-21</t>
        </is>
      </c>
      <c r="L77" s="109" t="n"/>
      <c r="M77" s="110" t="inlineStr">
        <is>
          <t>rcfworks</t>
        </is>
      </c>
      <c r="N77" s="85" t="n">
        <v>3</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Ready</t>
        </is>
      </c>
      <c r="J78" s="108" t="n">
        <v>1</v>
      </c>
      <c r="K78" s="109" t="n"/>
      <c r="L78" s="109" t="n"/>
      <c r="M78" s="110" t="n"/>
      <c r="N78" s="81" t="n">
        <v>2</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Code review</t>
        </is>
      </c>
      <c r="J79" s="108" t="n">
        <v>3</v>
      </c>
      <c r="K79" s="109" t="inlineStr">
        <is>
          <t>2026-09-21</t>
        </is>
      </c>
      <c r="L79" s="109" t="n"/>
      <c r="M79" s="110" t="inlineStr">
        <is>
          <t>rcfworks</t>
        </is>
      </c>
      <c r="N79" s="85" t="n">
        <v>1</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Blocked</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2</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v>0</v>
      </c>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Blocked</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v>0</v>
      </c>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Blocked</t>
        </is>
      </c>
      <c r="J87" s="108" t="n">
        <v>3</v>
      </c>
      <c r="K87" s="109" t="n"/>
      <c r="L87" s="109" t="n"/>
      <c r="M87" s="110" t="n"/>
      <c r="N87" s="81" t="n">
        <v>0</v>
      </c>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Blocked</t>
        </is>
      </c>
      <c r="J88" s="108" t="n">
        <v>3</v>
      </c>
      <c r="K88" s="109" t="n"/>
      <c r="L88" s="109" t="n"/>
      <c r="M88" s="110" t="n"/>
      <c r="N88" s="85" t="n">
        <v>0</v>
      </c>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v>0</v>
      </c>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v>0</v>
      </c>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v>0</v>
      </c>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Blocked</t>
        </is>
      </c>
      <c r="J92" s="108" t="n">
        <v>1</v>
      </c>
      <c r="K92" s="109" t="n"/>
      <c r="L92" s="109" t="n"/>
      <c r="M92" s="110" t="n"/>
      <c r="N92" s="85" t="n">
        <v>0</v>
      </c>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v>0</v>
      </c>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Blocked</t>
        </is>
      </c>
      <c r="J94" s="108" t="n">
        <v>1</v>
      </c>
      <c r="K94" s="109" t="n"/>
      <c r="L94" s="109" t="n"/>
      <c r="M94" s="110" t="n"/>
      <c r="N94" s="85" t="n">
        <v>0</v>
      </c>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46</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45</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38</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35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3</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0</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v>0</v>
      </c>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v>0</v>
      </c>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v>0</v>
      </c>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v>0</v>
      </c>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v>0</v>
      </c>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v>0</v>
      </c>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v>0</v>
      </c>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v>0</v>
      </c>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29</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27</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25</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3</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v>0</v>
      </c>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v>0</v>
      </c>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v>0</v>
      </c>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v>0</v>
      </c>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v>0</v>
      </c>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v>0</v>
      </c>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v>0</v>
      </c>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v>0</v>
      </c>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v>0</v>
      </c>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v>0</v>
      </c>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14</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10</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5</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2</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v>0</v>
      </c>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v>0</v>
      </c>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v>0</v>
      </c>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v>0</v>
      </c>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v>0</v>
      </c>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v>0</v>
      </c>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v>0</v>
      </c>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v>0</v>
      </c>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v>0</v>
      </c>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11</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8</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6</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4</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v>0</v>
      </c>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v>0</v>
      </c>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v>0</v>
      </c>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v>0</v>
      </c>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v>0</v>
      </c>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v>0</v>
      </c>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v>0</v>
      </c>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v>0</v>
      </c>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v>0</v>
      </c>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v>0</v>
      </c>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v>0</v>
      </c>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v>0</v>
      </c>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v>0</v>
      </c>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8</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3</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3</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2</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v>0</v>
      </c>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v>0</v>
      </c>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v>0</v>
      </c>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v>0</v>
      </c>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v>0</v>
      </c>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v>0</v>
      </c>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v>0</v>
      </c>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v>0</v>
      </c>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v>0</v>
      </c>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v>0</v>
      </c>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v>0</v>
      </c>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0</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v>0</v>
      </c>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v>0</v>
      </c>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v>0</v>
      </c>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v>0</v>
      </c>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v>0</v>
      </c>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v>0</v>
      </c>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v>0</v>
      </c>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v>0</v>
      </c>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v>0</v>
      </c>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Code review</t>
        </is>
      </c>
      <c r="J203" s="108" t="n">
        <v>2</v>
      </c>
      <c r="K203" s="109" t="inlineStr">
        <is>
          <t>2026-09-18</t>
        </is>
      </c>
      <c r="L203" s="109" t="n"/>
      <c r="M203" s="110" t="inlineStr">
        <is>
          <t>infinex</t>
        </is>
      </c>
      <c r="N203" s="85" t="n"/>
      <c r="O203" s="84" t="n"/>
      <c r="P203" s="84" t="inlineStr">
        <is>
          <t>npm install (workspaces) clean; `docker compose up` brings Postgres/Redis/MinIO/migrate/worker healthy with both buckets created; backend tsc + Express /health and /health/ready (db/redis/storage) green; frontend next build; tests pass; `prisma generate` produces backend + frontend clients from one schema.</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sheetData>
  <autoFilter ref="A4:R203"/>
  <mergeCells count="2">
    <mergeCell ref="A2:R2"/>
    <mergeCell ref="A1:R1"/>
  </mergeCells>
  <conditionalFormatting sqref="I5:I20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03">
    <cfRule type="expression" rank="0" priority="7" equalAverage="0" aboveAverage="0" dxfId="32" text="" percent="0" bottom="0">
      <formula>$I5="Done"</formula>
    </cfRule>
  </conditionalFormatting>
  <conditionalFormatting sqref="N5:N203">
    <cfRule type="cellIs" rank="0" priority="8" equalAverage="0" operator="greaterThanOrEqual" aboveAverage="0" dxfId="33" text="" percent="0" bottom="0">
      <formula>50</formula>
    </cfRule>
  </conditionalFormatting>
  <dataValidations count="1">
    <dataValidation sqref="I5:I20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2026-09-21T10:05:17Z</dcterms:modified>
  <cp:revision>0</cp:revision>
</cp:coreProperties>
</file>