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1'!$A$4:$R$255</definedName>
    <definedName name="_xlnm._FilterDatabase" localSheetId="4" hidden="1">'Phase 2'!$A$4:$R$70</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2'!$I$5:$I$70,"Ready")</f>
        <v/>
      </c>
      <c r="C6" s="85">
        <f>COUNTIF('Phase 2'!$I$5:$I$70,"In progress")</f>
        <v/>
      </c>
      <c r="D6" s="85">
        <f>COUNTIF('Phase 2'!$I$5:$I$70,"Code review")</f>
        <v/>
      </c>
      <c r="E6" s="85">
        <f>COUNTIF('Phase 2'!$I$5:$I$70,"Blocked")</f>
        <v/>
      </c>
      <c r="F6" s="85">
        <f>COUNTIF('Phase 2'!$I$5:$I$70,"Done")</f>
        <v/>
      </c>
      <c r="G6" s="85">
        <f>COUNTA('Phase 2'!$B$5:$B$70)</f>
        <v/>
      </c>
      <c r="H6" s="85">
        <f>SUMIF('Phase 2'!$I$5:$I$70,"&lt;&gt;Done",'Phase 2'!$J$5:$J$70)</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2'!$F$5:$F$70,"Document")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2'!$F$5:$F$70,"Zoho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2'!$F$5:$F$70,"Vendor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2'!$F$5:$F$70,"Code")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2'!$F$5:$F$70,"Code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2'!$F$5:$F$70,"Design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2'!$F$5:$F$70,"Document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2'!$F$5:$F$70,"External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251 tasks · 604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Code review</t>
        </is>
      </c>
      <c r="J100" s="108" t="n">
        <v>3</v>
      </c>
      <c r="K100" s="109" t="inlineStr">
        <is>
          <t>2026-09-24</t>
        </is>
      </c>
      <c r="L100" s="109" t="n"/>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Code review</t>
        </is>
      </c>
      <c r="J131" s="108" t="n">
        <v>3</v>
      </c>
      <c r="K131" s="109" t="inlineStr">
        <is>
          <t>2026-09-24</t>
        </is>
      </c>
      <c r="L131" s="109" t="n"/>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In progress</t>
        </is>
      </c>
      <c r="J209" s="108" t="n">
        <v>1</v>
      </c>
      <c r="K209" s="109" t="inlineStr">
        <is>
          <t>2026-09-25</t>
        </is>
      </c>
      <c r="L209" s="109" t="n"/>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sheetData>
  <autoFilter ref="A4:R255"/>
  <mergeCells count="2">
    <mergeCell ref="A2:R2"/>
    <mergeCell ref="A1:R1"/>
  </mergeCells>
  <conditionalFormatting sqref="I5:I2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55">
    <cfRule type="expression" rank="0" priority="7" equalAverage="0" aboveAverage="0" dxfId="32" text="" percent="0" bottom="0">
      <formula>$I5="Done"</formula>
    </cfRule>
  </conditionalFormatting>
  <conditionalFormatting sqref="N5:N255">
    <cfRule type="cellIs" rank="0" priority="8" equalAverage="0" operator="greaterThanOrEqual" aboveAverage="0" dxfId="33" text="" percent="0" bottom="0">
      <formula>50</formula>
    </cfRule>
  </conditionalFormatting>
  <dataValidations count="1">
    <dataValidation sqref="I5:I2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7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67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In progress</t>
        </is>
      </c>
      <c r="J6" s="108" t="n">
        <v>5</v>
      </c>
      <c r="K6" s="109" t="inlineStr">
        <is>
          <t>2026-09-28</t>
        </is>
      </c>
      <c r="L6" s="109" t="n"/>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n">
        <v>0</v>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n">
        <v>0</v>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Blocked</t>
        </is>
      </c>
      <c r="J70" s="108" t="n">
        <v>1</v>
      </c>
      <c r="K70" s="109" t="n"/>
      <c r="L70" s="109" t="n"/>
      <c r="M70" s="110" t="n"/>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sheetData>
  <autoFilter ref="A4:R70"/>
  <mergeCells count="2">
    <mergeCell ref="A2:R2"/>
    <mergeCell ref="A1:R1"/>
  </mergeCells>
  <conditionalFormatting sqref="I5:I7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70">
    <cfRule type="expression" rank="0" priority="7" equalAverage="0" aboveAverage="0" dxfId="32" text="" percent="0" bottom="0">
      <formula>$I5="Done"</formula>
    </cfRule>
  </conditionalFormatting>
  <conditionalFormatting sqref="N5:N70">
    <cfRule type="cellIs" rank="0" priority="8" equalAverage="0" operator="greaterThanOrEqual" aboveAverage="0" dxfId="33" text="" percent="0" bottom="0">
      <formula>50</formula>
    </cfRule>
  </conditionalFormatting>
  <dataValidations count="1">
    <dataValidation sqref="I5:I7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2026-09-28T11:22:10Z</dcterms:modified>
  <cp:revision>0</cp:revision>
</cp:coreProperties>
</file>