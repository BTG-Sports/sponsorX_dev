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3'!$A$4:$R$53</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3'!$I$5:$I$53,"Ready")</f>
        <v/>
      </c>
      <c r="C7" s="81">
        <f>COUNTIF('Phase 3'!$I$5:$I$53,"In progress")</f>
        <v/>
      </c>
      <c r="D7" s="81">
        <f>COUNTIF('Phase 3'!$I$5:$I$53,"Code review")</f>
        <v/>
      </c>
      <c r="E7" s="81">
        <f>COUNTIF('Phase 3'!$I$5:$I$53,"Blocked")</f>
        <v/>
      </c>
      <c r="F7" s="81">
        <f>COUNTIF('Phase 3'!$I$5:$I$53,"Done")</f>
        <v/>
      </c>
      <c r="G7" s="81">
        <f>COUNTA('Phase 3'!$B$5:$B$53)</f>
        <v/>
      </c>
      <c r="H7" s="81">
        <f>SUMIF('Phase 3'!$I$5:$I$53,"&lt;&gt;Done",'Phase 3'!$J$5:$J$53)</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3'!$F$5:$F$53,"Document")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3'!$F$5:$F$53,"Zoho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3'!$F$5:$F$53,"Vendor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3'!$F$5:$F$53,"Code")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3'!$F$5:$F$53,"Code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3'!$F$5:$F$53,"Design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3'!$F$5:$F$53,"Document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3'!$F$5:$F$53,"External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Ready</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inlineStr">
        <is>
          <t>Ready — 3S0-DATA-01 Done 2026-10-12. Inputs: documentation/SponsorX-Event-Taxonomy-Audit.md §6.</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sheetData>
  <autoFilter ref="A4:R53"/>
  <mergeCells count="2">
    <mergeCell ref="A2:R2"/>
    <mergeCell ref="A1:R1"/>
  </mergeCells>
  <conditionalFormatting sqref="I5:I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3">
    <cfRule type="expression" rank="0" priority="7" equalAverage="0" aboveAverage="0" dxfId="32" text="" percent="0" bottom="0">
      <formula>$I5="Done"</formula>
    </cfRule>
  </conditionalFormatting>
  <conditionalFormatting sqref="N5:N53">
    <cfRule type="cellIs" rank="0" priority="8" equalAverage="0" operator="greaterThanOrEqual" aboveAverage="0" dxfId="33" text="" percent="0" bottom="0">
      <formula>50</formula>
    </cfRule>
  </conditionalFormatting>
  <dataValidations count="1">
    <dataValidation sqref="I5:I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2026-10-12T03:19:24Z</dcterms:modified>
  <cp:revision>0</cp:revision>
</cp:coreProperties>
</file>