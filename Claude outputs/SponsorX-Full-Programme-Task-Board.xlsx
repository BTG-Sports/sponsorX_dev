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end" sheetId="7" state="visible" r:id="rId7"/>
  </sheets>
  <definedNames>
    <definedName name="_xlnm._FilterDatabase" localSheetId="2" hidden="1">'Phase 1'!$A$4:$R$190</definedName>
    <definedName name="_xlnm._FilterDatabase" localSheetId="3" hidden="1">'Phase 2'!$A$4:$R$68</definedName>
    <definedName name="_xlnm._FilterDatabase" localSheetId="4" hidden="1">'Phase 3'!$A$4:$R$48</definedName>
    <definedName name="_xlnm._FilterDatabase" localSheetId="5" hidden="1">'Phase 4'!$A$4:$R$55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6">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s>
  <fills count="5">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1'!$I$5:$I$190,"Ready")</f>
        <v/>
      </c>
      <c r="C5" s="81">
        <f>COUNTIF('Phase 1'!$I$5:$I$190,"In progress")</f>
        <v/>
      </c>
      <c r="D5" s="81">
        <f>COUNTIF('Phase 1'!$I$5:$I$190,"Code review")</f>
        <v/>
      </c>
      <c r="E5" s="81">
        <f>COUNTIF('Phase 1'!$I$5:$I$190,"Blocked")</f>
        <v/>
      </c>
      <c r="F5" s="81">
        <f>COUNTIF('Phase 1'!$I$5:$I$190,"Done")</f>
        <v/>
      </c>
      <c r="G5" s="81">
        <f>COUNTA('Phase 1'!$B$5:$B$190)</f>
        <v/>
      </c>
      <c r="H5" s="81">
        <f>SUMIF('Phase 1'!$I$5:$I$190,"&lt;&gt;Done",'Phase 1'!$J$5:$J$190)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1'!$F$5:$F$190,"Code")</f>
        <v/>
      </c>
      <c r="C16" s="81">
        <f>COUNTIF('Phase 2'!$F$5:$F$68,"Code")</f>
        <v/>
      </c>
      <c r="D16" s="81">
        <f>COUNTIF('Phase 3'!$F$5:$F$48,"Code")</f>
        <v/>
      </c>
      <c r="E16" s="81">
        <f>COUNTIF('Phase 4'!$F$5:$F$55,"Code")</f>
        <v/>
      </c>
      <c r="F16" s="81">
        <f>SUM(B16:E16)</f>
        <v/>
      </c>
    </row>
    <row r="17" ht="15" customHeight="1" s="75">
      <c r="A17" s="99" t="inlineStr">
        <is>
          <t>Code + console</t>
        </is>
      </c>
      <c r="B17" s="81">
        <f>COUNTIF('Phase 1'!$F$5:$F$190,"Code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186 tasks · 446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Ready</t>
        </is>
      </c>
      <c r="J13" s="108" t="n">
        <v>3</v>
      </c>
      <c r="K13" s="109" t="n"/>
      <c r="L13" s="109" t="n"/>
      <c r="M13" s="110" t="n"/>
      <c r="N13" s="81" t="n">
        <v>106</v>
      </c>
      <c r="O13" s="80" t="n"/>
      <c r="P13" s="80" t="inlineStr">
        <is>
          <t>All 12 roles × every Phase 1 resource, in a table, agreed — this becomes the authz test suite</t>
        </is>
      </c>
      <c r="Q13" s="82" t="inlineStr">
        <is>
          <t>§8, §38</t>
        </is>
      </c>
      <c r="R13" s="111" t="n"/>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Ready</t>
        </is>
      </c>
      <c r="J14" s="108" t="n">
        <v>1</v>
      </c>
      <c r="K14" s="109" t="n"/>
      <c r="L14" s="109" t="n"/>
      <c r="M14" s="110" t="n"/>
      <c r="N14" s="85" t="n">
        <v>55</v>
      </c>
      <c r="O14" s="84" t="n"/>
      <c r="P14" s="84" t="inlineStr">
        <is>
          <t>Both instances exist; MFA available for privileged roles</t>
        </is>
      </c>
      <c r="Q14" s="86" t="inlineStr">
        <is>
          <t>Addendum A4, §26</t>
        </is>
      </c>
      <c r="R14" s="111" t="n"/>
    </row>
    <row r="15" ht="43.25" customHeight="1" s="75">
      <c r="A15" s="104" t="n">
        <v>4</v>
      </c>
      <c r="B15" s="105" t="inlineStr">
        <is>
          <t>P0-LEG-01</t>
        </is>
      </c>
      <c r="C15" s="81" t="n">
        <v>0</v>
      </c>
      <c r="D15" s="82" t="inlineStr">
        <is>
          <t>Foundation &amp; Decisions</t>
        </is>
      </c>
      <c r="E15" s="125" t="inlineStr">
        <is>
          <t>LEG</t>
        </is>
      </c>
      <c r="F15" s="126" t="inlineStr">
        <is>
          <t>External · counsel</t>
        </is>
      </c>
      <c r="G15" s="80" t="inlineStr">
        <is>
          <t>Commission Content Collaboration Agreement from counsel</t>
        </is>
      </c>
      <c r="H15" s="107"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I15" s="108" t="inlineStr">
        <is>
          <t>Ready</t>
        </is>
      </c>
      <c r="J15" s="108" t="n">
        <v>3</v>
      </c>
      <c r="K15" s="109" t="n"/>
      <c r="L15" s="109" t="n"/>
      <c r="M15" s="110" t="n"/>
      <c r="N15" s="81" t="n">
        <v>32</v>
      </c>
      <c r="O15" s="80" t="n"/>
      <c r="P15" s="80" t="inlineStr">
        <is>
          <t>Template delivered, versioned, approved for production use</t>
        </is>
      </c>
      <c r="Q15" s="82" t="inlineStr">
        <is>
          <t>§12, §26</t>
        </is>
      </c>
      <c r="R15" s="111" t="n"/>
    </row>
    <row r="16" ht="43.25" customHeight="1" s="75">
      <c r="A16" s="112" t="n">
        <v>5</v>
      </c>
      <c r="B16" s="113" t="inlineStr">
        <is>
          <t>P0-LEG-03</t>
        </is>
      </c>
      <c r="C16" s="85" t="n">
        <v>0</v>
      </c>
      <c r="D16" s="86" t="inlineStr">
        <is>
          <t>Foundation &amp; Decisions</t>
        </is>
      </c>
      <c r="E16" s="127" t="inlineStr">
        <is>
          <t>LEG</t>
        </is>
      </c>
      <c r="F16" s="128" t="inlineStr">
        <is>
          <t>External · counsel</t>
        </is>
      </c>
      <c r="G16" s="84" t="inlineStr">
        <is>
          <t>Resolve guardian authorisation method for minors (G-03)</t>
        </is>
      </c>
      <c r="H16" s="116"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I16" s="108" t="inlineStr">
        <is>
          <t>Blocked</t>
        </is>
      </c>
      <c r="J16" s="108" t="n">
        <v>1</v>
      </c>
      <c r="K16" s="109" t="n"/>
      <c r="L16" s="109" t="n"/>
      <c r="M16" s="110" t="n"/>
      <c r="N16" s="85" t="n">
        <v>31</v>
      </c>
      <c r="O16" s="84" t="inlineStr">
        <is>
          <t>P0-LEG-01</t>
        </is>
      </c>
      <c r="P16" s="84" t="inlineStr">
        <is>
          <t>Written answer: click-wrap sufficient, or an e-sign vendor named</t>
        </is>
      </c>
      <c r="Q16" s="86" t="inlineStr">
        <is>
          <t>Addendum A5, §4</t>
        </is>
      </c>
      <c r="R16" s="111" t="n"/>
    </row>
    <row r="17" ht="43.25" customHeight="1" s="75">
      <c r="A17" s="104" t="n">
        <v>6</v>
      </c>
      <c r="B17" s="105" t="inlineStr">
        <is>
          <t>P0-LEG-02</t>
        </is>
      </c>
      <c r="C17" s="81" t="n">
        <v>0</v>
      </c>
      <c r="D17" s="82" t="inlineStr">
        <is>
          <t>Foundation &amp; Decisions</t>
        </is>
      </c>
      <c r="E17" s="125" t="inlineStr">
        <is>
          <t>LEG</t>
        </is>
      </c>
      <c r="F17" s="126" t="inlineStr">
        <is>
          <t>External · counsel</t>
        </is>
      </c>
      <c r="G17" s="80" t="inlineStr">
        <is>
          <t>Commission Campaign Order template from counsel</t>
        </is>
      </c>
      <c r="H17" s="107"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I17" s="108" t="inlineStr">
        <is>
          <t>Ready</t>
        </is>
      </c>
      <c r="J17" s="108" t="n">
        <v>3</v>
      </c>
      <c r="K17" s="109" t="n"/>
      <c r="L17" s="109" t="n"/>
      <c r="M17" s="110" t="n"/>
      <c r="N17" s="81" t="n">
        <v>30</v>
      </c>
      <c r="O17" s="80" t="n"/>
      <c r="P17" s="80" t="inlineStr">
        <is>
          <t>Template delivered with clause set for job code, deliverables, compensation, usage rights, exclusivity, deadlines, disclosure</t>
        </is>
      </c>
      <c r="Q17" s="82" t="inlineStr">
        <is>
          <t>§12</t>
        </is>
      </c>
      <c r="R17" s="111" t="n"/>
    </row>
    <row r="18" ht="35.05" customHeight="1" s="75">
      <c r="A18" s="112" t="n">
        <v>7</v>
      </c>
      <c r="B18" s="113" t="inlineStr">
        <is>
          <t>P0-DATA-01</t>
        </is>
      </c>
      <c r="C18" s="85" t="n">
        <v>0</v>
      </c>
      <c r="D18" s="86" t="inlineStr">
        <is>
          <t>Foundation &amp; Decisions</t>
        </is>
      </c>
      <c r="E18" s="129" t="inlineStr">
        <is>
          <t>DATA</t>
        </is>
      </c>
      <c r="F18" s="130" t="inlineStr">
        <is>
          <t>Document</t>
        </is>
      </c>
      <c r="G18" s="84" t="inlineStr">
        <is>
          <t>Define the metric provenance taxonomy</t>
        </is>
      </c>
      <c r="H18" s="116" t="inlineStr">
        <is>
          <t>Agree the five honesty labels for numbers: verified by API, verified by a human checking, self-reported by the athlete, estimated, or attributed. Write the rule for when each applies.</t>
        </is>
      </c>
      <c r="I18" s="108" t="inlineStr">
        <is>
          <t>Ready</t>
        </is>
      </c>
      <c r="J18" s="108" t="n">
        <v>1</v>
      </c>
      <c r="K18" s="109" t="n"/>
      <c r="L18" s="109" t="n"/>
      <c r="M18" s="110" t="n"/>
      <c r="N18" s="85" t="n">
        <v>12</v>
      </c>
      <c r="O18" s="84" t="n"/>
      <c r="P18" s="84" t="inlineStr">
        <is>
          <t>The five labels (verified-API / verified-manual / self-reported / estimated / attributed) defined with a written rule for when each applies</t>
        </is>
      </c>
      <c r="Q18" s="86" t="inlineStr">
        <is>
          <t>§22, §26</t>
        </is>
      </c>
      <c r="R18" s="111" t="n"/>
    </row>
    <row r="19" ht="32.8" customHeight="1" s="75">
      <c r="A19" s="104" t="n">
        <v>8</v>
      </c>
      <c r="B19" s="105" t="inlineStr">
        <is>
          <t>P0-PMO-08</t>
        </is>
      </c>
      <c r="C19" s="81" t="n">
        <v>0</v>
      </c>
      <c r="D19" s="82" t="inlineStr">
        <is>
          <t>Foundation &amp; Decisions</t>
        </is>
      </c>
      <c r="E19" s="104" t="inlineStr">
        <is>
          <t>PMO</t>
        </is>
      </c>
      <c r="F19" s="106" t="inlineStr">
        <is>
          <t>Document</t>
        </is>
      </c>
      <c r="G19" s="80" t="inlineStr">
        <is>
          <t>Author the Zoho module + field mapping document (§38 deliverable)</t>
        </is>
      </c>
      <c r="H19" s="107" t="inlineStr">
        <is>
          <t>Map every SponsorX record to its Zoho equivalent, field by field, and say which system wins when they disagree. Without this, the two systems quietly drift apart.</t>
        </is>
      </c>
      <c r="I19" s="108" t="inlineStr">
        <is>
          <t>Ready</t>
        </is>
      </c>
      <c r="J19" s="108" t="n">
        <v>3</v>
      </c>
      <c r="K19" s="109" t="n"/>
      <c r="L19" s="109" t="n"/>
      <c r="M19" s="110" t="n"/>
      <c r="N19" s="81" t="n">
        <v>10</v>
      </c>
      <c r="O19" s="80" t="n"/>
      <c r="P19" s="80" t="inlineStr">
        <is>
          <t>Every object in §18 mapped field-by-field, with direction and system-of-record owner per field</t>
        </is>
      </c>
      <c r="Q19" s="82" t="inlineStr">
        <is>
          <t>§18, §38</t>
        </is>
      </c>
      <c r="R19" s="111" t="n"/>
    </row>
    <row r="20" ht="32.8" customHeight="1" s="75">
      <c r="A20" s="112" t="n">
        <v>9</v>
      </c>
      <c r="B20" s="113" t="inlineStr">
        <is>
          <t>P0-OPS-02</t>
        </is>
      </c>
      <c r="C20" s="85" t="n">
        <v>0</v>
      </c>
      <c r="D20" s="86" t="inlineStr">
        <is>
          <t>Foundation &amp; Decisions</t>
        </is>
      </c>
      <c r="E20" s="123" t="inlineStr">
        <is>
          <t>OPS</t>
        </is>
      </c>
      <c r="F20" s="124" t="inlineStr">
        <is>
          <t>Vendor console</t>
        </is>
      </c>
      <c r="G20" s="84" t="inlineStr">
        <is>
          <t>Create Cloudflare R2 account and two buckets</t>
        </is>
      </c>
      <c r="H20" s="116" t="inlineStr">
        <is>
          <t>Set up Cloudflare R2 with two buckets: one private for contracts and draft creative, one public for published video. Different security rules — they must not share a policy.</t>
        </is>
      </c>
      <c r="I20" s="108" t="inlineStr">
        <is>
          <t>Ready</t>
        </is>
      </c>
      <c r="J20" s="108" t="n">
        <v>1</v>
      </c>
      <c r="K20" s="109" t="n"/>
      <c r="L20" s="109" t="n"/>
      <c r="M20" s="110" t="n"/>
      <c r="N20" s="85" t="n">
        <v>8</v>
      </c>
      <c r="O20" s="84" t="inlineStr">
        <is>
          <t>P0-PMO-02</t>
        </is>
      </c>
      <c r="P20" s="84" t="inlineStr">
        <is>
          <t>Private and public buckets exist with separate policies; region set explicitly</t>
        </is>
      </c>
      <c r="Q20" s="86" t="inlineStr">
        <is>
          <t>Addendum A8</t>
        </is>
      </c>
      <c r="R20" s="111" t="n"/>
    </row>
    <row r="21" ht="43.25" customHeight="1" s="75">
      <c r="A21" s="104" t="n">
        <v>10</v>
      </c>
      <c r="B21" s="105" t="inlineStr">
        <is>
          <t>P0-PMO-01</t>
        </is>
      </c>
      <c r="C21" s="81" t="n">
        <v>0</v>
      </c>
      <c r="D21" s="82" t="inlineStr">
        <is>
          <t>Foundation &amp; Decisions</t>
        </is>
      </c>
      <c r="E21" s="104" t="inlineStr">
        <is>
          <t>PMO</t>
        </is>
      </c>
      <c r="F21" s="106" t="inlineStr">
        <is>
          <t>Document</t>
        </is>
      </c>
      <c r="G21" s="80" t="inlineStr">
        <is>
          <t>Write the Phase 1 payment policy (G-01)</t>
        </is>
      </c>
      <c r="H21"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21" s="108" t="inlineStr">
        <is>
          <t>Ready</t>
        </is>
      </c>
      <c r="J21" s="108" t="n">
        <v>1</v>
      </c>
      <c r="K21" s="109" t="n"/>
      <c r="L21" s="109" t="n"/>
      <c r="M21" s="110" t="n"/>
      <c r="N21" s="81" t="n">
        <v>7</v>
      </c>
      <c r="O21" s="80" t="n"/>
      <c r="P21" s="80" t="inlineStr">
        <is>
          <t>One page, signed by whoever runs payouts, stating earnings-status-only and no tax ID collection</t>
        </is>
      </c>
      <c r="Q21" s="82" t="inlineStr">
        <is>
          <t>§37, Addendum A6</t>
        </is>
      </c>
      <c r="R21" s="111" t="n"/>
    </row>
    <row r="22" ht="35.05" customHeight="1" s="75">
      <c r="A22" s="112" t="n">
        <v>11</v>
      </c>
      <c r="B22" s="113" t="inlineStr">
        <is>
          <t>P0-LEG-04</t>
        </is>
      </c>
      <c r="C22" s="85" t="n">
        <v>0</v>
      </c>
      <c r="D22" s="86" t="inlineStr">
        <is>
          <t>Foundation &amp; Decisions</t>
        </is>
      </c>
      <c r="E22" s="127" t="inlineStr">
        <is>
          <t>LEG</t>
        </is>
      </c>
      <c r="F22" s="128" t="inlineStr">
        <is>
          <t>External · counsel</t>
        </is>
      </c>
      <c r="G22" s="84" t="inlineStr">
        <is>
          <t>Privacy review of the fan reward funnel</t>
        </is>
      </c>
      <c r="H22" s="116" t="inlineStr">
        <is>
          <t>Have counsel approve the consent wording fans see when they scan a QR code and hand over their details. This is the most legally sensitive flow in the product, often at youth sports events.</t>
        </is>
      </c>
      <c r="I22" s="108" t="inlineStr">
        <is>
          <t>Ready</t>
        </is>
      </c>
      <c r="J22" s="108" t="n">
        <v>3</v>
      </c>
      <c r="K22" s="109" t="n"/>
      <c r="L22" s="109" t="n"/>
      <c r="M22" s="110" t="n"/>
      <c r="N22" s="85" t="n">
        <v>5</v>
      </c>
      <c r="O22" s="84" t="n"/>
      <c r="P22" s="84" t="inlineStr">
        <is>
          <t>Consent language approved for scan→claim→redeem; purpose limitation defined; what sponsors receive is specified</t>
        </is>
      </c>
      <c r="Q22" s="86" t="inlineStr">
        <is>
          <t>§16, §26</t>
        </is>
      </c>
      <c r="R22" s="111" t="n"/>
    </row>
    <row r="23" ht="32.8" customHeight="1" s="75">
      <c r="A23" s="104" t="n">
        <v>12</v>
      </c>
      <c r="B23" s="105" t="inlineStr">
        <is>
          <t>P0-PMO-11</t>
        </is>
      </c>
      <c r="C23" s="81" t="n">
        <v>0</v>
      </c>
      <c r="D23" s="82" t="inlineStr">
        <is>
          <t>Foundation &amp; Decisions</t>
        </is>
      </c>
      <c r="E23" s="104" t="inlineStr">
        <is>
          <t>PMO</t>
        </is>
      </c>
      <c r="F23" s="120" t="inlineStr">
        <is>
          <t>Code</t>
        </is>
      </c>
      <c r="G23" s="80" t="inlineStr">
        <is>
          <t>Re-verify and pin all dependency versions</t>
        </is>
      </c>
      <c r="H23" s="107" t="inlineStr">
        <is>
          <t>Check every library version against the registry and pin it exactly. A minor version bump breaking the build on a Tuesday is a cost a two-person team cannot absorb.</t>
        </is>
      </c>
      <c r="I23" s="108" t="inlineStr">
        <is>
          <t>Ready</t>
        </is>
      </c>
      <c r="J23" s="108" t="n">
        <v>1</v>
      </c>
      <c r="K23" s="109" t="n"/>
      <c r="L23" s="109" t="n"/>
      <c r="M23" s="110" t="n"/>
      <c r="N23" s="81" t="n">
        <v>5</v>
      </c>
      <c r="O23" s="80" t="n"/>
      <c r="P23" s="80" t="inlineStr">
        <is>
          <t>Every package in Guide §01 re-checked against the registry and pinned exactly, no carets</t>
        </is>
      </c>
      <c r="Q23" s="82" t="inlineStr">
        <is>
          <t>Guide §01</t>
        </is>
      </c>
      <c r="R23" s="111" t="n"/>
    </row>
    <row r="24" ht="43.25" customHeight="1" s="75">
      <c r="A24" s="112" t="n">
        <v>13</v>
      </c>
      <c r="B24" s="113" t="inlineStr">
        <is>
          <t>P0-PMO-03</t>
        </is>
      </c>
      <c r="C24" s="85" t="n">
        <v>0</v>
      </c>
      <c r="D24" s="86" t="inlineStr">
        <is>
          <t>Foundation &amp; Decisions</t>
        </is>
      </c>
      <c r="E24" s="112" t="inlineStr">
        <is>
          <t>PMO</t>
        </is>
      </c>
      <c r="F24" s="130" t="inlineStr">
        <is>
          <t>Document</t>
        </is>
      </c>
      <c r="G24" s="84" t="inlineStr">
        <is>
          <t>Select transactional email provider (G-04)</t>
        </is>
      </c>
      <c r="H24" s="116" t="inlineStr">
        <is>
          <t>DECISION GATE G-04 · Transactional email provider — Resend, Postmark or SES?  —  Choose who sends your emails — Resend, Postmark or SES. The whole campaign loop is email, so this is not optional, but it is a small decision.</t>
        </is>
      </c>
      <c r="I24" s="108" t="inlineStr">
        <is>
          <t>Ready</t>
        </is>
      </c>
      <c r="J24" s="108" t="n">
        <v>1</v>
      </c>
      <c r="K24" s="109" t="n"/>
      <c r="L24" s="109" t="n"/>
      <c r="M24" s="110" t="n"/>
      <c r="N24" s="85" t="n">
        <v>4</v>
      </c>
      <c r="O24" s="84" t="n"/>
      <c r="P24" s="84" t="inlineStr">
        <is>
          <t>Vendor chosen; single send-interface abstraction agreed so it stays reversible</t>
        </is>
      </c>
      <c r="Q24" s="86" t="inlineStr">
        <is>
          <t>Addendum A1</t>
        </is>
      </c>
      <c r="R24" s="111" t="n"/>
    </row>
    <row r="25" ht="43.25" customHeight="1" s="75">
      <c r="A25" s="104" t="n">
        <v>14</v>
      </c>
      <c r="B25" s="105" t="inlineStr">
        <is>
          <t>P0-PMO-05</t>
        </is>
      </c>
      <c r="C25" s="81" t="n">
        <v>0</v>
      </c>
      <c r="D25" s="82" t="inlineStr">
        <is>
          <t>Foundation &amp; Decisions</t>
        </is>
      </c>
      <c r="E25" s="104" t="inlineStr">
        <is>
          <t>PMO</t>
        </is>
      </c>
      <c r="F25" s="106" t="inlineStr">
        <is>
          <t>Document</t>
        </is>
      </c>
      <c r="G25" s="80" t="inlineStr">
        <is>
          <t>Confirm the sponsor report deliverable format (G-07)</t>
        </is>
      </c>
      <c r="H25"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5" s="108" t="inlineStr">
        <is>
          <t>Ready</t>
        </is>
      </c>
      <c r="J25" s="108" t="n">
        <v>1</v>
      </c>
      <c r="K25" s="109" t="n"/>
      <c r="L25" s="109" t="n"/>
      <c r="M25" s="110" t="n"/>
      <c r="N25" s="81" t="n">
        <v>3</v>
      </c>
      <c r="O25" s="80" t="n"/>
      <c r="P25" s="80" t="inlineStr">
        <is>
          <t>Written answer on whether a rendered PDF is required or screen 12 suffices</t>
        </is>
      </c>
      <c r="Q25" s="82" t="inlineStr">
        <is>
          <t>Addendum A10</t>
        </is>
      </c>
      <c r="R25" s="111" t="n"/>
    </row>
    <row r="26" ht="32.8" customHeight="1" s="75">
      <c r="A26" s="112" t="n">
        <v>15</v>
      </c>
      <c r="B26" s="113" t="inlineStr">
        <is>
          <t>P0-PMO-09</t>
        </is>
      </c>
      <c r="C26" s="85" t="n">
        <v>0</v>
      </c>
      <c r="D26" s="86" t="inlineStr">
        <is>
          <t>Foundation &amp; Decisions</t>
        </is>
      </c>
      <c r="E26" s="112" t="inlineStr">
        <is>
          <t>PMO</t>
        </is>
      </c>
      <c r="F26" s="130" t="inlineStr">
        <is>
          <t>Document</t>
        </is>
      </c>
      <c r="G26" s="84" t="inlineStr">
        <is>
          <t>Confirm the SX-01…SX-07 job catalogue economics</t>
        </is>
      </c>
      <c r="H26" s="116" t="inlineStr">
        <is>
          <t>Have the business confirm the seven job types (SX-01 to SX-07) and their pay/price bands. These numbers get loaded into the database as the rate card.</t>
        </is>
      </c>
      <c r="I26" s="108" t="inlineStr">
        <is>
          <t>Ready</t>
        </is>
      </c>
      <c r="J26" s="108" t="n">
        <v>1</v>
      </c>
      <c r="K26" s="109" t="n"/>
      <c r="L26" s="109" t="n"/>
      <c r="M26" s="110" t="n"/>
      <c r="N26" s="85" t="n">
        <v>3</v>
      </c>
      <c r="O26" s="84" t="n"/>
      <c r="P26" s="84" t="inlineStr">
        <is>
          <t>Base pay and sell price bands confirmed by the business; these seed NilJob</t>
        </is>
      </c>
      <c r="Q26" s="86" t="inlineStr">
        <is>
          <t>§5</t>
        </is>
      </c>
      <c r="R26" s="111" t="n"/>
    </row>
    <row r="27" ht="23.85" customHeight="1" s="75">
      <c r="A27" s="104" t="n">
        <v>16</v>
      </c>
      <c r="B27" s="105" t="inlineStr">
        <is>
          <t>P0-PMO-10</t>
        </is>
      </c>
      <c r="C27" s="81" t="n">
        <v>0</v>
      </c>
      <c r="D27" s="82" t="inlineStr">
        <is>
          <t>Foundation &amp; Decisions</t>
        </is>
      </c>
      <c r="E27" s="104" t="inlineStr">
        <is>
          <t>PMO</t>
        </is>
      </c>
      <c r="F27" s="106" t="inlineStr">
        <is>
          <t>Document</t>
        </is>
      </c>
      <c r="G27" s="80" t="inlineStr">
        <is>
          <t>Confirm the six sponsor packages and their inventory</t>
        </is>
      </c>
      <c r="H27" s="107" t="inlineStr">
        <is>
          <t>Confirm the six sponsor packages — Test Drive through Season Partner — with prices, athlete counts and what is included in each.</t>
        </is>
      </c>
      <c r="I27" s="108" t="inlineStr">
        <is>
          <t>Ready</t>
        </is>
      </c>
      <c r="J27" s="108" t="n">
        <v>1</v>
      </c>
      <c r="K27" s="109" t="n"/>
      <c r="L27" s="109" t="n"/>
      <c r="M27" s="110" t="n"/>
      <c r="N27" s="81" t="n">
        <v>2</v>
      </c>
      <c r="O27" s="80" t="n"/>
      <c r="P27" s="80" t="inlineStr">
        <is>
          <t>Name, price band, athlete count and inventory JSON confirmed per package</t>
        </is>
      </c>
      <c r="Q27" s="82" t="inlineStr">
        <is>
          <t>§7</t>
        </is>
      </c>
      <c r="R27" s="111" t="n"/>
    </row>
    <row r="28" ht="23.85" customHeight="1" s="75">
      <c r="A28" s="112" t="n">
        <v>17</v>
      </c>
      <c r="B28" s="113" t="inlineStr">
        <is>
          <t>P0-DATA-03</t>
        </is>
      </c>
      <c r="C28" s="85" t="n">
        <v>0</v>
      </c>
      <c r="D28" s="86" t="inlineStr">
        <is>
          <t>Foundation &amp; Decisions</t>
        </is>
      </c>
      <c r="E28" s="129" t="inlineStr">
        <is>
          <t>DATA</t>
        </is>
      </c>
      <c r="F28" s="130" t="inlineStr">
        <is>
          <t>Document</t>
        </is>
      </c>
      <c r="G28" s="84" t="inlineStr">
        <is>
          <t>Define Content Value Score v1 factors and weights</t>
        </is>
      </c>
      <c r="H28" s="116" t="inlineStr">
        <is>
          <t>Agree the seven things that make up an athlete's score and how much each counts. Phase 1 is rules-based and manual; the algorithm comes much later.</t>
        </is>
      </c>
      <c r="I28" s="108" t="inlineStr">
        <is>
          <t>Ready</t>
        </is>
      </c>
      <c r="J28" s="108" t="n">
        <v>1</v>
      </c>
      <c r="K28" s="109" t="n"/>
      <c r="L28" s="109" t="n"/>
      <c r="M28" s="110" t="n"/>
      <c r="N28" s="85" t="n">
        <v>1</v>
      </c>
      <c r="O28" s="84" t="n"/>
      <c r="P28" s="84" t="inlineStr">
        <is>
          <t>The seven §14 factors, their weights, and the manual inputs each depends on</t>
        </is>
      </c>
      <c r="Q28" s="86" t="inlineStr">
        <is>
          <t>§14</t>
        </is>
      </c>
      <c r="R28" s="111" t="n"/>
    </row>
    <row r="29" ht="23.85" customHeight="1" s="75">
      <c r="A29" s="104" t="n">
        <v>18</v>
      </c>
      <c r="B29" s="105" t="inlineStr">
        <is>
          <t>P0-LEG-06</t>
        </is>
      </c>
      <c r="C29" s="81" t="n">
        <v>0</v>
      </c>
      <c r="D29" s="82" t="inlineStr">
        <is>
          <t>Foundation &amp; Decisions</t>
        </is>
      </c>
      <c r="E29" s="125" t="inlineStr">
        <is>
          <t>LEG</t>
        </is>
      </c>
      <c r="F29" s="126" t="inlineStr">
        <is>
          <t>External · counsel</t>
        </is>
      </c>
      <c r="G29" s="80" t="inlineStr">
        <is>
          <t>NIL eligibility + athletic-association review for high-school athletes</t>
        </is>
      </c>
      <c r="H29" s="107" t="inlineStr">
        <is>
          <t>Find out what state NIL law and high-school athletic associations actually forbid, so the product can enforce it rather than discovering it later.</t>
        </is>
      </c>
      <c r="I29" s="108" t="inlineStr">
        <is>
          <t>Ready</t>
        </is>
      </c>
      <c r="J29" s="108" t="n">
        <v>3</v>
      </c>
      <c r="K29" s="109" t="n"/>
      <c r="L29" s="109" t="n"/>
      <c r="M29" s="110" t="n"/>
      <c r="N29" s="81" t="n">
        <v>1</v>
      </c>
      <c r="O29" s="80" t="n"/>
      <c r="P29" s="80" t="inlineStr">
        <is>
          <t>Written constraints list the product must enforce</t>
        </is>
      </c>
      <c r="Q29" s="82" t="inlineStr">
        <is>
          <t>§26, §4</t>
        </is>
      </c>
      <c r="R29" s="111" t="n"/>
    </row>
    <row r="30" ht="23.85" customHeight="1" s="75">
      <c r="A30" s="112" t="n">
        <v>19</v>
      </c>
      <c r="B30" s="113" t="inlineStr">
        <is>
          <t>P0-ART-01</t>
        </is>
      </c>
      <c r="C30" s="85" t="n">
        <v>0</v>
      </c>
      <c r="D30" s="86" t="inlineStr">
        <is>
          <t>Foundation &amp; Decisions</t>
        </is>
      </c>
      <c r="E30" s="114" t="inlineStr">
        <is>
          <t>ART</t>
        </is>
      </c>
      <c r="F30" s="115" t="inlineStr">
        <is>
          <t>Design tool</t>
        </is>
      </c>
      <c r="G30" s="84" t="inlineStr">
        <is>
          <t>Produce the ERD as a distributable diagram (§38 deliverable)</t>
        </is>
      </c>
      <c r="H30" s="116" t="inlineStr">
        <is>
          <t>Draw the database diagram so a developer can see the whole data model on one page. Needs the RBAC matrix first so the relationships are right.</t>
        </is>
      </c>
      <c r="I30" s="108" t="inlineStr">
        <is>
          <t>Blocked</t>
        </is>
      </c>
      <c r="J30" s="108" t="n">
        <v>3</v>
      </c>
      <c r="K30" s="109" t="n"/>
      <c r="L30" s="109" t="n"/>
      <c r="M30" s="110" t="n"/>
      <c r="N30" s="85" t="n">
        <v>0</v>
      </c>
      <c r="O30" s="84" t="inlineStr">
        <is>
          <t>P0-PMO-07</t>
        </is>
      </c>
      <c r="P30" s="84" t="inlineStr">
        <is>
          <t>All Phase 1 tables from §20 with relationships, readable at print size</t>
        </is>
      </c>
      <c r="Q30" s="86" t="inlineStr">
        <is>
          <t>§20, §38</t>
        </is>
      </c>
      <c r="R30" s="111" t="n"/>
    </row>
    <row r="31" ht="32.8" customHeight="1" s="75">
      <c r="A31" s="104" t="n">
        <v>20</v>
      </c>
      <c r="B31" s="105" t="inlineStr">
        <is>
          <t>P0-ART-02</t>
        </is>
      </c>
      <c r="C31" s="81" t="n">
        <v>0</v>
      </c>
      <c r="D31" s="82" t="inlineStr">
        <is>
          <t>Foundation &amp; Decisions</t>
        </is>
      </c>
      <c r="E31" s="117" t="inlineStr">
        <is>
          <t>ART</t>
        </is>
      </c>
      <c r="F31" s="118" t="inlineStr">
        <is>
          <t>Design tool</t>
        </is>
      </c>
      <c r="G31" s="80" t="inlineStr">
        <is>
          <t>Produce the state-machine diagrams (§38 deliverable)</t>
        </is>
      </c>
      <c r="H31" s="107" t="inlineStr">
        <is>
          <t>Draw the eight lifecycle diagrams — how an application, an invitation, a campaign order, a deliverable etc. move between states. Developers build directly from these.</t>
        </is>
      </c>
      <c r="I31" s="108" t="inlineStr">
        <is>
          <t>Ready</t>
        </is>
      </c>
      <c r="J31" s="108" t="n">
        <v>3</v>
      </c>
      <c r="K31" s="109" t="n"/>
      <c r="L31" s="109" t="n"/>
      <c r="M31" s="110" t="n"/>
      <c r="N31" s="81" t="n">
        <v>0</v>
      </c>
      <c r="O31" s="80" t="n"/>
      <c r="P31" s="80" t="inlineStr">
        <is>
          <t>All eight §21 state machines drawn; athlete onboarding and Campaign Order are the two §38 names explicitly</t>
        </is>
      </c>
      <c r="Q31" s="82" t="inlineStr">
        <is>
          <t>§21, §38</t>
        </is>
      </c>
      <c r="R31" s="111" t="n"/>
    </row>
    <row r="32" ht="23.85" customHeight="1" s="75">
      <c r="A32" s="112" t="n">
        <v>21</v>
      </c>
      <c r="B32" s="113" t="inlineStr">
        <is>
          <t>P0-DATA-02</t>
        </is>
      </c>
      <c r="C32" s="85" t="n">
        <v>0</v>
      </c>
      <c r="D32" s="86" t="inlineStr">
        <is>
          <t>Foundation &amp; Decisions</t>
        </is>
      </c>
      <c r="E32" s="129" t="inlineStr">
        <is>
          <t>DATA</t>
        </is>
      </c>
      <c r="F32" s="130" t="inlineStr">
        <is>
          <t>Document</t>
        </is>
      </c>
      <c r="G32" s="84" t="inlineStr">
        <is>
          <t>Define the reward event taxonomy (§38 deliverable)</t>
        </is>
      </c>
      <c r="H32" s="116" t="inlineStr">
        <is>
          <t>Define exactly what counts as a scan, a landing, a claim and a redemption. If these are fuzzy, the whole reward funnel measures nothing.</t>
        </is>
      </c>
      <c r="I32" s="108" t="inlineStr">
        <is>
          <t>Blocked</t>
        </is>
      </c>
      <c r="J32" s="108" t="n">
        <v>1</v>
      </c>
      <c r="K32" s="109" t="n"/>
      <c r="L32" s="109" t="n"/>
      <c r="M32" s="110" t="n"/>
      <c r="N32" s="85" t="n">
        <v>0</v>
      </c>
      <c r="O32" s="84" t="inlineStr">
        <is>
          <t>P0-LEG-04</t>
        </is>
      </c>
      <c r="P32" s="84" t="inlineStr">
        <is>
          <t>SCAN / LANDING / CLAIM / REDEEM defined with the exact trigger for each</t>
        </is>
      </c>
      <c r="Q32" s="86" t="inlineStr">
        <is>
          <t>§16, §38</t>
        </is>
      </c>
      <c r="R32" s="111" t="n"/>
    </row>
    <row r="33" ht="23.85" customHeight="1" s="75">
      <c r="A33" s="104" t="n">
        <v>22</v>
      </c>
      <c r="B33" s="105" t="inlineStr">
        <is>
          <t>P0-LEG-05</t>
        </is>
      </c>
      <c r="C33" s="81" t="n">
        <v>0</v>
      </c>
      <c r="D33" s="82" t="inlineStr">
        <is>
          <t>Foundation &amp; Decisions</t>
        </is>
      </c>
      <c r="E33" s="125" t="inlineStr">
        <is>
          <t>LEG</t>
        </is>
      </c>
      <c r="F33" s="126" t="inlineStr">
        <is>
          <t>External · counsel</t>
        </is>
      </c>
      <c r="G33" s="80" t="inlineStr">
        <is>
          <t>Reward terms review (sweepstakes / coupon legality)</t>
        </is>
      </c>
      <c r="H33" s="107" t="inlineStr">
        <is>
          <t>Check which reward types are legal in your states — coupons are easy, sweepstakes are heavily regulated.</t>
        </is>
      </c>
      <c r="I33" s="108" t="inlineStr">
        <is>
          <t>Ready</t>
        </is>
      </c>
      <c r="J33" s="108" t="n">
        <v>1</v>
      </c>
      <c r="K33" s="109" t="n"/>
      <c r="L33" s="109" t="n"/>
      <c r="M33" s="110" t="n"/>
      <c r="N33" s="81" t="n">
        <v>0</v>
      </c>
      <c r="O33" s="80" t="n"/>
      <c r="P33" s="80" t="inlineStr">
        <is>
          <t>Written confirmation of which reward types are permitted in target states</t>
        </is>
      </c>
      <c r="Q33" s="82" t="inlineStr">
        <is>
          <t>§16</t>
        </is>
      </c>
      <c r="R33" s="111" t="n"/>
    </row>
    <row r="34" ht="23.85" customHeight="1" s="75">
      <c r="A34" s="112" t="n">
        <v>23</v>
      </c>
      <c r="B34" s="113" t="inlineStr">
        <is>
          <t>P0-OPS-04</t>
        </is>
      </c>
      <c r="C34" s="85" t="n">
        <v>0</v>
      </c>
      <c r="D34" s="86" t="inlineStr">
        <is>
          <t>Foundation &amp; Decisions</t>
        </is>
      </c>
      <c r="E34" s="123" t="inlineStr">
        <is>
          <t>OPS</t>
        </is>
      </c>
      <c r="F34" s="131" t="inlineStr">
        <is>
          <t>Zoho dashboard</t>
        </is>
      </c>
      <c r="G34" s="84" t="inlineStr">
        <is>
          <t>Provision Zoho API credentials and sandbox</t>
        </is>
      </c>
      <c r="H34" s="116" t="inlineStr">
        <is>
          <t>Get Zoho API credentials and a sandbox org, so sync can be built without touching real sales data.</t>
        </is>
      </c>
      <c r="I34" s="108" t="inlineStr">
        <is>
          <t>Ready</t>
        </is>
      </c>
      <c r="J34" s="108" t="n">
        <v>1</v>
      </c>
      <c r="K34" s="109" t="n"/>
      <c r="L34" s="109" t="n"/>
      <c r="M34" s="110" t="n"/>
      <c r="N34" s="85" t="n">
        <v>0</v>
      </c>
      <c r="O34" s="84" t="n"/>
      <c r="P34" s="84" t="inlineStr">
        <is>
          <t>Client ID, secret and refresh token issued; a sandbox or test org available for sync development</t>
        </is>
      </c>
      <c r="Q34" s="86" t="inlineStr">
        <is>
          <t>§18</t>
        </is>
      </c>
      <c r="R34" s="111" t="n"/>
    </row>
    <row r="35" ht="85.05" customHeight="1" s="75">
      <c r="A35" s="104" t="n">
        <v>24</v>
      </c>
      <c r="B35" s="105" t="inlineStr">
        <is>
          <t>P0-OPS-05</t>
        </is>
      </c>
      <c r="C35" s="81" t="n">
        <v>0</v>
      </c>
      <c r="D35" s="82" t="inlineStr">
        <is>
          <t>Foundation &amp; Decisions</t>
        </is>
      </c>
      <c r="E35" s="132" t="inlineStr">
        <is>
          <t>OPS</t>
        </is>
      </c>
      <c r="F35" s="133" t="inlineStr">
        <is>
          <t>Zoho dashboard</t>
        </is>
      </c>
      <c r="G35" s="80" t="inlineStr">
        <is>
          <t>Create the Athlete / Content Partner custom module in Zoho</t>
        </is>
      </c>
      <c r="H35"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5" s="108" t="inlineStr">
        <is>
          <t>Blocked</t>
        </is>
      </c>
      <c r="J35" s="108" t="n">
        <v>3</v>
      </c>
      <c r="K35" s="109" t="n"/>
      <c r="L35" s="109" t="n"/>
      <c r="M35" s="110" t="n"/>
      <c r="N35" s="81" t="n">
        <v>0</v>
      </c>
      <c r="O35" s="80" t="inlineStr">
        <is>
          <t>P0-PMO-08</t>
        </is>
      </c>
      <c r="P35" s="80" t="inlineStr">
        <is>
          <t>The Athlete / Content Partner custom module exists in Zoho with every field the mapping document specifies, and its API name is recorded for the sync code to use</t>
        </is>
      </c>
      <c r="Q35" s="82" t="inlineStr">
        <is>
          <t>§18, §38</t>
        </is>
      </c>
      <c r="R35" s="111" t="n"/>
    </row>
    <row r="36" ht="32.8" customHeight="1" s="75">
      <c r="A36" s="112" t="n">
        <v>25</v>
      </c>
      <c r="B36" s="113" t="inlineStr">
        <is>
          <t>P0-PMO-04</t>
        </is>
      </c>
      <c r="C36" s="85" t="n">
        <v>0</v>
      </c>
      <c r="D36" s="86" t="inlineStr">
        <is>
          <t>Foundation &amp; Decisions</t>
        </is>
      </c>
      <c r="E36" s="112" t="inlineStr">
        <is>
          <t>PMO</t>
        </is>
      </c>
      <c r="F36" s="130" t="inlineStr">
        <is>
          <t>Document</t>
        </is>
      </c>
      <c r="G36" s="84" t="inlineStr">
        <is>
          <t>Decide SMS in/out for Phase 1 (G-06)</t>
        </is>
      </c>
      <c r="H36" s="116" t="inlineStr">
        <is>
          <t>DECISION GATE G-06 · SMS in Phase 1 — in or out? Default is out.  —  Decide whether text messages are in Phase 1. Default is no — it adds a vendor for little gain right now.</t>
        </is>
      </c>
      <c r="I36" s="108" t="inlineStr">
        <is>
          <t>Ready</t>
        </is>
      </c>
      <c r="J36" s="108" t="n">
        <v>1</v>
      </c>
      <c r="K36" s="109" t="n"/>
      <c r="L36" s="109" t="n"/>
      <c r="M36" s="110" t="n"/>
      <c r="N36" s="85" t="n">
        <v>0</v>
      </c>
      <c r="O36" s="84" t="n"/>
      <c r="P36" s="84" t="inlineStr">
        <is>
          <t>Written decision; if out, no TWILIO_* appears in any environment</t>
        </is>
      </c>
      <c r="Q36" s="86" t="inlineStr">
        <is>
          <t>Addendum A1</t>
        </is>
      </c>
      <c r="R36" s="111" t="n"/>
    </row>
    <row r="37" ht="35.05" customHeight="1" s="75">
      <c r="A37" s="104" t="n">
        <v>26</v>
      </c>
      <c r="B37" s="105" t="inlineStr">
        <is>
          <t>P0-PMO-06</t>
        </is>
      </c>
      <c r="C37" s="81" t="n">
        <v>0</v>
      </c>
      <c r="D37" s="82" t="inlineStr">
        <is>
          <t>Foundation &amp; Decisions</t>
        </is>
      </c>
      <c r="E37" s="104" t="inlineStr">
        <is>
          <t>PMO</t>
        </is>
      </c>
      <c r="F37" s="106" t="inlineStr">
        <is>
          <t>Document</t>
        </is>
      </c>
      <c r="G37" s="80" t="inlineStr">
        <is>
          <t>Confirm the PDF worker has a real requirement</t>
        </is>
      </c>
      <c r="H37" s="107" t="inlineStr">
        <is>
          <t>PDF generation appears nowhere in the 39-section blueprint, yet it shaped the entire hosting decision. Confirm somebody actually needs it before it shapes anything else.</t>
        </is>
      </c>
      <c r="I37" s="108" t="inlineStr">
        <is>
          <t>Blocked</t>
        </is>
      </c>
      <c r="J37" s="108" t="n">
        <v>1</v>
      </c>
      <c r="K37" s="109" t="n"/>
      <c r="L37" s="109" t="n"/>
      <c r="M37" s="110" t="n"/>
      <c r="N37" s="81" t="n">
        <v>0</v>
      </c>
      <c r="O37" s="80" t="inlineStr">
        <is>
          <t>P0-PMO-05</t>
        </is>
      </c>
      <c r="P37" s="80" t="inlineStr">
        <is>
          <t>Either a stated requirement or a decision to drop it — it shaped the hosting architecture and appears in none of the 39 sections</t>
        </is>
      </c>
      <c r="Q37" s="82" t="inlineStr">
        <is>
          <t>Addendum A10</t>
        </is>
      </c>
      <c r="R37" s="111" t="n"/>
    </row>
    <row r="38" ht="35.05" customHeight="1" s="75">
      <c r="A38" s="112" t="n">
        <v>27</v>
      </c>
      <c r="B38" s="113" t="inlineStr">
        <is>
          <t>P0-PMO-12</t>
        </is>
      </c>
      <c r="C38" s="85" t="n">
        <v>0</v>
      </c>
      <c r="D38" s="86" t="inlineStr">
        <is>
          <t>Foundation &amp; Decisions</t>
        </is>
      </c>
      <c r="E38" s="112" t="inlineStr">
        <is>
          <t>PMO</t>
        </is>
      </c>
      <c r="F38" s="130" t="inlineStr">
        <is>
          <t>Document</t>
        </is>
      </c>
      <c r="G38" s="84" t="inlineStr">
        <is>
          <t>Reconcile the stale baseline memory snapshot</t>
        </is>
      </c>
      <c r="H38" s="116" t="inlineStr">
        <is>
          <t>The baseline notes in the repo still describe an older stack (Express, Redis, MinIO). Correct them or mark them superseded so nobody builds from the wrong page.</t>
        </is>
      </c>
      <c r="I38" s="108" t="inlineStr">
        <is>
          <t>Ready</t>
        </is>
      </c>
      <c r="J38" s="108" t="n">
        <v>1</v>
      </c>
      <c r="K38" s="109" t="n"/>
      <c r="L38" s="109" t="n"/>
      <c r="M38" s="110" t="n"/>
      <c r="N38" s="85" t="n">
        <v>0</v>
      </c>
      <c r="O38" s="84" t="n"/>
      <c r="P38" s="84" t="inlineStr">
        <is>
          <t>Initial Memory/02-confirmed-tech-stack.md either corrected to the Railway stack or explicitly marked superseded</t>
        </is>
      </c>
      <c r="Q38" s="86" t="inlineStr">
        <is>
          <t>Memory 04</t>
        </is>
      </c>
      <c r="R38" s="111" t="n"/>
    </row>
    <row r="39" ht="46.25" customHeight="1" s="75">
      <c r="A39" s="104" t="n">
        <v>28</v>
      </c>
      <c r="B39" s="105" t="inlineStr">
        <is>
          <t>P1-FE-04</t>
        </is>
      </c>
      <c r="C39" s="81" t="n">
        <v>1</v>
      </c>
      <c r="D39" s="82" t="inlineStr">
        <is>
          <t>UI Scaffold on Fixtures</t>
        </is>
      </c>
      <c r="E39" s="119" t="inlineStr">
        <is>
          <t>FE</t>
        </is>
      </c>
      <c r="F39" s="120" t="inlineStr">
        <is>
          <t>Code</t>
        </is>
      </c>
      <c r="G39" s="80" t="inlineStr">
        <is>
          <t>Extend fixtures to cover every edge state</t>
        </is>
      </c>
      <c r="H39" s="107" t="inlineStr">
        <is>
          <t>The mock data currently shows happy paths. Add the awkward cases — a minor without a verified guardian, an expired invite, a campaign under-delivering — so the screens are designed for reality.</t>
        </is>
      </c>
      <c r="I39" s="108" t="inlineStr">
        <is>
          <t>Code review</t>
        </is>
      </c>
      <c r="J39" s="108" t="n">
        <v>1</v>
      </c>
      <c r="K39" s="109" t="inlineStr">
        <is>
          <t>2026-09-11</t>
        </is>
      </c>
      <c r="L39" s="109" t="n"/>
      <c r="M39" s="110" t="inlineStr">
        <is>
          <t>HeckerCreatives</t>
        </is>
      </c>
      <c r="N39" s="81" t="n">
        <v>5</v>
      </c>
      <c r="O39" s="80" t="n"/>
      <c r="P39" s="80" t="inlineStr">
        <is>
          <t>A minor athlete with unverified guardian, an expired invite, an under-delivering campaign, a held earning, a declined order and a rejected application are all representable and rendered</t>
        </is>
      </c>
      <c r="Q39" s="82" t="inlineStr">
        <is>
          <t>Roadmap A3</t>
        </is>
      </c>
      <c r="R39" s="111" t="inlineStr">
        <is>
          <t>Six edge cases shipped on branch P1-FE-QA-PMO (spec+plan in docs/superpowers). 11-URL prod smoke matrix all pass. Awaiting review; Date Done on merge.</t>
        </is>
      </c>
    </row>
    <row r="40" ht="23.85" customHeight="1" s="75">
      <c r="A40" s="112" t="n">
        <v>29</v>
      </c>
      <c r="B40" s="113" t="inlineStr">
        <is>
          <t>P1-ART-04</t>
        </is>
      </c>
      <c r="C40" s="85" t="n">
        <v>1</v>
      </c>
      <c r="D40" s="86" t="inlineStr">
        <is>
          <t>UI Scaffold on Fixtures</t>
        </is>
      </c>
      <c r="E40" s="114" t="inlineStr">
        <is>
          <t>ART</t>
        </is>
      </c>
      <c r="F40" s="115" t="inlineStr">
        <is>
          <t>Design tool</t>
        </is>
      </c>
      <c r="G40" s="84" t="inlineStr">
        <is>
          <t>Design the sponsor ROI report layout for print/PDF</t>
        </is>
      </c>
      <c r="H40" s="116" t="inlineStr">
        <is>
          <t>Design the sponsor's results report at print width, so it survives being turned into a PDF rather than looking broken.</t>
        </is>
      </c>
      <c r="I40" s="108" t="inlineStr">
        <is>
          <t>Blocked</t>
        </is>
      </c>
      <c r="J40" s="108" t="n">
        <v>3</v>
      </c>
      <c r="K40" s="109" t="n"/>
      <c r="L40" s="109" t="n"/>
      <c r="M40" s="110" t="n"/>
      <c r="N40" s="85" t="n">
        <v>0</v>
      </c>
      <c r="O40" s="84" t="inlineStr">
        <is>
          <t>P0-PMO-05</t>
        </is>
      </c>
      <c r="P40" s="84" t="inlineStr">
        <is>
          <t>A print-width layout exists for screen 12 that survives PDF rendering — feeds P7-BE-05</t>
        </is>
      </c>
      <c r="Q40" s="86" t="inlineStr">
        <is>
          <t>§9 screen 12</t>
        </is>
      </c>
      <c r="R40" s="111" t="n"/>
    </row>
    <row r="41" ht="23.85" customHeight="1" s="75">
      <c r="A41" s="104" t="n">
        <v>30</v>
      </c>
      <c r="B41" s="105" t="inlineStr">
        <is>
          <t>P1-ART-05</t>
        </is>
      </c>
      <c r="C41" s="81" t="n">
        <v>1</v>
      </c>
      <c r="D41" s="82" t="inlineStr">
        <is>
          <t>UI Scaffold on Fixtures</t>
        </is>
      </c>
      <c r="E41" s="117" t="inlineStr">
        <is>
          <t>ART</t>
        </is>
      </c>
      <c r="F41" s="118" t="inlineStr">
        <is>
          <t>Design tool</t>
        </is>
      </c>
      <c r="G41" s="80" t="inlineStr">
        <is>
          <t>Design the QR / reward fan-facing landing treatment</t>
        </is>
      </c>
      <c r="H41" s="107" t="inlineStr">
        <is>
          <t>Design what a fan sees after scanning: the offer, the consent text, and the 'already used' and 'expired' states.</t>
        </is>
      </c>
      <c r="I41" s="108" t="inlineStr">
        <is>
          <t>Blocked</t>
        </is>
      </c>
      <c r="J41" s="108" t="n">
        <v>1</v>
      </c>
      <c r="K41" s="109" t="n"/>
      <c r="L41" s="109" t="n"/>
      <c r="M41" s="110" t="n"/>
      <c r="N41" s="81" t="n">
        <v>0</v>
      </c>
      <c r="O41" s="80" t="inlineStr">
        <is>
          <t>P0-LEG-04</t>
        </is>
      </c>
      <c r="P41" s="80" t="inlineStr">
        <is>
          <t>Consent language placed, offer presentation designed, single-use and expired states designed</t>
        </is>
      </c>
      <c r="Q41" s="82" t="inlineStr">
        <is>
          <t>§16</t>
        </is>
      </c>
      <c r="R41" s="111" t="n"/>
    </row>
    <row r="42" ht="23.85" customHeight="1" s="75">
      <c r="A42" s="112" t="n">
        <v>31</v>
      </c>
      <c r="B42" s="113" t="inlineStr">
        <is>
          <t>P1-ART-06</t>
        </is>
      </c>
      <c r="C42" s="85" t="n">
        <v>1</v>
      </c>
      <c r="D42" s="86" t="inlineStr">
        <is>
          <t>UI Scaffold on Fixtures</t>
        </is>
      </c>
      <c r="E42" s="114" t="inlineStr">
        <is>
          <t>ART</t>
        </is>
      </c>
      <c r="F42" s="115" t="inlineStr">
        <is>
          <t>Design tool</t>
        </is>
      </c>
      <c r="G42" s="84" t="inlineStr">
        <is>
          <t>Produce the marketing site visual assets</t>
        </is>
      </c>
      <c r="H42" s="116" t="inlineStr">
        <is>
          <t>Produce the imagery for the public marketing site — hero, case-study slots, package presentation.</t>
        </is>
      </c>
      <c r="I42" s="108" t="inlineStr">
        <is>
          <t>Ready</t>
        </is>
      </c>
      <c r="J42" s="108" t="n">
        <v>3</v>
      </c>
      <c r="K42" s="109" t="n"/>
      <c r="L42" s="109" t="n"/>
      <c r="M42" s="110" t="n"/>
      <c r="N42" s="85" t="n">
        <v>0</v>
      </c>
      <c r="O42" s="84" t="n"/>
      <c r="P42" s="84" t="inlineStr">
        <is>
          <t>Hero, proof/case-study slots and package presentation art ready for the public homepage</t>
        </is>
      </c>
      <c r="Q42" s="86" t="inlineStr">
        <is>
          <t>§9 screen 1</t>
        </is>
      </c>
      <c r="R42" s="111" t="n"/>
    </row>
    <row r="43" ht="23.85" customHeight="1" s="75">
      <c r="A43" s="104" t="n">
        <v>32</v>
      </c>
      <c r="B43" s="105" t="inlineStr">
        <is>
          <t>P1-ART-07</t>
        </is>
      </c>
      <c r="C43" s="81" t="n">
        <v>1</v>
      </c>
      <c r="D43" s="82" t="inlineStr">
        <is>
          <t>UI Scaffold on Fixtures</t>
        </is>
      </c>
      <c r="E43" s="117" t="inlineStr">
        <is>
          <t>ART</t>
        </is>
      </c>
      <c r="F43" s="118" t="inlineStr">
        <is>
          <t>Design tool</t>
        </is>
      </c>
      <c r="G43" s="80" t="inlineStr">
        <is>
          <t>Design the athlete onboarding flow visuals (§11 ten sections)</t>
        </is>
      </c>
      <c r="H43" s="107" t="inlineStr">
        <is>
          <t>Design the athlete sign-up as a progressive flow across its ten sections, including the branch where a parent has to be involved.</t>
        </is>
      </c>
      <c r="I43" s="108" t="inlineStr">
        <is>
          <t>Ready</t>
        </is>
      </c>
      <c r="J43" s="108" t="n">
        <v>3</v>
      </c>
      <c r="K43" s="109" t="n"/>
      <c r="L43" s="109" t="n"/>
      <c r="M43" s="110" t="n"/>
      <c r="N43" s="81" t="n">
        <v>0</v>
      </c>
      <c r="O43" s="80" t="n"/>
      <c r="P43" s="80" t="inlineStr">
        <is>
          <t>All ten §11 sections designed as a progressive flow, including the guardian branch</t>
        </is>
      </c>
      <c r="Q43" s="82" t="inlineStr">
        <is>
          <t>§11</t>
        </is>
      </c>
      <c r="R43" s="111" t="n"/>
    </row>
    <row r="44" ht="35.05" customHeight="1" s="75">
      <c r="A44" s="112" t="n">
        <v>33</v>
      </c>
      <c r="B44" s="113" t="inlineStr">
        <is>
          <t>P1-FE-05</t>
        </is>
      </c>
      <c r="C44" s="85" t="n">
        <v>1</v>
      </c>
      <c r="D44" s="86" t="inlineStr">
        <is>
          <t>UI Scaffold on Fixtures</t>
        </is>
      </c>
      <c r="E44" s="121" t="inlineStr">
        <is>
          <t>FE</t>
        </is>
      </c>
      <c r="F44" s="122" t="inlineStr">
        <is>
          <t>Code</t>
        </is>
      </c>
      <c r="G44" s="84" t="inlineStr">
        <is>
          <t>Field-level authz audit of every fixture-backed screen</t>
        </is>
      </c>
      <c r="H44" s="116" t="inlineStr">
        <is>
          <t>Walk every screen and confirm no sponsor can see what an athlete is paid, and no athlete can see a campaign budget. This is the leak that matters most in this product.</t>
        </is>
      </c>
      <c r="I44" s="108" t="inlineStr">
        <is>
          <t>Code review</t>
        </is>
      </c>
      <c r="J44" s="108" t="n">
        <v>1</v>
      </c>
      <c r="K44" s="109" t="inlineStr">
        <is>
          <t>2026-09-12</t>
        </is>
      </c>
      <c r="L44" s="109" t="n"/>
      <c r="M44" s="110" t="inlineStr">
        <is>
          <t>HeckerCreatives</t>
        </is>
      </c>
      <c r="N44" s="85" t="n">
        <v>0</v>
      </c>
      <c r="O44" s="84" t="inlineStr">
        <is>
          <t>P1-FE-04</t>
        </is>
      </c>
      <c r="P44" s="84" t="inlineStr">
        <is>
          <t>No sponsor-facing screen renders AthleteRate.amount; no athlete-facing screen renders Campaign.budget — verified route by route</t>
        </is>
      </c>
      <c r="Q44" s="86" t="inlineStr">
        <is>
          <t>§26, Guide §04</t>
        </is>
      </c>
      <c r="R44" s="111" t="inlineStr">
        <is>
          <t>Audit complete, zero leaks, no code changes. Record: docs/superpowers/audits/2026-09-12-p1-fe-05-field-authz-audit.md. Started ahead of P1-FE-04 review gate (dependency complete on branch).</t>
        </is>
      </c>
    </row>
    <row r="45" ht="23.85" customHeight="1" s="75">
      <c r="A45" s="112" t="n">
        <v>33.5</v>
      </c>
      <c r="B45" s="113" t="inlineStr">
        <is>
          <t>P1-FE-06</t>
        </is>
      </c>
      <c r="C45" s="85" t="n">
        <v>1</v>
      </c>
      <c r="D45" s="86" t="inlineStr">
        <is>
          <t>UI Scaffold on Fixtures</t>
        </is>
      </c>
      <c r="E45" s="121" t="inlineStr">
        <is>
          <t>FE</t>
        </is>
      </c>
      <c r="F45" s="122" t="inlineStr">
        <is>
          <t>Code</t>
        </is>
      </c>
      <c r="G45" s="84" t="inlineStr">
        <is>
          <t>Chart entrance + idle motion across all portal dashboards</t>
        </is>
      </c>
      <c r="H45" s="116" t="inlineStr">
        <is>
          <t>Give every graph a first-view entrance animation and a quiet idle loop so the dashboards feel alive - draw-on lines, sweeping gauges and donuts, staggered bars - without changing what any chart says.</t>
        </is>
      </c>
      <c r="I45" s="108" t="inlineStr">
        <is>
          <t>Code review</t>
        </is>
      </c>
      <c r="J45" s="108" t="n">
        <v>1</v>
      </c>
      <c r="K45" s="109" t="inlineStr">
        <is>
          <t>2026-09-12</t>
        </is>
      </c>
      <c r="L45" s="109" t="n"/>
      <c r="M45" s="110" t="inlineStr">
        <is>
          <t>HeckerCreatives</t>
        </is>
      </c>
      <c r="N45" s="85" t="n">
        <v>0</v>
      </c>
      <c r="O45" s="84" t="inlineStr">
        <is>
          <t>P1-FE-04</t>
        </is>
      </c>
      <c r="P45"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5" s="86" t="inlineStr">
        <is>
          <t>Chart motion pass 2026-09-12; dataviz motion rules</t>
        </is>
      </c>
      <c r="R45"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Iteration 3: compact funnel glyph replaced with labeled stage rows (user-selected from 4 mockups) - stage name + ramp bar + exact value per row, final stage accent; sponsor card caption de-duplicated to '23% convert - median 26h'. Iteration 4: sponsor engagements sparkline replaced with new BarStrip primitive (user-selected from 4 mockups) - column per day, latest bar accent + idle breathe; other sparkline sites (earnings trends) keep the line.</t>
        </is>
      </c>
    </row>
    <row r="46" ht="23.85" customHeight="1" s="75">
      <c r="A46" s="104" t="n">
        <v>34</v>
      </c>
      <c r="B46" s="105" t="inlineStr">
        <is>
          <t>P1-PMO-01</t>
        </is>
      </c>
      <c r="C46" s="81" t="n">
        <v>1</v>
      </c>
      <c r="D46" s="82" t="inlineStr">
        <is>
          <t>UI Scaffold on Fixtures</t>
        </is>
      </c>
      <c r="E46" s="104" t="inlineStr">
        <is>
          <t>PMO</t>
        </is>
      </c>
      <c r="F46" s="106" t="inlineStr">
        <is>
          <t>Document</t>
        </is>
      </c>
      <c r="G46" s="80" t="inlineStr">
        <is>
          <t>Produce wireframes/design records for all 12 core screens (§38)</t>
        </is>
      </c>
      <c r="H46" s="107" t="inlineStr">
        <is>
          <t>Capture the built screens as the formal design record. A contractual deliverable, and cheap to do now that the screens exist.</t>
        </is>
      </c>
      <c r="I46" s="108" t="inlineStr">
        <is>
          <t>Code review</t>
        </is>
      </c>
      <c r="J46" s="108" t="n">
        <v>3</v>
      </c>
      <c r="K46" s="109" t="inlineStr">
        <is>
          <t>2026-09-12</t>
        </is>
      </c>
      <c r="L46" s="109" t="n"/>
      <c r="M46" s="110" t="inlineStr">
        <is>
          <t>HeckerCreatives</t>
        </is>
      </c>
      <c r="N46" s="81" t="n">
        <v>0</v>
      </c>
      <c r="O46" s="80" t="inlineStr">
        <is>
          <t>P1-FE-04</t>
        </is>
      </c>
      <c r="P46" s="80" t="inlineStr">
        <is>
          <t>The §38 deliverable exists — current built screens captured as the design record</t>
        </is>
      </c>
      <c r="Q46" s="82" t="inlineStr">
        <is>
          <t>§38</t>
        </is>
      </c>
      <c r="R46" s="111" t="inlineStr">
        <is>
          <t>documentation/SponsorX-Design-Record.md + design-record/*.png (12 captures) + design-record/SponsorX-Wireframes.html (schematic wireframes, all 12 screens).</t>
        </is>
      </c>
    </row>
    <row r="47" ht="23.85" customHeight="1" s="75">
      <c r="A47" s="112" t="n">
        <v>35</v>
      </c>
      <c r="B47" s="113" t="inlineStr">
        <is>
          <t>P1-QA-01</t>
        </is>
      </c>
      <c r="C47" s="85" t="n">
        <v>1</v>
      </c>
      <c r="D47" s="86" t="inlineStr">
        <is>
          <t>UI Scaffold on Fixtures</t>
        </is>
      </c>
      <c r="E47" s="134" t="inlineStr">
        <is>
          <t>QA</t>
        </is>
      </c>
      <c r="F47" s="122" t="inlineStr">
        <is>
          <t>Code</t>
        </is>
      </c>
      <c r="G47" s="84" t="inlineStr">
        <is>
          <t>Walk the full §39 loop on fixtures and log every gap</t>
        </is>
      </c>
      <c r="H47" s="116" t="inlineStr">
        <is>
          <t>Click through the entire business loop on mock data and write down every place it breaks or dead-ends.</t>
        </is>
      </c>
      <c r="I47" s="108" t="inlineStr">
        <is>
          <t>Code review</t>
        </is>
      </c>
      <c r="J47" s="108" t="n">
        <v>1</v>
      </c>
      <c r="K47" s="109" t="inlineStr">
        <is>
          <t>2026-09-12</t>
        </is>
      </c>
      <c r="L47" s="109" t="n"/>
      <c r="M47" s="110" t="inlineStr">
        <is>
          <t>HeckerCreatives</t>
        </is>
      </c>
      <c r="N47" s="85" t="n">
        <v>0</v>
      </c>
      <c r="O47" s="84" t="inlineStr">
        <is>
          <t>P1-FE-04</t>
        </is>
      </c>
      <c r="P47" s="84" t="inlineStr">
        <is>
          <t>A written pass/fail list for all 11 loop steps; every gap is either fixed or filed as a task</t>
        </is>
      </c>
      <c r="Q47" s="86" t="inlineStr">
        <is>
          <t>§39</t>
        </is>
      </c>
      <c r="R47" s="111" t="inlineStr">
        <is>
          <t>QA checklist (Word): documentation/SponsorX-Stage1-QA-Checklist.docx. Formal QA report: documentation/SponsorX-Stage1-QA-Report.md (23/23 cases pass, defect log D-01..D-11). 11/11 loop steps pass; 3 silent unwired CTAs annotated. Record: docs/superpowers/audits/2026-09-12-p1-qa-01-loop-walk.md</t>
        </is>
      </c>
    </row>
    <row r="48" ht="23.85" customHeight="1" s="75">
      <c r="A48" s="104" t="n">
        <v>36</v>
      </c>
      <c r="B48" s="105" t="inlineStr">
        <is>
          <t>P1-QA-02</t>
        </is>
      </c>
      <c r="C48" s="81" t="n">
        <v>1</v>
      </c>
      <c r="D48" s="82" t="inlineStr">
        <is>
          <t>UI Scaffold on Fixtures</t>
        </is>
      </c>
      <c r="E48" s="135" t="inlineStr">
        <is>
          <t>QA</t>
        </is>
      </c>
      <c r="F48" s="120" t="inlineStr">
        <is>
          <t>Code</t>
        </is>
      </c>
      <c r="G48" s="80" t="inlineStr">
        <is>
          <t>Accessibility audit of all routes</t>
        </is>
      </c>
      <c r="H48" s="107" t="inlineStr">
        <is>
          <t>Check colour contrast, keyboard navigation, and that the fan redeem page works with JavaScript switched off.</t>
        </is>
      </c>
      <c r="I48" s="108" t="inlineStr">
        <is>
          <t>Code review</t>
        </is>
      </c>
      <c r="J48" s="108" t="n">
        <v>3</v>
      </c>
      <c r="K48" s="109" t="inlineStr">
        <is>
          <t>2026-09-12</t>
        </is>
      </c>
      <c r="L48" s="109" t="n"/>
      <c r="M48" s="110" t="inlineStr">
        <is>
          <t>HeckerCreatives</t>
        </is>
      </c>
      <c r="N48" s="81" t="n">
        <v>0</v>
      </c>
      <c r="O48" s="80" t="inlineStr">
        <is>
          <t>P1-FE-04</t>
        </is>
      </c>
      <c r="P48" s="80" t="inlineStr">
        <is>
          <t>Contrast AA in both themes; keyboard navigation complete; redeem page passes without JS</t>
        </is>
      </c>
      <c r="Q48" s="82" t="inlineStr">
        <is>
          <t>§16</t>
        </is>
      </c>
      <c r="R48"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t>
        </is>
      </c>
    </row>
    <row r="49" ht="35.05" customHeight="1" s="75">
      <c r="A49" s="112" t="n">
        <v>37</v>
      </c>
      <c r="B49" s="113" t="inlineStr">
        <is>
          <t>P1-QA-03</t>
        </is>
      </c>
      <c r="C49" s="85" t="n">
        <v>1</v>
      </c>
      <c r="D49" s="86" t="inlineStr">
        <is>
          <t>UI Scaffold on Fixtures</t>
        </is>
      </c>
      <c r="E49" s="134" t="inlineStr">
        <is>
          <t>QA</t>
        </is>
      </c>
      <c r="F49" s="122" t="inlineStr">
        <is>
          <t>Code</t>
        </is>
      </c>
      <c r="G49" s="84" t="inlineStr">
        <is>
          <t>Responsive audit — phone, tablet, desktop</t>
        </is>
      </c>
      <c r="H49" s="116" t="inlineStr">
        <is>
          <t>Check every screen on a phone. The athlete portal and redeem page are phone-first in real use.</t>
        </is>
      </c>
      <c r="I49" s="108" t="inlineStr">
        <is>
          <t>Code review</t>
        </is>
      </c>
      <c r="J49" s="108" t="n">
        <v>1</v>
      </c>
      <c r="K49" s="109" t="inlineStr">
        <is>
          <t>2026-09-12</t>
        </is>
      </c>
      <c r="L49" s="109" t="n"/>
      <c r="M49" s="110" t="inlineStr">
        <is>
          <t>HeckerCreatives</t>
        </is>
      </c>
      <c r="N49" s="85" t="n">
        <v>0</v>
      </c>
      <c r="O49" s="84" t="inlineStr">
        <is>
          <t>P1-FE-04</t>
        </is>
      </c>
      <c r="P49" s="84" t="inlineStr">
        <is>
          <t>No horizontal scroll at 360px; portal navigation usable on phone</t>
        </is>
      </c>
      <c r="Q49" s="86" t="inlineStr">
        <is>
          <t>§9</t>
        </is>
      </c>
      <c r="R49"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t>
        </is>
      </c>
    </row>
    <row r="50" ht="46.25" customHeight="1" s="75">
      <c r="A50" s="104" t="n">
        <v>38</v>
      </c>
      <c r="B50" s="105" t="inlineStr">
        <is>
          <t>P2-OPS-01</t>
        </is>
      </c>
      <c r="C50" s="81" t="n">
        <v>2</v>
      </c>
      <c r="D50" s="82" t="inlineStr">
        <is>
          <t>Platform Foundations</t>
        </is>
      </c>
      <c r="E50" s="132" t="inlineStr">
        <is>
          <t>OPS</t>
        </is>
      </c>
      <c r="F50" s="136" t="inlineStr">
        <is>
          <t>Vendor console</t>
        </is>
      </c>
      <c r="G50" s="80" t="inlineStr">
        <is>
          <t>Create the Railway project with three services</t>
        </is>
      </c>
      <c r="H50" s="107" t="inlineStr">
        <is>
          <t>Create three services in one Railway project — the web app, the background worker, and Postgres — talking privately to each other with the database never exposed to the internet.</t>
        </is>
      </c>
      <c r="I50" s="108" t="inlineStr">
        <is>
          <t>Blocked</t>
        </is>
      </c>
      <c r="J50" s="108" t="n">
        <v>3</v>
      </c>
      <c r="K50" s="109" t="n"/>
      <c r="L50" s="109" t="n"/>
      <c r="M50" s="110" t="n"/>
      <c r="N50" s="81" t="n">
        <v>114</v>
      </c>
      <c r="O50" s="80" t="inlineStr">
        <is>
          <t>P0-OPS-01</t>
        </is>
      </c>
      <c r="P50" s="80" t="inlineStr">
        <is>
          <t>web, worker and postgres exist in one project; web and worker reach Postgres over the internal hostname; the database has no public exposure</t>
        </is>
      </c>
      <c r="Q50" s="82" t="inlineStr">
        <is>
          <t>Guide §10</t>
        </is>
      </c>
      <c r="R50" s="111" t="n"/>
    </row>
    <row r="51" ht="35.05" customHeight="1" s="75">
      <c r="A51" s="112" t="n">
        <v>39</v>
      </c>
      <c r="B51" s="113" t="inlineStr">
        <is>
          <t>P2-BE-02</t>
        </is>
      </c>
      <c r="C51" s="85" t="n">
        <v>2</v>
      </c>
      <c r="D51" s="86" t="inlineStr">
        <is>
          <t>Platform Foundations</t>
        </is>
      </c>
      <c r="E51" s="137" t="inlineStr">
        <is>
          <t>BE</t>
        </is>
      </c>
      <c r="F51" s="122" t="inlineStr">
        <is>
          <t>Code</t>
        </is>
      </c>
      <c r="G51" s="84" t="inlineStr">
        <is>
          <t>Author the full Prisma schema + initial migration</t>
        </is>
      </c>
      <c r="H51" s="116" t="inlineStr">
        <is>
          <t>Write the entire database structure in one go: every table, every lifecycle state, a tenant marker on everything. The single largest task in the project and almost everything depends on it.</t>
        </is>
      </c>
      <c r="I51" s="108" t="inlineStr">
        <is>
          <t>Blocked</t>
        </is>
      </c>
      <c r="J51" s="108" t="n">
        <v>5</v>
      </c>
      <c r="K51" s="109" t="n"/>
      <c r="L51" s="109" t="n"/>
      <c r="M51" s="110" t="n"/>
      <c r="N51" s="85" t="n">
        <v>104</v>
      </c>
      <c r="O51" s="84" t="inlineStr">
        <is>
          <t>P2-OPS-01, P0-PMO-07</t>
        </is>
      </c>
      <c r="P51" s="84" t="inlineStr">
        <is>
          <t>Every §20 table modelled; tenantId on everything; all eight §21 state machines as enums; external IDs + lastSyncOrigin + lastSyncHash on every Zoho-touched model</t>
        </is>
      </c>
      <c r="Q51" s="86" t="inlineStr">
        <is>
          <t>§20, §21, Guide §03</t>
        </is>
      </c>
      <c r="R51" s="111" t="n"/>
    </row>
    <row r="52" ht="35.05" customHeight="1" s="75">
      <c r="A52" s="104" t="n">
        <v>40</v>
      </c>
      <c r="B52" s="105" t="inlineStr">
        <is>
          <t>P2-INT-01</t>
        </is>
      </c>
      <c r="C52" s="81" t="n">
        <v>2</v>
      </c>
      <c r="D52" s="82" t="inlineStr">
        <is>
          <t>Platform Foundations</t>
        </is>
      </c>
      <c r="E52" s="138" t="inlineStr">
        <is>
          <t>INT</t>
        </is>
      </c>
      <c r="F52" s="136" t="inlineStr">
        <is>
          <t>Code + console</t>
        </is>
      </c>
      <c r="G52" s="80" t="inlineStr">
        <is>
          <t>Replace mock-auth with Clerk</t>
        </is>
      </c>
      <c r="H52" s="107" t="inlineStr">
        <is>
          <t>Swap the fake sign-in for real Clerk authentication. Clerk proves who you are; your own database decides what you can do.</t>
        </is>
      </c>
      <c r="I52" s="108" t="inlineStr">
        <is>
          <t>Blocked</t>
        </is>
      </c>
      <c r="J52" s="108" t="n">
        <v>3</v>
      </c>
      <c r="K52" s="109" t="n"/>
      <c r="L52" s="109" t="n"/>
      <c r="M52" s="110" t="n"/>
      <c r="N52" s="81" t="n">
        <v>53</v>
      </c>
      <c r="O52" s="80" t="inlineStr">
        <is>
          <t>P0-OPS-03, P2-BE-02</t>
        </is>
      </c>
      <c r="P52" s="80" t="inlineStr">
        <is>
          <t>Real sign-in works; User.clerkId mirrors the Clerk identity; no tenant or role data lives in Clerk Organizations or session claims</t>
        </is>
      </c>
      <c r="Q52" s="82" t="inlineStr">
        <is>
          <t>Addendum A4</t>
        </is>
      </c>
      <c r="R52" s="111" t="n"/>
    </row>
    <row r="53" ht="46.25" customHeight="1" s="75">
      <c r="A53" s="112" t="n">
        <v>41</v>
      </c>
      <c r="B53" s="113" t="inlineStr">
        <is>
          <t>P2-BE-04</t>
        </is>
      </c>
      <c r="C53" s="85" t="n">
        <v>2</v>
      </c>
      <c r="D53" s="86" t="inlineStr">
        <is>
          <t>Platform Foundations</t>
        </is>
      </c>
      <c r="E53" s="137" t="inlineStr">
        <is>
          <t>BE</t>
        </is>
      </c>
      <c r="F53" s="122" t="inlineStr">
        <is>
          <t>Code</t>
        </is>
      </c>
      <c r="G53" s="84" t="inlineStr">
        <is>
          <t>Build actor.ts and scope.ts</t>
        </is>
      </c>
      <c r="H53" s="116" t="inlineStr">
        <is>
          <t>Two files that answer 'who is asking' and 'what are they allowed to see'. Every database query in the codebase goes through them. Retrofitting this later is the most expensive mistake available.</t>
        </is>
      </c>
      <c r="I53" s="108" t="inlineStr">
        <is>
          <t>Blocked</t>
        </is>
      </c>
      <c r="J53" s="108" t="n">
        <v>3</v>
      </c>
      <c r="K53" s="109" t="n"/>
      <c r="L53" s="109" t="n"/>
      <c r="M53" s="110" t="n"/>
      <c r="N53" s="85" t="n">
        <v>51</v>
      </c>
      <c r="O53" s="84" t="inlineStr">
        <is>
          <t>P2-BE-02, P2-INT-01</t>
        </is>
      </c>
      <c r="P53" s="84" t="inlineStr">
        <is>
          <t>requireActor() resolves a Clerk user to a Postgres tenant + roles; every scope function defaults to DENY; no query in the codebase bypasses them</t>
        </is>
      </c>
      <c r="Q53" s="86" t="inlineStr">
        <is>
          <t>Addendum A4, Guide §04</t>
        </is>
      </c>
      <c r="R53" s="111" t="n"/>
    </row>
    <row r="54" ht="23.85" customHeight="1" s="75">
      <c r="A54" s="104" t="n">
        <v>42</v>
      </c>
      <c r="B54" s="105" t="inlineStr">
        <is>
          <t>P2-BE-05</t>
        </is>
      </c>
      <c r="C54" s="81" t="n">
        <v>2</v>
      </c>
      <c r="D54" s="82" t="inlineStr">
        <is>
          <t>Platform Foundations</t>
        </is>
      </c>
      <c r="E54" s="139" t="inlineStr">
        <is>
          <t>BE</t>
        </is>
      </c>
      <c r="F54" s="120" t="inlineStr">
        <is>
          <t>Code</t>
        </is>
      </c>
      <c r="G54" s="80" t="inlineStr">
        <is>
          <t>Build the outbox + pg-boss drain</t>
        </is>
      </c>
      <c r="H54" s="107" t="inlineStr">
        <is>
          <t>Background jobs stored in Postgres rather than Redis. The key property: a job is saved in the same transaction as the thing that caused it, so neither can exist without the other.</t>
        </is>
      </c>
      <c r="I54" s="108" t="inlineStr">
        <is>
          <t>Blocked</t>
        </is>
      </c>
      <c r="J54" s="108" t="n">
        <v>3</v>
      </c>
      <c r="K54" s="109" t="n"/>
      <c r="L54" s="109" t="n"/>
      <c r="M54" s="110" t="n"/>
      <c r="N54" s="81" t="n">
        <v>23</v>
      </c>
      <c r="O54" s="80" t="inlineStr">
        <is>
          <t>P2-BE-02</t>
        </is>
      </c>
      <c r="P54" s="80" t="inlineStr">
        <is>
          <t>enqueue() writes an outbox row in the caller's transaction; the worker drains with FOR UPDATE SKIP LOCKED; two worker instances never double-process a row</t>
        </is>
      </c>
      <c r="Q54" s="82" t="inlineStr">
        <is>
          <t>Addendum A3, Guide §05</t>
        </is>
      </c>
      <c r="R54" s="111" t="n"/>
    </row>
    <row r="55" ht="35.05" customHeight="1" s="75">
      <c r="A55" s="112" t="n">
        <v>43</v>
      </c>
      <c r="B55" s="113" t="inlineStr">
        <is>
          <t>P2-BE-03</t>
        </is>
      </c>
      <c r="C55" s="85" t="n">
        <v>2</v>
      </c>
      <c r="D55" s="86" t="inlineStr">
        <is>
          <t>Platform Foundations</t>
        </is>
      </c>
      <c r="E55" s="137" t="inlineStr">
        <is>
          <t>BE</t>
        </is>
      </c>
      <c r="F55" s="122" t="inlineStr">
        <is>
          <t>Code</t>
        </is>
      </c>
      <c r="G55" s="84" t="inlineStr">
        <is>
          <t>Add the partial indexes Prisma will not create</t>
        </is>
      </c>
      <c r="H55" s="116" t="inlineStr">
        <is>
          <t>A handful of database indexes Prisma cannot generate — including the one that makes a reward physically impossible to redeem twice.</t>
        </is>
      </c>
      <c r="I55" s="108" t="inlineStr">
        <is>
          <t>Blocked</t>
        </is>
      </c>
      <c r="J55" s="108" t="n">
        <v>1</v>
      </c>
      <c r="K55" s="109" t="n"/>
      <c r="L55" s="109" t="n"/>
      <c r="M55" s="110" t="n"/>
      <c r="N55" s="85" t="n">
        <v>6</v>
      </c>
      <c r="O55" s="84" t="inlineStr">
        <is>
          <t>P2-BE-02</t>
        </is>
      </c>
      <c r="P55" s="84" t="inlineStr">
        <is>
          <t>prisma/sql/ holds them; critically the partial unique index that makes single-use reward redemption race-safe</t>
        </is>
      </c>
      <c r="Q55" s="86" t="inlineStr">
        <is>
          <t>Guide §03</t>
        </is>
      </c>
      <c r="R55" s="111" t="n"/>
    </row>
    <row r="56" ht="35.05" customHeight="1" s="75">
      <c r="A56" s="104" t="n">
        <v>44</v>
      </c>
      <c r="B56" s="105" t="inlineStr">
        <is>
          <t>P2-BE-08</t>
        </is>
      </c>
      <c r="C56" s="81" t="n">
        <v>2</v>
      </c>
      <c r="D56" s="82" t="inlineStr">
        <is>
          <t>Platform Foundations</t>
        </is>
      </c>
      <c r="E56" s="139" t="inlineStr">
        <is>
          <t>BE</t>
        </is>
      </c>
      <c r="F56" s="120" t="inlineStr">
        <is>
          <t>Code</t>
        </is>
      </c>
      <c r="G56" s="80" t="inlineStr">
        <is>
          <t>Build the R2 presign module</t>
        </is>
      </c>
      <c r="H56" s="107" t="inlineStr">
        <is>
          <t>Generate temporary upload links so a phone can send video straight to Cloudflare rather than through your server. Large uploads through a Node server is how a busy content day becomes an outage.</t>
        </is>
      </c>
      <c r="I56" s="108" t="inlineStr">
        <is>
          <t>Blocked</t>
        </is>
      </c>
      <c r="J56" s="108" t="n">
        <v>3</v>
      </c>
      <c r="K56" s="109" t="n"/>
      <c r="L56" s="109" t="n"/>
      <c r="M56" s="110" t="n"/>
      <c r="N56" s="81" t="n">
        <v>6</v>
      </c>
      <c r="O56" s="80" t="inlineStr">
        <is>
          <t>P0-OPS-02</t>
        </is>
      </c>
      <c r="P56" s="80" t="inlineStr">
        <is>
          <t>presignUpload() issues short-TTL signed PUTs against the private bucket; public-bucket reads need no signing; every private grant is audited</t>
        </is>
      </c>
      <c r="Q56" s="82" t="inlineStr">
        <is>
          <t>Addendum A8, Guide §11</t>
        </is>
      </c>
      <c r="R56" s="111" t="n"/>
    </row>
    <row r="57" ht="35.05" customHeight="1" s="75">
      <c r="A57" s="112" t="n">
        <v>45</v>
      </c>
      <c r="B57" s="113" t="inlineStr">
        <is>
          <t>P2-OPS-03</t>
        </is>
      </c>
      <c r="C57" s="85" t="n">
        <v>2</v>
      </c>
      <c r="D57" s="86" t="inlineStr">
        <is>
          <t>Platform Foundations</t>
        </is>
      </c>
      <c r="E57" s="123" t="inlineStr">
        <is>
          <t>OPS</t>
        </is>
      </c>
      <c r="F57" s="124" t="inlineStr">
        <is>
          <t>Vendor console</t>
        </is>
      </c>
      <c r="G57" s="84" t="inlineStr">
        <is>
          <t>Wire migrations as a pre-deploy release step</t>
        </is>
      </c>
      <c r="H57" s="116" t="inlineStr">
        <is>
          <t>Database migrations run as a release step just before new code goes live — never during the build, which runs far more often.</t>
        </is>
      </c>
      <c r="I57" s="108" t="inlineStr">
        <is>
          <t>Blocked</t>
        </is>
      </c>
      <c r="J57" s="108" t="n">
        <v>1</v>
      </c>
      <c r="K57" s="109" t="n"/>
      <c r="L57" s="109" t="n"/>
      <c r="M57" s="110" t="n"/>
      <c r="N57" s="85" t="n">
        <v>5</v>
      </c>
      <c r="O57" s="84" t="inlineStr">
        <is>
          <t>P2-OPS-01</t>
        </is>
      </c>
      <c r="P57" s="84" t="inlineStr">
        <is>
          <t>prisma migrate deploy runs as Railway's pre-deploy command before the new version takes traffic — never in the build step</t>
        </is>
      </c>
      <c r="Q57" s="86" t="inlineStr">
        <is>
          <t>Guide §10</t>
        </is>
      </c>
      <c r="R57" s="111" t="n"/>
    </row>
    <row r="58" ht="35.05" customHeight="1" s="75">
      <c r="A58" s="104" t="n">
        <v>46</v>
      </c>
      <c r="B58" s="105" t="inlineStr">
        <is>
          <t>P2-BE-01</t>
        </is>
      </c>
      <c r="C58" s="81" t="n">
        <v>2</v>
      </c>
      <c r="D58" s="82" t="inlineStr">
        <is>
          <t>Platform Foundations</t>
        </is>
      </c>
      <c r="E58" s="139" t="inlineStr">
        <is>
          <t>BE</t>
        </is>
      </c>
      <c r="F58" s="120" t="inlineStr">
        <is>
          <t>Code</t>
        </is>
      </c>
      <c r="G58" s="80" t="inlineStr">
        <is>
          <t>Install and pin the dependency set</t>
        </is>
      </c>
      <c r="H58" s="107" t="inlineStr">
        <is>
          <t>Install every library at its pinned version and set up the Prisma config.</t>
        </is>
      </c>
      <c r="I58" s="108" t="inlineStr">
        <is>
          <t>Blocked</t>
        </is>
      </c>
      <c r="J58" s="108" t="n">
        <v>1</v>
      </c>
      <c r="K58" s="109" t="n"/>
      <c r="L58" s="109" t="n"/>
      <c r="M58" s="110" t="n"/>
      <c r="N58" s="81" t="n">
        <v>4</v>
      </c>
      <c r="O58" s="80" t="inlineStr">
        <is>
          <t>P0-PMO-11</t>
        </is>
      </c>
      <c r="P58" s="80" t="inlineStr">
        <is>
          <t>Every package from Guide §01 installed at an exact version; prisma.config.ts present with the explicit client output path</t>
        </is>
      </c>
      <c r="Q58" s="82" t="inlineStr">
        <is>
          <t>Guide §01</t>
        </is>
      </c>
      <c r="R58" s="111" t="n"/>
    </row>
    <row r="59" ht="35.05" customHeight="1" s="75">
      <c r="A59" s="112" t="n">
        <v>47</v>
      </c>
      <c r="B59" s="113" t="inlineStr">
        <is>
          <t>P2-OPS-09</t>
        </is>
      </c>
      <c r="C59" s="85" t="n">
        <v>2</v>
      </c>
      <c r="D59" s="86" t="inlineStr">
        <is>
          <t>Platform Foundations</t>
        </is>
      </c>
      <c r="E59" s="123" t="inlineStr">
        <is>
          <t>OPS</t>
        </is>
      </c>
      <c r="F59" s="124" t="inlineStr">
        <is>
          <t>Vendor console</t>
        </is>
      </c>
      <c r="G59" s="84" t="inlineStr">
        <is>
          <t>Establish staging + production environments</t>
        </is>
      </c>
      <c r="H59" s="116" t="inlineStr">
        <is>
          <t>Stand up staging and production, each with its own database. Turn on backups and confirm you can actually restore to a point in time.</t>
        </is>
      </c>
      <c r="I59" s="108" t="inlineStr">
        <is>
          <t>Blocked</t>
        </is>
      </c>
      <c r="J59" s="108" t="n">
        <v>3</v>
      </c>
      <c r="K59" s="109" t="n"/>
      <c r="L59" s="109" t="n"/>
      <c r="M59" s="110" t="n"/>
      <c r="N59" s="85" t="n">
        <v>4</v>
      </c>
      <c r="O59" s="84" t="inlineStr">
        <is>
          <t>P2-OPS-03</t>
        </is>
      </c>
      <c r="P59" s="84" t="inlineStr">
        <is>
          <t>Both exist with their own Postgres; scheduled backups on for production; point-in-time restore confirmed available on the plan</t>
        </is>
      </c>
      <c r="Q59" s="86" t="inlineStr">
        <is>
          <t>Guide §10</t>
        </is>
      </c>
      <c r="R59" s="111" t="n"/>
    </row>
    <row r="60" ht="35.05" customHeight="1" s="75">
      <c r="A60" s="104" t="n">
        <v>48</v>
      </c>
      <c r="B60" s="105" t="inlineStr">
        <is>
          <t>P2-OPS-05</t>
        </is>
      </c>
      <c r="C60" s="81" t="n">
        <v>2</v>
      </c>
      <c r="D60" s="82" t="inlineStr">
        <is>
          <t>Platform Foundations</t>
        </is>
      </c>
      <c r="E60" s="132" t="inlineStr">
        <is>
          <t>OPS</t>
        </is>
      </c>
      <c r="F60" s="120" t="inlineStr">
        <is>
          <t>Code</t>
        </is>
      </c>
      <c r="G60" s="80" t="inlineStr">
        <is>
          <t>Write the environment seed job</t>
        </is>
      </c>
      <c r="H60" s="107" t="inlineStr">
        <is>
          <t>A script that fills an empty database with realistic demo data. Because preview environments start empty on Railway, this is infrastructure — if it rots, every preview becomes useless.</t>
        </is>
      </c>
      <c r="I60" s="108" t="inlineStr">
        <is>
          <t>Blocked</t>
        </is>
      </c>
      <c r="J60" s="108" t="n">
        <v>3</v>
      </c>
      <c r="K60" s="109" t="n"/>
      <c r="L60" s="109" t="n"/>
      <c r="M60" s="110" t="n"/>
      <c r="N60" s="81" t="n">
        <v>3</v>
      </c>
      <c r="O60" s="80" t="inlineStr">
        <is>
          <t>P2-BE-02</t>
        </is>
      </c>
      <c r="P60" s="80" t="inlineStr">
        <is>
          <t>worker/jobs/seed-environment.ts builds a usable demo tenant from scratch; a fresh PR environment is immediately usable</t>
        </is>
      </c>
      <c r="Q60" s="82" t="inlineStr">
        <is>
          <t>Guide §10</t>
        </is>
      </c>
      <c r="R60" s="111" t="n"/>
    </row>
    <row r="61" ht="35.05" customHeight="1" s="75">
      <c r="A61" s="112" t="n">
        <v>49</v>
      </c>
      <c r="B61" s="113" t="inlineStr">
        <is>
          <t>P2-OPS-11</t>
        </is>
      </c>
      <c r="C61" s="85" t="n">
        <v>2</v>
      </c>
      <c r="D61" s="86" t="inlineStr">
        <is>
          <t>Platform Foundations</t>
        </is>
      </c>
      <c r="E61" s="123" t="inlineStr">
        <is>
          <t>OPS</t>
        </is>
      </c>
      <c r="F61" s="124" t="inlineStr">
        <is>
          <t>Vendor console</t>
        </is>
      </c>
      <c r="G61" s="84" t="inlineStr">
        <is>
          <t>Configure monitoring and alerting</t>
        </is>
      </c>
      <c r="H61" s="116" t="inlineStr">
        <is>
          <t>Make service health, queue depth and failed jobs visible, and make sure somebody gets woken up if the worker stops processing.</t>
        </is>
      </c>
      <c r="I61" s="108" t="inlineStr">
        <is>
          <t>Blocked</t>
        </is>
      </c>
      <c r="J61" s="108" t="n">
        <v>3</v>
      </c>
      <c r="K61" s="109" t="n"/>
      <c r="L61" s="109" t="n"/>
      <c r="M61" s="110" t="n"/>
      <c r="N61" s="85" t="n">
        <v>2</v>
      </c>
      <c r="O61" s="84" t="inlineStr">
        <is>
          <t>P2-OPS-09</t>
        </is>
      </c>
      <c r="P61" s="84" t="inlineStr">
        <is>
          <t>Service health, queue depth, failed jobs and error rate all visible; someone is paged when the worker stops draining</t>
        </is>
      </c>
      <c r="Q61" s="86" t="inlineStr">
        <is>
          <t>§38</t>
        </is>
      </c>
      <c r="R61" s="111" t="n"/>
    </row>
    <row r="62" ht="35.05" customHeight="1" s="75">
      <c r="A62" s="104" t="n">
        <v>50</v>
      </c>
      <c r="B62" s="105" t="inlineStr">
        <is>
          <t>P2-SEC-01</t>
        </is>
      </c>
      <c r="C62" s="81" t="n">
        <v>2</v>
      </c>
      <c r="D62" s="82" t="inlineStr">
        <is>
          <t>Platform Foundations</t>
        </is>
      </c>
      <c r="E62" s="140" t="inlineStr">
        <is>
          <t>SEC</t>
        </is>
      </c>
      <c r="F62" s="120" t="inlineStr">
        <is>
          <t>Code</t>
        </is>
      </c>
      <c r="G62" s="80" t="inlineStr">
        <is>
          <t>Author the authorisation matrix test suite</t>
        </is>
      </c>
      <c r="H62" s="107" t="inlineStr">
        <is>
          <t>Turn the RBAC matrix into an automated test that runs on every commit. When someone widens a permission to fix a bug, this tells them what else they just widened.</t>
        </is>
      </c>
      <c r="I62" s="108" t="inlineStr">
        <is>
          <t>Blocked</t>
        </is>
      </c>
      <c r="J62" s="108" t="n">
        <v>3</v>
      </c>
      <c r="K62" s="109" t="n"/>
      <c r="L62" s="109" t="n"/>
      <c r="M62" s="110" t="n"/>
      <c r="N62" s="81" t="n">
        <v>2</v>
      </c>
      <c r="O62" s="80" t="inlineStr">
        <is>
          <t>P2-BE-04, P0-PMO-07</t>
        </is>
      </c>
      <c r="P62" s="80" t="inlineStr">
        <is>
          <t>tests/authz.matrix.test.ts seeds two tenants, two sponsors, two athletes, a guardian and a property, and asserts every role against every resource</t>
        </is>
      </c>
      <c r="Q62" s="82" t="inlineStr">
        <is>
          <t>§30, Guide §09</t>
        </is>
      </c>
      <c r="R62" s="111" t="n"/>
    </row>
    <row r="63" ht="35.05" customHeight="1" s="75">
      <c r="A63" s="112" t="n">
        <v>51</v>
      </c>
      <c r="B63" s="113" t="inlineStr">
        <is>
          <t>P2-BE-06</t>
        </is>
      </c>
      <c r="C63" s="85" t="n">
        <v>2</v>
      </c>
      <c r="D63" s="86" t="inlineStr">
        <is>
          <t>Platform Foundations</t>
        </is>
      </c>
      <c r="E63" s="137" t="inlineStr">
        <is>
          <t>BE</t>
        </is>
      </c>
      <c r="F63" s="122" t="inlineStr">
        <is>
          <t>Code</t>
        </is>
      </c>
      <c r="G63" s="84" t="inlineStr">
        <is>
          <t>Build the audit helper</t>
        </is>
      </c>
      <c r="H63" s="116" t="inlineStr">
        <is>
          <t>A single helper that records who changed what and when, for pricing, agreements, campaigns, payouts and permissions.</t>
        </is>
      </c>
      <c r="I63" s="108" t="inlineStr">
        <is>
          <t>Blocked</t>
        </is>
      </c>
      <c r="J63" s="108" t="n">
        <v>1</v>
      </c>
      <c r="K63" s="109" t="n"/>
      <c r="L63" s="109" t="n"/>
      <c r="M63" s="110" t="n"/>
      <c r="N63" s="85" t="n">
        <v>1</v>
      </c>
      <c r="O63" s="84" t="inlineStr">
        <is>
          <t>P2-BE-02</t>
        </is>
      </c>
      <c r="P63" s="84" t="inlineStr">
        <is>
          <t>audit(tx, actor, action, entity, id) writes inside the caller's transaction; pricing, agreement, campaign, payout and permission changes are all covered</t>
        </is>
      </c>
      <c r="Q63" s="86" t="inlineStr">
        <is>
          <t>§26</t>
        </is>
      </c>
      <c r="R63" s="111" t="n"/>
    </row>
    <row r="64" ht="23.85" customHeight="1" s="75">
      <c r="A64" s="104" t="n">
        <v>52</v>
      </c>
      <c r="B64" s="105" t="inlineStr">
        <is>
          <t>P2-BE-07</t>
        </is>
      </c>
      <c r="C64" s="81" t="n">
        <v>2</v>
      </c>
      <c r="D64" s="82" t="inlineStr">
        <is>
          <t>Platform Foundations</t>
        </is>
      </c>
      <c r="E64" s="139" t="inlineStr">
        <is>
          <t>BE</t>
        </is>
      </c>
      <c r="F64" s="120" t="inlineStr">
        <is>
          <t>Code</t>
        </is>
      </c>
      <c r="G64" s="80" t="inlineStr">
        <is>
          <t>Build the contracts registry and OpenAPI generation</t>
        </is>
      </c>
      <c r="H64" s="107" t="inlineStr">
        <is>
          <t>Define API shapes once in code and generate the API specification from them, rather than hand-writing a spec that drifts from reality.</t>
        </is>
      </c>
      <c r="I64" s="108" t="inlineStr">
        <is>
          <t>Blocked</t>
        </is>
      </c>
      <c r="J64" s="108" t="n">
        <v>3</v>
      </c>
      <c r="K64" s="109" t="n"/>
      <c r="L64" s="109" t="n"/>
      <c r="M64" s="110" t="n"/>
      <c r="N64" s="81" t="n">
        <v>1</v>
      </c>
      <c r="O64" s="80" t="inlineStr">
        <is>
          <t>P2-BE-01</t>
        </is>
      </c>
      <c r="P64" s="80" t="inlineStr">
        <is>
          <t>src/contracts/registry.ts emits openapi.json at /api/v1/openapi.json; the spec is generated from Zod, never hand-written</t>
        </is>
      </c>
      <c r="Q64" s="82" t="inlineStr">
        <is>
          <t>§38, Addendum A2, Guide §02</t>
        </is>
      </c>
      <c r="R64" s="111" t="n"/>
    </row>
    <row r="65" ht="35.05" customHeight="1" s="75">
      <c r="A65" s="112" t="n">
        <v>53</v>
      </c>
      <c r="B65" s="113" t="inlineStr">
        <is>
          <t>P2-QA-01</t>
        </is>
      </c>
      <c r="C65" s="85" t="n">
        <v>2</v>
      </c>
      <c r="D65" s="86" t="inlineStr">
        <is>
          <t>Platform Foundations</t>
        </is>
      </c>
      <c r="E65" s="134" t="inlineStr">
        <is>
          <t>QA</t>
        </is>
      </c>
      <c r="F65" s="122" t="inlineStr">
        <is>
          <t>Code</t>
        </is>
      </c>
      <c r="G65" s="84" t="inlineStr">
        <is>
          <t>Stand up the test harness</t>
        </is>
      </c>
      <c r="H65" s="116" t="inlineStr">
        <is>
          <t>Set up the testing tools so tests can run locally and automatically on every commit.</t>
        </is>
      </c>
      <c r="I65" s="108" t="inlineStr">
        <is>
          <t>Blocked</t>
        </is>
      </c>
      <c r="J65" s="108" t="n">
        <v>3</v>
      </c>
      <c r="K65" s="109" t="n"/>
      <c r="L65" s="109" t="n"/>
      <c r="M65" s="110" t="n"/>
      <c r="N65" s="85" t="n">
        <v>1</v>
      </c>
      <c r="O65" s="84" t="inlineStr">
        <is>
          <t>P2-BE-02</t>
        </is>
      </c>
      <c r="P65" s="84" t="inlineStr">
        <is>
          <t>Vitest for unit + matrix, Playwright for E2E; both runnable locally and in CI against a seeded database</t>
        </is>
      </c>
      <c r="Q65" s="86" t="inlineStr">
        <is>
          <t>Guide §01</t>
        </is>
      </c>
      <c r="R65" s="111" t="n"/>
    </row>
    <row r="66" ht="23.85" customHeight="1" s="75">
      <c r="A66" s="104" t="n">
        <v>54</v>
      </c>
      <c r="B66" s="105" t="inlineStr">
        <is>
          <t>P2-BE-09</t>
        </is>
      </c>
      <c r="C66" s="81" t="n">
        <v>2</v>
      </c>
      <c r="D66" s="82" t="inlineStr">
        <is>
          <t>Platform Foundations</t>
        </is>
      </c>
      <c r="E66" s="139" t="inlineStr">
        <is>
          <t>BE</t>
        </is>
      </c>
      <c r="F66" s="120" t="inlineStr">
        <is>
          <t>Code</t>
        </is>
      </c>
      <c r="G66" s="80" t="inlineStr">
        <is>
          <t>Establish the repo layout</t>
        </is>
      </c>
      <c r="H66" s="107" t="inlineStr">
        <is>
          <t>Create the folder structure: one repository, two deployable things (app and worker), sharing the same business logic so they can never disagree.</t>
        </is>
      </c>
      <c r="I66" s="108" t="inlineStr">
        <is>
          <t>Blocked</t>
        </is>
      </c>
      <c r="J66" s="108" t="n">
        <v>1</v>
      </c>
      <c r="K66" s="109" t="n"/>
      <c r="L66" s="109" t="n"/>
      <c r="M66" s="110" t="n"/>
      <c r="N66" s="81" t="n">
        <v>0</v>
      </c>
      <c r="O66" s="80" t="inlineStr">
        <is>
          <t>P2-BE-01</t>
        </is>
      </c>
      <c r="P66" s="80" t="inlineStr">
        <is>
          <t>src/server/, src/contracts/, worker/jobs/, prisma/sql/, tests/ all exist per Guide §02; one repo, two deployables, one lockfile</t>
        </is>
      </c>
      <c r="Q66" s="82" t="inlineStr">
        <is>
          <t>Guide §02</t>
        </is>
      </c>
      <c r="R66" s="111" t="n"/>
    </row>
    <row r="67" ht="23.85" customHeight="1" s="75">
      <c r="A67" s="112" t="n">
        <v>55</v>
      </c>
      <c r="B67" s="113" t="inlineStr">
        <is>
          <t>P2-FE-01</t>
        </is>
      </c>
      <c r="C67" s="85" t="n">
        <v>2</v>
      </c>
      <c r="D67" s="86" t="inlineStr">
        <is>
          <t>Platform Foundations</t>
        </is>
      </c>
      <c r="E67" s="121" t="inlineStr">
        <is>
          <t>FE</t>
        </is>
      </c>
      <c r="F67" s="122" t="inlineStr">
        <is>
          <t>Code</t>
        </is>
      </c>
      <c r="G67" s="84" t="inlineStr">
        <is>
          <t>Swap fixture reads for real queries behind a flag</t>
        </is>
      </c>
      <c r="H67" s="116" t="inlineStr">
        <is>
          <t>Point the finished screens at the real database instead of mock data, keeping mocks available for demos.</t>
        </is>
      </c>
      <c r="I67" s="108" t="inlineStr">
        <is>
          <t>Blocked</t>
        </is>
      </c>
      <c r="J67" s="108" t="n">
        <v>3</v>
      </c>
      <c r="K67" s="109" t="n"/>
      <c r="L67" s="109" t="n"/>
      <c r="M67" s="110" t="n"/>
      <c r="N67" s="85" t="n">
        <v>0</v>
      </c>
      <c r="O67" s="84" t="inlineStr">
        <is>
          <t>P2-BE-04</t>
        </is>
      </c>
      <c r="P67" s="84" t="inlineStr">
        <is>
          <t>An authenticated user loads an empty portal from Postgres; fixtures remain available for demo mode</t>
        </is>
      </c>
      <c r="Q67" s="86" t="inlineStr">
        <is>
          <t>Roadmap B0</t>
        </is>
      </c>
      <c r="R67" s="111" t="n"/>
    </row>
    <row r="68" ht="35.05" customHeight="1" s="75">
      <c r="A68" s="104" t="n">
        <v>56</v>
      </c>
      <c r="B68" s="105" t="inlineStr">
        <is>
          <t>P2-INT-02</t>
        </is>
      </c>
      <c r="C68" s="81" t="n">
        <v>2</v>
      </c>
      <c r="D68" s="82" t="inlineStr">
        <is>
          <t>Platform Foundations</t>
        </is>
      </c>
      <c r="E68" s="138" t="inlineStr">
        <is>
          <t>INT</t>
        </is>
      </c>
      <c r="F68" s="136" t="inlineStr">
        <is>
          <t>Vendor console</t>
        </is>
      </c>
      <c r="G68" s="80" t="inlineStr">
        <is>
          <t>Enable MFA for privileged roles</t>
        </is>
      </c>
      <c r="H68" s="107" t="inlineStr">
        <is>
          <t>Require two-factor authentication for admin and finance accounts in production.</t>
        </is>
      </c>
      <c r="I68" s="108" t="inlineStr">
        <is>
          <t>Blocked</t>
        </is>
      </c>
      <c r="J68" s="108" t="n">
        <v>1</v>
      </c>
      <c r="K68" s="109" t="n"/>
      <c r="L68" s="109" t="n"/>
      <c r="M68" s="110" t="n"/>
      <c r="N68" s="81" t="n">
        <v>0</v>
      </c>
      <c r="O68" s="80" t="inlineStr">
        <is>
          <t>P2-INT-01</t>
        </is>
      </c>
      <c r="P68" s="80" t="inlineStr">
        <is>
          <t>Admin and finance roles require MFA in the production instance</t>
        </is>
      </c>
      <c r="Q68" s="82" t="inlineStr">
        <is>
          <t>§26</t>
        </is>
      </c>
      <c r="R68" s="111" t="n"/>
    </row>
    <row r="69" ht="46.25" customHeight="1" s="75">
      <c r="A69" s="112" t="n">
        <v>57</v>
      </c>
      <c r="B69" s="113" t="inlineStr">
        <is>
          <t>P2-OPS-02</t>
        </is>
      </c>
      <c r="C69" s="85" t="n">
        <v>2</v>
      </c>
      <c r="D69" s="86" t="inlineStr">
        <is>
          <t>Platform Foundations</t>
        </is>
      </c>
      <c r="E69" s="123" t="inlineStr">
        <is>
          <t>OPS</t>
        </is>
      </c>
      <c r="F69" s="122" t="inlineStr">
        <is>
          <t>Code</t>
        </is>
      </c>
      <c r="G69" s="84" t="inlineStr">
        <is>
          <t>Configure web for standalone output</t>
        </is>
      </c>
      <c r="H69" s="116" t="inlineStr">
        <is>
          <t>Configure the app to build as a plain Node server, so it can move to another host without a rewrite.</t>
        </is>
      </c>
      <c r="I69" s="108" t="inlineStr">
        <is>
          <t>Blocked</t>
        </is>
      </c>
      <c r="J69" s="108" t="n">
        <v>1</v>
      </c>
      <c r="K69" s="109" t="n"/>
      <c r="L69" s="109" t="n"/>
      <c r="M69" s="110" t="n"/>
      <c r="N69" s="85" t="n">
        <v>0</v>
      </c>
      <c r="O69" s="84" t="inlineStr">
        <is>
          <t>P2-OPS-01</t>
        </is>
      </c>
      <c r="P69" s="84" t="inlineStr">
        <is>
          <t>next.config.ts sets output: 'standalone'; web runs next start; worker runs node worker/index.js with no public domain</t>
        </is>
      </c>
      <c r="Q69" s="86" t="inlineStr">
        <is>
          <t>Guide §10</t>
        </is>
      </c>
      <c r="R69" s="111" t="n"/>
    </row>
    <row r="70" ht="23.85" customHeight="1" s="75">
      <c r="A70" s="104" t="n">
        <v>58</v>
      </c>
      <c r="B70" s="105" t="inlineStr">
        <is>
          <t>P2-OPS-04</t>
        </is>
      </c>
      <c r="C70" s="81" t="n">
        <v>2</v>
      </c>
      <c r="D70" s="82" t="inlineStr">
        <is>
          <t>Platform Foundations</t>
        </is>
      </c>
      <c r="E70" s="132" t="inlineStr">
        <is>
          <t>OPS</t>
        </is>
      </c>
      <c r="F70" s="136" t="inlineStr">
        <is>
          <t>Vendor console</t>
        </is>
      </c>
      <c r="G70" s="80" t="inlineStr">
        <is>
          <t>Configure the environment variable set</t>
        </is>
      </c>
      <c r="H70" s="107" t="inlineStr">
        <is>
          <t>Set the environment variables, carefully: Zoho credentials belong only on the worker, never on the public web app.</t>
        </is>
      </c>
      <c r="I70" s="108" t="inlineStr">
        <is>
          <t>Blocked</t>
        </is>
      </c>
      <c r="J70" s="108" t="n">
        <v>1</v>
      </c>
      <c r="K70" s="109" t="n"/>
      <c r="L70" s="109" t="n"/>
      <c r="M70" s="110" t="n"/>
      <c r="N70" s="81" t="n">
        <v>0</v>
      </c>
      <c r="O70" s="80" t="inlineStr">
        <is>
          <t>P2-OPS-01, P0-OPS-02, P0-OPS-03</t>
        </is>
      </c>
      <c r="P70" s="80" t="inlineStr">
        <is>
          <t>Every variable in Guide §10 present and scoped correctly — critically, ZOHO_CLIENT_ID/SECRET/REFRESH_TOKEN on worker only, ZOHO_WEBHOOK_SECRET on web</t>
        </is>
      </c>
      <c r="Q70" s="82" t="inlineStr">
        <is>
          <t>Guide §10</t>
        </is>
      </c>
      <c r="R70" s="111" t="n"/>
    </row>
    <row r="71" ht="23.85" customHeight="1" s="75">
      <c r="A71" s="112" t="n">
        <v>59</v>
      </c>
      <c r="B71" s="113" t="inlineStr">
        <is>
          <t>P2-OPS-06</t>
        </is>
      </c>
      <c r="C71" s="85" t="n">
        <v>2</v>
      </c>
      <c r="D71" s="86" t="inlineStr">
        <is>
          <t>Platform Foundations</t>
        </is>
      </c>
      <c r="E71" s="123" t="inlineStr">
        <is>
          <t>OPS</t>
        </is>
      </c>
      <c r="F71" s="122" t="inlineStr">
        <is>
          <t>Code</t>
        </is>
      </c>
      <c r="G71" s="84" t="inlineStr">
        <is>
          <t>Add the bare-findMany() lint rule</t>
        </is>
      </c>
      <c r="H71" s="116" t="inlineStr">
        <is>
          <t>A lint rule that fails the build if a database query does not explicitly list the fields it wants. This is what stops accidental data leaks at scale.</t>
        </is>
      </c>
      <c r="I71" s="108" t="inlineStr">
        <is>
          <t>Blocked</t>
        </is>
      </c>
      <c r="J71" s="108" t="n">
        <v>1</v>
      </c>
      <c r="K71" s="109" t="n"/>
      <c r="L71" s="109" t="n"/>
      <c r="M71" s="110" t="n"/>
      <c r="N71" s="85" t="n">
        <v>0</v>
      </c>
      <c r="O71" s="84" t="inlineStr">
        <is>
          <t>P2-BE-01</t>
        </is>
      </c>
      <c r="P71" s="84" t="inlineStr">
        <is>
          <t>The build fails on any Prisma read without an explicit select</t>
        </is>
      </c>
      <c r="Q71" s="86" t="inlineStr">
        <is>
          <t>Guide §04</t>
        </is>
      </c>
      <c r="R71" s="111" t="n"/>
    </row>
    <row r="72" ht="35.05" customHeight="1" s="75">
      <c r="A72" s="104" t="n">
        <v>60</v>
      </c>
      <c r="B72" s="105" t="inlineStr">
        <is>
          <t>P2-OPS-07</t>
        </is>
      </c>
      <c r="C72" s="81" t="n">
        <v>2</v>
      </c>
      <c r="D72" s="82" t="inlineStr">
        <is>
          <t>Platform Foundations</t>
        </is>
      </c>
      <c r="E72" s="132" t="inlineStr">
        <is>
          <t>OPS</t>
        </is>
      </c>
      <c r="F72" s="120" t="inlineStr">
        <is>
          <t>Code</t>
        </is>
      </c>
      <c r="G72" s="80" t="inlineStr">
        <is>
          <t>Set up CI: typecheck, lint, unit, authz matrix</t>
        </is>
      </c>
      <c r="H72" s="107" t="inlineStr">
        <is>
          <t>Wire up continuous integration so every commit is type-checked, linted, unit-tested and permission-tested.</t>
        </is>
      </c>
      <c r="I72" s="108" t="inlineStr">
        <is>
          <t>Blocked</t>
        </is>
      </c>
      <c r="J72" s="108" t="n">
        <v>3</v>
      </c>
      <c r="K72" s="109" t="n"/>
      <c r="L72" s="109" t="n"/>
      <c r="M72" s="110" t="n"/>
      <c r="N72" s="81" t="n">
        <v>0</v>
      </c>
      <c r="O72" s="80" t="inlineStr">
        <is>
          <t>P2-QA-01</t>
        </is>
      </c>
      <c r="P72" s="80" t="inlineStr">
        <is>
          <t>Every commit runs all four; the authz matrix is a required check, not an advisory one</t>
        </is>
      </c>
      <c r="Q72" s="82" t="inlineStr">
        <is>
          <t>§30, Guide §09</t>
        </is>
      </c>
      <c r="R72" s="111" t="n"/>
    </row>
    <row r="73" ht="35.05" customHeight="1" s="75">
      <c r="A73" s="112" t="n">
        <v>61</v>
      </c>
      <c r="B73" s="113" t="inlineStr">
        <is>
          <t>P2-OPS-08</t>
        </is>
      </c>
      <c r="C73" s="85" t="n">
        <v>2</v>
      </c>
      <c r="D73" s="86" t="inlineStr">
        <is>
          <t>Platform Foundations</t>
        </is>
      </c>
      <c r="E73" s="123" t="inlineStr">
        <is>
          <t>OPS</t>
        </is>
      </c>
      <c r="F73" s="124" t="inlineStr">
        <is>
          <t>Vendor console</t>
        </is>
      </c>
      <c r="G73" s="84" t="inlineStr">
        <is>
          <t>Configure PR environments</t>
        </is>
      </c>
      <c r="H73" s="116" t="inlineStr">
        <is>
          <t>Give every pull request its own throwaway environment with a fresh seeded database — never a copy of production data.</t>
        </is>
      </c>
      <c r="I73" s="108" t="inlineStr">
        <is>
          <t>Blocked</t>
        </is>
      </c>
      <c r="J73" s="108" t="n">
        <v>1</v>
      </c>
      <c r="K73" s="109" t="n"/>
      <c r="L73" s="109" t="n"/>
      <c r="M73" s="110" t="n"/>
      <c r="N73" s="85" t="n">
        <v>0</v>
      </c>
      <c r="O73" s="84" t="inlineStr">
        <is>
          <t>P2-OPS-05</t>
        </is>
      </c>
      <c r="P73" s="84" t="inlineStr">
        <is>
          <t>Each pull request gets its own environment with a fresh Postgres, seeded by the job — never a copy of production</t>
        </is>
      </c>
      <c r="Q73" s="86" t="inlineStr">
        <is>
          <t>Guide §10</t>
        </is>
      </c>
      <c r="R73" s="111" t="n"/>
    </row>
    <row r="74" ht="23.85" customHeight="1" s="75">
      <c r="A74" s="104" t="n">
        <v>62</v>
      </c>
      <c r="B74" s="105" t="inlineStr">
        <is>
          <t>P2-OPS-10</t>
        </is>
      </c>
      <c r="C74" s="81" t="n">
        <v>2</v>
      </c>
      <c r="D74" s="82" t="inlineStr">
        <is>
          <t>Platform Foundations</t>
        </is>
      </c>
      <c r="E74" s="132" t="inlineStr">
        <is>
          <t>OPS</t>
        </is>
      </c>
      <c r="F74" s="106" t="inlineStr">
        <is>
          <t>Document</t>
        </is>
      </c>
      <c r="G74" s="80" t="inlineStr">
        <is>
          <t>Define the deploy ordering rule</t>
        </is>
      </c>
      <c r="H74" s="107" t="inlineStr">
        <is>
          <t>Write down and enforce the rule that the worker deploys before the web app, so a new job type always has a handler waiting.</t>
        </is>
      </c>
      <c r="I74" s="108" t="inlineStr">
        <is>
          <t>Blocked</t>
        </is>
      </c>
      <c r="J74" s="108" t="n">
        <v>1</v>
      </c>
      <c r="K74" s="109" t="n"/>
      <c r="L74" s="109" t="n"/>
      <c r="M74" s="110" t="n"/>
      <c r="N74" s="81" t="n">
        <v>0</v>
      </c>
      <c r="O74" s="80" t="inlineStr">
        <is>
          <t>P2-OPS-01</t>
        </is>
      </c>
      <c r="P74" s="80" t="inlineStr">
        <is>
          <t>Documented and enforced: worker deploys before web on any release adding a job type; pg-boss migrations run on worker boot only</t>
        </is>
      </c>
      <c r="Q74" s="82" t="inlineStr">
        <is>
          <t>Guide §10</t>
        </is>
      </c>
      <c r="R74" s="111" t="n"/>
    </row>
    <row r="75" ht="35.05" customHeight="1" s="75">
      <c r="A75" s="112" t="n">
        <v>63</v>
      </c>
      <c r="B75" s="113" t="inlineStr">
        <is>
          <t>P2-PMO-01</t>
        </is>
      </c>
      <c r="C75" s="85" t="n">
        <v>2</v>
      </c>
      <c r="D75" s="86" t="inlineStr">
        <is>
          <t>Platform Foundations</t>
        </is>
      </c>
      <c r="E75" s="112" t="inlineStr">
        <is>
          <t>PMO</t>
        </is>
      </c>
      <c r="F75" s="130" t="inlineStr">
        <is>
          <t>Document</t>
        </is>
      </c>
      <c r="G75" s="84" t="inlineStr">
        <is>
          <t>Write the deployment runbook (§38 deliverable)</t>
        </is>
      </c>
      <c r="H75" s="116" t="inlineStr">
        <is>
          <t>Document how to deploy, how to roll back, and what to do when a migration fails. Then test it once, for real.</t>
        </is>
      </c>
      <c r="I75" s="108" t="inlineStr">
        <is>
          <t>Blocked</t>
        </is>
      </c>
      <c r="J75" s="108" t="n">
        <v>3</v>
      </c>
      <c r="K75" s="109" t="n"/>
      <c r="L75" s="109" t="n"/>
      <c r="M75" s="110" t="n"/>
      <c r="N75" s="85" t="n">
        <v>0</v>
      </c>
      <c r="O75" s="84" t="inlineStr">
        <is>
          <t>P2-OPS-09</t>
        </is>
      </c>
      <c r="P75" s="84" t="inlineStr">
        <is>
          <t>Deploy, rollback, migration-failure and restore procedures written down and tested once</t>
        </is>
      </c>
      <c r="Q75" s="86" t="inlineStr">
        <is>
          <t>§38</t>
        </is>
      </c>
      <c r="R75" s="111" t="n"/>
    </row>
    <row r="76" ht="46.25" customHeight="1" s="75">
      <c r="A76" s="104" t="n">
        <v>64</v>
      </c>
      <c r="B76" s="105" t="inlineStr">
        <is>
          <t>P2-SEC-02</t>
        </is>
      </c>
      <c r="C76" s="81" t="n">
        <v>2</v>
      </c>
      <c r="D76" s="82" t="inlineStr">
        <is>
          <t>Platform Foundations</t>
        </is>
      </c>
      <c r="E76" s="140" t="inlineStr">
        <is>
          <t>SEC</t>
        </is>
      </c>
      <c r="F76" s="120" t="inlineStr">
        <is>
          <t>Code</t>
        </is>
      </c>
      <c r="G76" s="80" t="inlineStr">
        <is>
          <t>Add field-level denial cases to the matrix</t>
        </is>
      </c>
      <c r="H76" s="107" t="inlineStr">
        <is>
          <t>Add the specific tests proving a sponsor cannot read athlete pay and an athlete cannot read a campaign budget.</t>
        </is>
      </c>
      <c r="I76" s="108" t="inlineStr">
        <is>
          <t>Blocked</t>
        </is>
      </c>
      <c r="J76" s="108" t="n">
        <v>1</v>
      </c>
      <c r="K76" s="109" t="n"/>
      <c r="L76" s="109" t="n"/>
      <c r="M76" s="110" t="n"/>
      <c r="N76" s="81" t="n">
        <v>0</v>
      </c>
      <c r="O76" s="80" t="inlineStr">
        <is>
          <t>P2-SEC-01</t>
        </is>
      </c>
      <c r="P76" s="80" t="inlineStr">
        <is>
          <t>SPONSOR_ADMIN → athleteRate.amount → deny and ATHLETE → campaign.budget → deny both present and passing</t>
        </is>
      </c>
      <c r="Q76" s="82" t="inlineStr">
        <is>
          <t>Guide §04, §09</t>
        </is>
      </c>
      <c r="R76" s="111" t="n"/>
    </row>
    <row r="77" ht="32.8" customHeight="1" s="75">
      <c r="A77" s="112" t="n">
        <v>65</v>
      </c>
      <c r="B77" s="113" t="inlineStr">
        <is>
          <t>P3-BE-01</t>
        </is>
      </c>
      <c r="C77" s="85" t="n">
        <v>3</v>
      </c>
      <c r="D77" s="86" t="inlineStr">
        <is>
          <t>Athlete Network</t>
        </is>
      </c>
      <c r="E77" s="137" t="inlineStr">
        <is>
          <t>BE</t>
        </is>
      </c>
      <c r="F77" s="122" t="inlineStr">
        <is>
          <t>Code</t>
        </is>
      </c>
      <c r="G77" s="84" t="inlineStr">
        <is>
          <t>Athlete application contract + model + migration</t>
        </is>
      </c>
      <c r="H77" s="116" t="inlineStr">
        <is>
          <t>The athlete sign-up form's data model and its approval lifecycle, from draft through review to active.</t>
        </is>
      </c>
      <c r="I77" s="108" t="inlineStr">
        <is>
          <t>Blocked</t>
        </is>
      </c>
      <c r="J77" s="108" t="n">
        <v>3</v>
      </c>
      <c r="K77" s="109" t="n"/>
      <c r="L77" s="109" t="n"/>
      <c r="M77" s="110" t="n"/>
      <c r="N77" s="85" t="n">
        <v>51</v>
      </c>
      <c r="O77" s="84" t="inlineStr">
        <is>
          <t>P2-BE-02</t>
        </is>
      </c>
      <c r="P77" s="84" t="inlineStr">
        <is>
          <t>All ten §11 sections captured; AthleteState DRAFT→SUBMITTED→UNDER_REVIEW→APPROVED/CHANGES_REQUESTED/REJECTED→ACTIVE/SUSPENDED enforced in the domain layer</t>
        </is>
      </c>
      <c r="Q77" s="86" t="inlineStr">
        <is>
          <t>§11, §21</t>
        </is>
      </c>
      <c r="R77" s="111" t="n"/>
    </row>
    <row r="78" ht="35.05" customHeight="1" s="75">
      <c r="A78" s="104" t="n">
        <v>66</v>
      </c>
      <c r="B78" s="105" t="inlineStr">
        <is>
          <t>P3-BE-05</t>
        </is>
      </c>
      <c r="C78" s="81" t="n">
        <v>3</v>
      </c>
      <c r="D78" s="82" t="inlineStr">
        <is>
          <t>Athlete Network</t>
        </is>
      </c>
      <c r="E78" s="139" t="inlineStr">
        <is>
          <t>BE</t>
        </is>
      </c>
      <c r="F78" s="120" t="inlineStr">
        <is>
          <t>Code</t>
        </is>
      </c>
      <c r="G78" s="80" t="inlineStr">
        <is>
          <t>Content capabilities, brand interests and restrictions</t>
        </is>
      </c>
      <c r="H78" s="107" t="inlineStr">
        <is>
          <t>Store what content an athlete can make, which brands they like, and crucially what they are forbidden from promoting — the last one drives conflict checking later.</t>
        </is>
      </c>
      <c r="I78" s="108" t="inlineStr">
        <is>
          <t>Blocked</t>
        </is>
      </c>
      <c r="J78" s="108" t="n">
        <v>1</v>
      </c>
      <c r="K78" s="109" t="n"/>
      <c r="L78" s="109" t="n"/>
      <c r="M78" s="110" t="n"/>
      <c r="N78" s="81" t="n">
        <v>39</v>
      </c>
      <c r="O78" s="80" t="inlineStr">
        <is>
          <t>P3-BE-01</t>
        </is>
      </c>
      <c r="P78" s="80" t="inlineStr">
        <is>
          <t>All three §11 sections stored; restrictions are queryable for the conflict check in Phase 4</t>
        </is>
      </c>
      <c r="Q78" s="82" t="inlineStr">
        <is>
          <t>§11, §26</t>
        </is>
      </c>
      <c r="R78" s="111" t="n"/>
    </row>
    <row r="79" ht="23.85" customHeight="1" s="75">
      <c r="A79" s="112" t="n">
        <v>67</v>
      </c>
      <c r="B79" s="113" t="inlineStr">
        <is>
          <t>P3-BE-06</t>
        </is>
      </c>
      <c r="C79" s="85" t="n">
        <v>3</v>
      </c>
      <c r="D79" s="86" t="inlineStr">
        <is>
          <t>Athlete Network</t>
        </is>
      </c>
      <c r="E79" s="137" t="inlineStr">
        <is>
          <t>BE</t>
        </is>
      </c>
      <c r="F79" s="122" t="inlineStr">
        <is>
          <t>Code</t>
        </is>
      </c>
      <c r="G79" s="84" t="inlineStr">
        <is>
          <t>Agreement acceptance with body hash</t>
        </is>
      </c>
      <c r="H79" s="116" t="inlineStr">
        <is>
          <t>When someone accepts an agreement, record a fingerprint of the exact text they were shown, plus who, when and from where. That is what makes it hold up, not a signature image.</t>
        </is>
      </c>
      <c r="I79" s="108" t="inlineStr">
        <is>
          <t>Blocked</t>
        </is>
      </c>
      <c r="J79" s="108" t="n">
        <v>3</v>
      </c>
      <c r="K79" s="109" t="n"/>
      <c r="L79" s="109" t="n"/>
      <c r="M79" s="110" t="n"/>
      <c r="N79" s="85" t="n">
        <v>30</v>
      </c>
      <c r="O79" s="84" t="inlineStr">
        <is>
          <t>P0-LEG-01, P0-LEG-03</t>
        </is>
      </c>
      <c r="P79" s="84" t="inlineStr">
        <is>
          <t>Acceptance records agreement version, body hash, signer, timestamp, IP, user agent and guardian where applicable</t>
        </is>
      </c>
      <c r="Q79" s="86" t="inlineStr">
        <is>
          <t>§12, Guide §08</t>
        </is>
      </c>
      <c r="R79" s="111" t="n"/>
    </row>
    <row r="80" ht="32.8" customHeight="1" s="75">
      <c r="A80" s="104" t="n">
        <v>68</v>
      </c>
      <c r="B80" s="105" t="inlineStr">
        <is>
          <t>P3-BE-07</t>
        </is>
      </c>
      <c r="C80" s="81" t="n">
        <v>3</v>
      </c>
      <c r="D80" s="82" t="inlineStr">
        <is>
          <t>Athlete Network</t>
        </is>
      </c>
      <c r="E80" s="139" t="inlineStr">
        <is>
          <t>BE</t>
        </is>
      </c>
      <c r="F80" s="120" t="inlineStr">
        <is>
          <t>Code</t>
        </is>
      </c>
      <c r="G80" s="80" t="inlineStr">
        <is>
          <t>Application review + approval domain functions</t>
        </is>
      </c>
      <c r="H80" s="107" t="inlineStr">
        <is>
          <t>The admin actions: approve, request changes, reject. Every decision recorded and the applicant notified.</t>
        </is>
      </c>
      <c r="I80" s="108" t="inlineStr">
        <is>
          <t>Blocked</t>
        </is>
      </c>
      <c r="J80" s="108" t="n">
        <v>3</v>
      </c>
      <c r="K80" s="109" t="n"/>
      <c r="L80" s="109" t="n"/>
      <c r="M80" s="110" t="n"/>
      <c r="N80" s="81" t="n">
        <v>3</v>
      </c>
      <c r="O80" s="80" t="inlineStr">
        <is>
          <t>P3-BE-01</t>
        </is>
      </c>
      <c r="P80" s="80" t="inlineStr">
        <is>
          <t>Admin can approve, request changes or reject; every transition is audited and notifies the applicant</t>
        </is>
      </c>
      <c r="Q80" s="82" t="inlineStr">
        <is>
          <t>§13, §23</t>
        </is>
      </c>
      <c r="R80" s="111" t="n"/>
    </row>
    <row r="81" ht="23.85" customHeight="1" s="75">
      <c r="A81" s="112" t="n">
        <v>69</v>
      </c>
      <c r="B81" s="113" t="inlineStr">
        <is>
          <t>P3-INT-01</t>
        </is>
      </c>
      <c r="C81" s="85" t="n">
        <v>3</v>
      </c>
      <c r="D81" s="86" t="inlineStr">
        <is>
          <t>Athlete Network</t>
        </is>
      </c>
      <c r="E81" s="141" t="inlineStr">
        <is>
          <t>INT</t>
        </is>
      </c>
      <c r="F81" s="122" t="inlineStr">
        <is>
          <t>Code</t>
        </is>
      </c>
      <c r="G81" s="84" t="inlineStr">
        <is>
          <t>Build the transactional email send interface</t>
        </is>
      </c>
      <c r="H81" s="116" t="inlineStr">
        <is>
          <t>One function for sending email, with the chosen vendor hidden behind it, so switching vendors later touches one file. Every send is a background job so it retries.</t>
        </is>
      </c>
      <c r="I81" s="108" t="inlineStr">
        <is>
          <t>Blocked</t>
        </is>
      </c>
      <c r="J81" s="108" t="n">
        <v>3</v>
      </c>
      <c r="K81" s="109" t="n"/>
      <c r="L81" s="109" t="n"/>
      <c r="M81" s="110" t="n"/>
      <c r="N81" s="85" t="n">
        <v>3</v>
      </c>
      <c r="O81" s="84" t="inlineStr">
        <is>
          <t>P0-PMO-03</t>
        </is>
      </c>
      <c r="P81" s="84" t="inlineStr">
        <is>
          <t>A single send() abstraction behind which the chosen vendor sits; every send is a queued job so it retries</t>
        </is>
      </c>
      <c r="Q81" s="86" t="inlineStr">
        <is>
          <t>Addendum A1, Guide §10</t>
        </is>
      </c>
      <c r="R81" s="111" t="n"/>
    </row>
    <row r="82" ht="35.05" customHeight="1" s="75">
      <c r="A82" s="104" t="n">
        <v>70</v>
      </c>
      <c r="B82" s="105" t="inlineStr">
        <is>
          <t>P3-BE-08</t>
        </is>
      </c>
      <c r="C82" s="81" t="n">
        <v>3</v>
      </c>
      <c r="D82" s="82" t="inlineStr">
        <is>
          <t>Athlete Network</t>
        </is>
      </c>
      <c r="E82" s="139" t="inlineStr">
        <is>
          <t>BE</t>
        </is>
      </c>
      <c r="F82" s="120" t="inlineStr">
        <is>
          <t>Code</t>
        </is>
      </c>
      <c r="G82" s="80" t="inlineStr">
        <is>
          <t>Seed the SX-01…SX-07 NIL job catalogue</t>
        </is>
      </c>
      <c r="H82" s="107" t="inlineStr">
        <is>
          <t>Load the seven standard job types into the database with their pay and price bands.</t>
        </is>
      </c>
      <c r="I82" s="108" t="inlineStr">
        <is>
          <t>Blocked</t>
        </is>
      </c>
      <c r="J82" s="108" t="n">
        <v>1</v>
      </c>
      <c r="K82" s="109" t="n"/>
      <c r="L82" s="109" t="n"/>
      <c r="M82" s="110" t="n"/>
      <c r="N82" s="81" t="n">
        <v>2</v>
      </c>
      <c r="O82" s="80" t="inlineStr">
        <is>
          <t>P0-PMO-09, P2-BE-02</t>
        </is>
      </c>
      <c r="P82" s="80" t="inlineStr">
        <is>
          <t>All seven jobs seeded with base pay and sell price bands from §5</t>
        </is>
      </c>
      <c r="Q82" s="82" t="inlineStr">
        <is>
          <t>§5</t>
        </is>
      </c>
      <c r="R82" s="111" t="n"/>
    </row>
    <row r="83" ht="35.05" customHeight="1" s="75">
      <c r="A83" s="112" t="n">
        <v>71</v>
      </c>
      <c r="B83" s="113" t="inlineStr">
        <is>
          <t>P3-BE-03</t>
        </is>
      </c>
      <c r="C83" s="85" t="n">
        <v>3</v>
      </c>
      <c r="D83" s="86" t="inlineStr">
        <is>
          <t>Athlete Network</t>
        </is>
      </c>
      <c r="E83" s="137" t="inlineStr">
        <is>
          <t>BE</t>
        </is>
      </c>
      <c r="F83" s="122" t="inlineStr">
        <is>
          <t>Code</t>
        </is>
      </c>
      <c r="G83" s="84" t="inlineStr">
        <is>
          <t>Guardian model, linkage and verification</t>
        </is>
      </c>
      <c r="H83" s="116" t="inlineStr">
        <is>
          <t>Link minor athletes to a verified parent or guardian, and make participation depend on that verification.</t>
        </is>
      </c>
      <c r="I83" s="108" t="inlineStr">
        <is>
          <t>Blocked</t>
        </is>
      </c>
      <c r="J83" s="108" t="n">
        <v>3</v>
      </c>
      <c r="K83" s="109" t="n"/>
      <c r="L83" s="109" t="n"/>
      <c r="M83" s="110" t="n"/>
      <c r="N83" s="85" t="n">
        <v>1</v>
      </c>
      <c r="O83" s="84" t="inlineStr">
        <is>
          <t>P3-BE-01</t>
        </is>
      </c>
      <c r="P83" s="84" t="inlineStr">
        <is>
          <t>Minor athletes require a linked Guardian; verifiedAt gates participation; unverified guardian blocks acceptance downstream</t>
        </is>
      </c>
      <c r="Q83" s="86" t="inlineStr">
        <is>
          <t>§4, §11, §37</t>
        </is>
      </c>
      <c r="R83" s="111" t="n"/>
    </row>
    <row r="84" ht="35.05" customHeight="1" s="75">
      <c r="A84" s="104" t="n">
        <v>72</v>
      </c>
      <c r="B84" s="105" t="inlineStr">
        <is>
          <t>P3-BE-04</t>
        </is>
      </c>
      <c r="C84" s="81" t="n">
        <v>3</v>
      </c>
      <c r="D84" s="82" t="inlineStr">
        <is>
          <t>Athlete Network</t>
        </is>
      </c>
      <c r="E84" s="139" t="inlineStr">
        <is>
          <t>BE</t>
        </is>
      </c>
      <c r="F84" s="120" t="inlineStr">
        <is>
          <t>Code</t>
        </is>
      </c>
      <c r="G84" s="80" t="inlineStr">
        <is>
          <t>Social account capture with provenance</t>
        </is>
      </c>
      <c r="H84" s="107" t="inlineStr">
        <is>
          <t>Record social handles and follower counts, tagged with where the number came from — initially the athlete's own word.</t>
        </is>
      </c>
      <c r="I84" s="108" t="inlineStr">
        <is>
          <t>Blocked</t>
        </is>
      </c>
      <c r="J84" s="108" t="n">
        <v>1</v>
      </c>
      <c r="K84" s="109" t="n"/>
      <c r="L84" s="109" t="n"/>
      <c r="M84" s="110" t="n"/>
      <c r="N84" s="81" t="n">
        <v>1</v>
      </c>
      <c r="O84" s="80" t="inlineStr">
        <is>
          <t>P3-BE-01</t>
        </is>
      </c>
      <c r="P84" s="80" t="inlineStr">
        <is>
          <t>AthleteSocial records platform, handle, followers, avgViews and a MetricSource label — defaulting to SELF_REPORTED</t>
        </is>
      </c>
      <c r="Q84" s="82" t="inlineStr">
        <is>
          <t>§11, §22</t>
        </is>
      </c>
      <c r="R84" s="111" t="n"/>
    </row>
    <row r="85" ht="23.85" customHeight="1" s="75">
      <c r="A85" s="112" t="n">
        <v>73</v>
      </c>
      <c r="B85" s="113" t="inlineStr">
        <is>
          <t>P3-BE-09</t>
        </is>
      </c>
      <c r="C85" s="85" t="n">
        <v>3</v>
      </c>
      <c r="D85" s="86" t="inlineStr">
        <is>
          <t>Athlete Network</t>
        </is>
      </c>
      <c r="E85" s="137" t="inlineStr">
        <is>
          <t>BE</t>
        </is>
      </c>
      <c r="F85" s="122" t="inlineStr">
        <is>
          <t>Code</t>
        </is>
      </c>
      <c r="G85" s="84" t="inlineStr">
        <is>
          <t>Athlete rate card with tier multiplier</t>
        </is>
      </c>
      <c r="H85" s="116" t="inlineStr">
        <is>
          <t>Set each athlete's individual rate per job type, with a manual tier multiplier. These numbers must never be visible to sponsors.</t>
        </is>
      </c>
      <c r="I85" s="108" t="inlineStr">
        <is>
          <t>Blocked</t>
        </is>
      </c>
      <c r="J85" s="108" t="n">
        <v>3</v>
      </c>
      <c r="K85" s="109" t="n"/>
      <c r="L85" s="109" t="n"/>
      <c r="M85" s="110" t="n"/>
      <c r="N85" s="85" t="n">
        <v>1</v>
      </c>
      <c r="O85" s="84" t="inlineStr">
        <is>
          <t>P3-BE-08</t>
        </is>
      </c>
      <c r="P85" s="84" t="inlineStr">
        <is>
          <t>Network manager sets tier and per-job rate manually; rates are versioned; AthleteRate.amount is never exposed to a sponsor-scoped query</t>
        </is>
      </c>
      <c r="Q85" s="86" t="inlineStr">
        <is>
          <t>§6, Guide §04</t>
        </is>
      </c>
      <c r="R85" s="111" t="n"/>
    </row>
    <row r="86" ht="35.05" customHeight="1" s="75">
      <c r="A86" s="104" t="n">
        <v>74</v>
      </c>
      <c r="B86" s="105" t="inlineStr">
        <is>
          <t>P3-BE-11</t>
        </is>
      </c>
      <c r="C86" s="81" t="n">
        <v>3</v>
      </c>
      <c r="D86" s="82" t="inlineStr">
        <is>
          <t>Athlete Network</t>
        </is>
      </c>
      <c r="E86" s="139" t="inlineStr">
        <is>
          <t>BE</t>
        </is>
      </c>
      <c r="F86" s="120" t="inlineStr">
        <is>
          <t>Code</t>
        </is>
      </c>
      <c r="G86" s="80" t="inlineStr">
        <is>
          <t>Seed the sponsor package catalogue</t>
        </is>
      </c>
      <c r="H86" s="107" t="inlineStr">
        <is>
          <t>Load the six sponsor packages into the database.</t>
        </is>
      </c>
      <c r="I86" s="108" t="inlineStr">
        <is>
          <t>Blocked</t>
        </is>
      </c>
      <c r="J86" s="108" t="n">
        <v>1</v>
      </c>
      <c r="K86" s="109" t="n"/>
      <c r="L86" s="109" t="n"/>
      <c r="M86" s="110" t="n"/>
      <c r="N86" s="81" t="n">
        <v>1</v>
      </c>
      <c r="O86" s="80" t="inlineStr">
        <is>
          <t>P0-PMO-10</t>
        </is>
      </c>
      <c r="P86" s="80" t="inlineStr">
        <is>
          <t>All six §7 packages seeded with price band, athlete count and inventory</t>
        </is>
      </c>
      <c r="Q86" s="82" t="inlineStr">
        <is>
          <t>§7</t>
        </is>
      </c>
      <c r="R86" s="111" t="n"/>
    </row>
    <row r="87" ht="23.85" customHeight="1" s="75">
      <c r="A87" s="112" t="n">
        <v>75</v>
      </c>
      <c r="B87" s="113" t="inlineStr">
        <is>
          <t>P3-DATA-01</t>
        </is>
      </c>
      <c r="C87" s="85" t="n">
        <v>3</v>
      </c>
      <c r="D87" s="86" t="inlineStr">
        <is>
          <t>Athlete Network</t>
        </is>
      </c>
      <c r="E87" s="129" t="inlineStr">
        <is>
          <t>DATA</t>
        </is>
      </c>
      <c r="F87" s="122" t="inlineStr">
        <is>
          <t>Code</t>
        </is>
      </c>
      <c r="G87" s="84" t="inlineStr">
        <is>
          <t>Pilot cohort import job</t>
        </is>
      </c>
      <c r="H87" s="116" t="inlineStr">
        <is>
          <t>Import the first 25 real athletes as a repeatable script, tested on staging first. Never hand-type production data.</t>
        </is>
      </c>
      <c r="I87" s="108" t="inlineStr">
        <is>
          <t>Blocked</t>
        </is>
      </c>
      <c r="J87" s="108" t="n">
        <v>3</v>
      </c>
      <c r="K87" s="109" t="n"/>
      <c r="L87" s="109" t="n"/>
      <c r="M87" s="110" t="n"/>
      <c r="N87" s="85" t="n">
        <v>1</v>
      </c>
      <c r="O87" s="84" t="inlineStr">
        <is>
          <t>P2-OPS-05</t>
        </is>
      </c>
      <c r="P87" s="84" t="inlineStr">
        <is>
          <t>The first 25 athletes can be imported as a job, run against staging first — never hand-seeded into production</t>
        </is>
      </c>
      <c r="Q87" s="86" t="inlineStr">
        <is>
          <t>Guide §10, §36</t>
        </is>
      </c>
      <c r="R87" s="111" t="n"/>
    </row>
    <row r="88" ht="46.25" customHeight="1" s="75">
      <c r="A88" s="104" t="n">
        <v>76</v>
      </c>
      <c r="B88" s="105" t="inlineStr">
        <is>
          <t>P3-FE-02</t>
        </is>
      </c>
      <c r="C88" s="81" t="n">
        <v>3</v>
      </c>
      <c r="D88" s="82" t="inlineStr">
        <is>
          <t>Athlete Network</t>
        </is>
      </c>
      <c r="E88" s="119" t="inlineStr">
        <is>
          <t>FE</t>
        </is>
      </c>
      <c r="F88" s="120" t="inlineStr">
        <is>
          <t>Code</t>
        </is>
      </c>
      <c r="G88" s="80" t="inlineStr">
        <is>
          <t>Wire the admin application review queue</t>
        </is>
      </c>
      <c r="H88" s="107" t="inlineStr">
        <is>
          <t>Connect the admin review queue to real applications, with the score breakdown visible.</t>
        </is>
      </c>
      <c r="I88" s="108" t="inlineStr">
        <is>
          <t>Blocked</t>
        </is>
      </c>
      <c r="J88" s="108" t="n">
        <v>3</v>
      </c>
      <c r="K88" s="109" t="n"/>
      <c r="L88" s="109" t="n"/>
      <c r="M88" s="110" t="n"/>
      <c r="N88" s="81" t="n">
        <v>1</v>
      </c>
      <c r="O88" s="80" t="inlineStr">
        <is>
          <t>P3-BE-07</t>
        </is>
      </c>
      <c r="P88" s="80" t="inlineStr">
        <is>
          <t>Real applications appear; approve / request-changes / reject all work; the score factor snapshot renders</t>
        </is>
      </c>
      <c r="Q88" s="82" t="inlineStr">
        <is>
          <t>§23</t>
        </is>
      </c>
      <c r="R88" s="111" t="n"/>
    </row>
    <row r="89" ht="35.05" customHeight="1" s="75">
      <c r="A89" s="112" t="n">
        <v>77</v>
      </c>
      <c r="B89" s="113" t="inlineStr">
        <is>
          <t>P3-BE-02</t>
        </is>
      </c>
      <c r="C89" s="85" t="n">
        <v>3</v>
      </c>
      <c r="D89" s="86" t="inlineStr">
        <is>
          <t>Athlete Network</t>
        </is>
      </c>
      <c r="E89" s="137" t="inlineStr">
        <is>
          <t>BE</t>
        </is>
      </c>
      <c r="F89" s="122" t="inlineStr">
        <is>
          <t>Code</t>
        </is>
      </c>
      <c r="G89" s="84" t="inlineStr">
        <is>
          <t>Athlete scope function + matrix rows</t>
        </is>
      </c>
      <c r="H89" s="116" t="inlineStr">
        <is>
          <t>Define who can see which athletes: admins see all, athletes see themselves, guardians see their children, sponsors see only athletes on their own campaigns.</t>
        </is>
      </c>
      <c r="I89" s="108" t="inlineStr">
        <is>
          <t>Blocked</t>
        </is>
      </c>
      <c r="J89" s="108" t="n">
        <v>1</v>
      </c>
      <c r="K89" s="109" t="n"/>
      <c r="L89" s="109" t="n"/>
      <c r="M89" s="110" t="n"/>
      <c r="N89" s="85" t="n">
        <v>0</v>
      </c>
      <c r="O89" s="84" t="inlineStr">
        <is>
          <t>P3-BE-01, P2-SEC-01</t>
        </is>
      </c>
      <c r="P89" s="84" t="inlineStr">
        <is>
          <t>Admin sees tenant-wide; athlete sees self; guardian sees wards; property manager sees own-property; sponsor sees only ACTIVE athletes on their own campaigns</t>
        </is>
      </c>
      <c r="Q89" s="86" t="inlineStr">
        <is>
          <t>Guide §04</t>
        </is>
      </c>
      <c r="R89" s="111" t="n"/>
    </row>
    <row r="90" ht="23.85" customHeight="1" s="75">
      <c r="A90" s="104" t="n">
        <v>78</v>
      </c>
      <c r="B90" s="105" t="inlineStr">
        <is>
          <t>P3-BE-10</t>
        </is>
      </c>
      <c r="C90" s="81" t="n">
        <v>3</v>
      </c>
      <c r="D90" s="82" t="inlineStr">
        <is>
          <t>Athlete Network</t>
        </is>
      </c>
      <c r="E90" s="139" t="inlineStr">
        <is>
          <t>BE</t>
        </is>
      </c>
      <c r="F90" s="120" t="inlineStr">
        <is>
          <t>Code</t>
        </is>
      </c>
      <c r="G90" s="80" t="inlineStr">
        <is>
          <t>Content Value Score v1 with factor snapshot</t>
        </is>
      </c>
      <c r="H90" s="107" t="inlineStr">
        <is>
          <t>Calculate the athlete's score and store the full breakdown behind it, not just the number. A score without its reasoning cannot be explained to an athlete.</t>
        </is>
      </c>
      <c r="I90" s="108" t="inlineStr">
        <is>
          <t>Blocked</t>
        </is>
      </c>
      <c r="J90" s="108" t="n">
        <v>3</v>
      </c>
      <c r="K90" s="109" t="n"/>
      <c r="L90" s="109" t="n"/>
      <c r="M90" s="110" t="n"/>
      <c r="N90" s="81" t="n">
        <v>0</v>
      </c>
      <c r="O90" s="80" t="inlineStr">
        <is>
          <t>P0-DATA-03, P3-BE-01</t>
        </is>
      </c>
      <c r="P90" s="80" t="inlineStr">
        <is>
          <t>AthleteScore stores the score, the full factor JSON and method: "rules-v1" — a number without its factors is not acceptable</t>
        </is>
      </c>
      <c r="Q90" s="82" t="inlineStr">
        <is>
          <t>§14</t>
        </is>
      </c>
      <c r="R90" s="111" t="n"/>
    </row>
    <row r="91" ht="23.85" customHeight="1" s="75">
      <c r="A91" s="112" t="n">
        <v>79</v>
      </c>
      <c r="B91" s="113" t="inlineStr">
        <is>
          <t>P3-FE-01</t>
        </is>
      </c>
      <c r="C91" s="85" t="n">
        <v>3</v>
      </c>
      <c r="D91" s="86" t="inlineStr">
        <is>
          <t>Athlete Network</t>
        </is>
      </c>
      <c r="E91" s="121" t="inlineStr">
        <is>
          <t>FE</t>
        </is>
      </c>
      <c r="F91" s="122" t="inlineStr">
        <is>
          <t>Code</t>
        </is>
      </c>
      <c r="G91" s="84" t="inlineStr">
        <is>
          <t>Wire /join to the real application API</t>
        </is>
      </c>
      <c r="H91" s="116" t="inlineStr">
        <is>
          <t>Connect the public sign-up page to the real system, including the parent branch for minors.</t>
        </is>
      </c>
      <c r="I91" s="108" t="inlineStr">
        <is>
          <t>Blocked</t>
        </is>
      </c>
      <c r="J91" s="108" t="n">
        <v>3</v>
      </c>
      <c r="K91" s="109" t="n"/>
      <c r="L91" s="109" t="n"/>
      <c r="M91" s="110" t="n"/>
      <c r="N91" s="85" t="n">
        <v>0</v>
      </c>
      <c r="O91" s="84" t="inlineStr">
        <is>
          <t>P3-BE-01</t>
        </is>
      </c>
      <c r="P91" s="84" t="inlineStr">
        <is>
          <t>A real application submits, validates and persists; the guardian branch appears for minors</t>
        </is>
      </c>
      <c r="Q91" s="86" t="inlineStr">
        <is>
          <t>§11</t>
        </is>
      </c>
      <c r="R91" s="111" t="n"/>
    </row>
    <row r="92" ht="23.85" customHeight="1" s="75">
      <c r="A92" s="104" t="n">
        <v>80</v>
      </c>
      <c r="B92" s="105" t="inlineStr">
        <is>
          <t>P3-FE-03</t>
        </is>
      </c>
      <c r="C92" s="81" t="n">
        <v>3</v>
      </c>
      <c r="D92" s="82" t="inlineStr">
        <is>
          <t>Athlete Network</t>
        </is>
      </c>
      <c r="E92" s="119" t="inlineStr">
        <is>
          <t>FE</t>
        </is>
      </c>
      <c r="F92" s="120" t="inlineStr">
        <is>
          <t>Code</t>
        </is>
      </c>
      <c r="G92" s="80" t="inlineStr">
        <is>
          <t>Wire the athlete profile and completion meter</t>
        </is>
      </c>
      <c r="H92" s="107" t="inlineStr">
        <is>
          <t>Show real profile data and a completion meter that reflects what is actually filled in.</t>
        </is>
      </c>
      <c r="I92" s="108" t="inlineStr">
        <is>
          <t>Blocked</t>
        </is>
      </c>
      <c r="J92" s="108" t="n">
        <v>3</v>
      </c>
      <c r="K92" s="109" t="n"/>
      <c r="L92" s="109" t="n"/>
      <c r="M92" s="110" t="n"/>
      <c r="N92" s="81" t="n">
        <v>0</v>
      </c>
      <c r="O92" s="80" t="inlineStr">
        <is>
          <t>P3-BE-04</t>
        </is>
      </c>
      <c r="P92" s="80" t="inlineStr">
        <is>
          <t>Real profile data renders; the completion meter reflects actual §11 section state</t>
        </is>
      </c>
      <c r="Q92" s="82" t="inlineStr">
        <is>
          <t>§24</t>
        </is>
      </c>
      <c r="R92" s="111" t="n"/>
    </row>
    <row r="93" ht="23.85" customHeight="1" s="75">
      <c r="A93" s="112" t="n">
        <v>81</v>
      </c>
      <c r="B93" s="113" t="inlineStr">
        <is>
          <t>P3-FE-04</t>
        </is>
      </c>
      <c r="C93" s="85" t="n">
        <v>3</v>
      </c>
      <c r="D93" s="86" t="inlineStr">
        <is>
          <t>Athlete Network</t>
        </is>
      </c>
      <c r="E93" s="121" t="inlineStr">
        <is>
          <t>FE</t>
        </is>
      </c>
      <c r="F93" s="122" t="inlineStr">
        <is>
          <t>Code</t>
        </is>
      </c>
      <c r="G93" s="84" t="inlineStr">
        <is>
          <t>Wire the athlete rate card view</t>
        </is>
      </c>
      <c r="H93" s="116" t="inlineStr">
        <is>
          <t>Let an athlete see their own rates — and nobody else's.</t>
        </is>
      </c>
      <c r="I93" s="108" t="inlineStr">
        <is>
          <t>Blocked</t>
        </is>
      </c>
      <c r="J93" s="108" t="n">
        <v>1</v>
      </c>
      <c r="K93" s="109" t="n"/>
      <c r="L93" s="109" t="n"/>
      <c r="M93" s="110" t="n"/>
      <c r="N93" s="85" t="n">
        <v>0</v>
      </c>
      <c r="O93" s="84" t="inlineStr">
        <is>
          <t>P3-BE-09</t>
        </is>
      </c>
      <c r="P93" s="84" t="inlineStr">
        <is>
          <t>An athlete sees their own rates; no other athlete's rates are reachable</t>
        </is>
      </c>
      <c r="Q93" s="86" t="inlineStr">
        <is>
          <t>§24, Guide §04</t>
        </is>
      </c>
      <c r="R93" s="111" t="n"/>
    </row>
    <row r="94" ht="23.85" customHeight="1" s="75">
      <c r="A94" s="104" t="n">
        <v>82</v>
      </c>
      <c r="B94" s="105" t="inlineStr">
        <is>
          <t>P3-FE-05</t>
        </is>
      </c>
      <c r="C94" s="81" t="n">
        <v>3</v>
      </c>
      <c r="D94" s="82" t="inlineStr">
        <is>
          <t>Athlete Network</t>
        </is>
      </c>
      <c r="E94" s="119" t="inlineStr">
        <is>
          <t>FE</t>
        </is>
      </c>
      <c r="F94" s="120" t="inlineStr">
        <is>
          <t>Code</t>
        </is>
      </c>
      <c r="G94" s="80" t="inlineStr">
        <is>
          <t>Wire the public package catalogue</t>
        </is>
      </c>
      <c r="H94" s="107" t="inlineStr">
        <is>
          <t>Show the real packages publicly, with sponsor prices only. Athlete pay must never appear on a public page.</t>
        </is>
      </c>
      <c r="I94" s="108" t="inlineStr">
        <is>
          <t>Blocked</t>
        </is>
      </c>
      <c r="J94" s="108" t="n">
        <v>1</v>
      </c>
      <c r="K94" s="109" t="n"/>
      <c r="L94" s="109" t="n"/>
      <c r="M94" s="110" t="n"/>
      <c r="N94" s="81" t="n">
        <v>0</v>
      </c>
      <c r="O94" s="80" t="inlineStr">
        <is>
          <t>P3-BE-11</t>
        </is>
      </c>
      <c r="P94" s="80" t="inlineStr">
        <is>
          <t>Real packages render with sponsor prices only — athlete base pay never appears on a public surface</t>
        </is>
      </c>
      <c r="Q94" s="82" t="inlineStr">
        <is>
          <t>§7</t>
        </is>
      </c>
      <c r="R94" s="111" t="n"/>
    </row>
    <row r="95" ht="23.85" customHeight="1" s="75">
      <c r="A95" s="112" t="n">
        <v>83</v>
      </c>
      <c r="B95" s="113" t="inlineStr">
        <is>
          <t>P3-INT-02</t>
        </is>
      </c>
      <c r="C95" s="85" t="n">
        <v>3</v>
      </c>
      <c r="D95" s="86" t="inlineStr">
        <is>
          <t>Athlete Network</t>
        </is>
      </c>
      <c r="E95" s="141" t="inlineStr">
        <is>
          <t>INT</t>
        </is>
      </c>
      <c r="F95" s="122" t="inlineStr">
        <is>
          <t>Code</t>
        </is>
      </c>
      <c r="G95" s="84" t="inlineStr">
        <is>
          <t>Application and approval notification jobs</t>
        </is>
      </c>
      <c r="H95" s="116" t="inlineStr">
        <is>
          <t>Automatic emails when an application is received, needs changes, or is approved.</t>
        </is>
      </c>
      <c r="I95" s="108" t="inlineStr">
        <is>
          <t>Blocked</t>
        </is>
      </c>
      <c r="J95" s="108" t="n">
        <v>1</v>
      </c>
      <c r="K95" s="109" t="n"/>
      <c r="L95" s="109" t="n"/>
      <c r="M95" s="110" t="n"/>
      <c r="N95" s="85" t="n">
        <v>0</v>
      </c>
      <c r="O95" s="84" t="inlineStr">
        <is>
          <t>P3-INT-01, P3-BE-07</t>
        </is>
      </c>
      <c r="P95" s="84" t="inlineStr">
        <is>
          <t>Submission acknowledgement, changes-requested and approval emails all send as worker jobs</t>
        </is>
      </c>
      <c r="Q95" s="86" t="inlineStr">
        <is>
          <t>§39</t>
        </is>
      </c>
      <c r="R95" s="111" t="n"/>
    </row>
    <row r="96" ht="35.05" customHeight="1" s="75">
      <c r="A96" s="104" t="n">
        <v>84</v>
      </c>
      <c r="B96" s="105" t="inlineStr">
        <is>
          <t>P3-QA-01</t>
        </is>
      </c>
      <c r="C96" s="81" t="n">
        <v>3</v>
      </c>
      <c r="D96" s="82" t="inlineStr">
        <is>
          <t>Athlete Network</t>
        </is>
      </c>
      <c r="E96" s="135" t="inlineStr">
        <is>
          <t>QA</t>
        </is>
      </c>
      <c r="F96" s="120" t="inlineStr">
        <is>
          <t>Code</t>
        </is>
      </c>
      <c r="G96" s="80" t="inlineStr">
        <is>
          <t>E2E: application → approval → ACTIVE</t>
        </is>
      </c>
      <c r="H96" s="107" t="inlineStr">
        <is>
          <t>An automated test covering the whole path from application to active athlete, including the minor/guardian branch.</t>
        </is>
      </c>
      <c r="I96" s="108" t="inlineStr">
        <is>
          <t>Blocked</t>
        </is>
      </c>
      <c r="J96" s="108" t="n">
        <v>3</v>
      </c>
      <c r="K96" s="109" t="n"/>
      <c r="L96" s="109" t="n"/>
      <c r="M96" s="110" t="n"/>
      <c r="N96" s="81" t="n">
        <v>0</v>
      </c>
      <c r="O96" s="80" t="inlineStr">
        <is>
          <t>P3-FE-02</t>
        </is>
      </c>
      <c r="P96" s="80" t="inlineStr">
        <is>
          <t>The full path runs green in CI, including the minor/guardian branch</t>
        </is>
      </c>
      <c r="Q96" s="82" t="inlineStr">
        <is>
          <t>§30</t>
        </is>
      </c>
      <c r="R96" s="111" t="n"/>
    </row>
    <row r="97" ht="35.05" customHeight="1" s="75">
      <c r="A97" s="112" t="n">
        <v>85</v>
      </c>
      <c r="B97" s="113" t="inlineStr">
        <is>
          <t>P3-SEC-01</t>
        </is>
      </c>
      <c r="C97" s="85" t="n">
        <v>3</v>
      </c>
      <c r="D97" s="86" t="inlineStr">
        <is>
          <t>Athlete Network</t>
        </is>
      </c>
      <c r="E97" s="142" t="inlineStr">
        <is>
          <t>SEC</t>
        </is>
      </c>
      <c r="F97" s="130" t="inlineStr">
        <is>
          <t>Document + code</t>
        </is>
      </c>
      <c r="G97" s="84" t="inlineStr">
        <is>
          <t>Minor-athlete data handling review</t>
        </is>
      </c>
      <c r="H97" s="116" t="inlineStr">
        <is>
          <t>Check that the legal constraints around minors are enforced in the code, not just written in a document.</t>
        </is>
      </c>
      <c r="I97" s="108" t="inlineStr">
        <is>
          <t>Blocked</t>
        </is>
      </c>
      <c r="J97" s="108" t="n">
        <v>1</v>
      </c>
      <c r="K97" s="109" t="n"/>
      <c r="L97" s="109" t="n"/>
      <c r="M97" s="110" t="n"/>
      <c r="N97" s="85" t="n">
        <v>0</v>
      </c>
      <c r="O97" s="84" t="inlineStr">
        <is>
          <t>P3-BE-03, P0-LEG-06</t>
        </is>
      </c>
      <c r="P97" s="84" t="inlineStr">
        <is>
          <t>Date of birth handling, guardian PII and the constraints from P0-LEG-06 are enforced in code, not just documented</t>
        </is>
      </c>
      <c r="Q97" s="86" t="inlineStr">
        <is>
          <t>§4, §26</t>
        </is>
      </c>
      <c r="R97" s="111" t="n"/>
    </row>
    <row r="98" ht="35.05" customHeight="1" s="75">
      <c r="A98" s="104" t="n">
        <v>86</v>
      </c>
      <c r="B98" s="105" t="inlineStr">
        <is>
          <t>P4-BE-01</t>
        </is>
      </c>
      <c r="C98" s="81" t="n">
        <v>4</v>
      </c>
      <c r="D98" s="82" t="inlineStr">
        <is>
          <t>Sponsor Demand &amp; Matching</t>
        </is>
      </c>
      <c r="E98" s="139" t="inlineStr">
        <is>
          <t>BE</t>
        </is>
      </c>
      <c r="F98" s="120" t="inlineStr">
        <is>
          <t>Code</t>
        </is>
      </c>
      <c r="G98" s="80" t="inlineStr">
        <is>
          <t>Sponsor + sponsor contact models and scope</t>
        </is>
      </c>
      <c r="H98" s="107" t="inlineStr">
        <is>
          <t>Sponsor company and contact records, linked to their Zoho equivalents.</t>
        </is>
      </c>
      <c r="I98" s="108" t="inlineStr">
        <is>
          <t>Blocked</t>
        </is>
      </c>
      <c r="J98" s="108" t="n">
        <v>3</v>
      </c>
      <c r="K98" s="109" t="n"/>
      <c r="L98" s="109" t="n"/>
      <c r="M98" s="110" t="n"/>
      <c r="N98" s="81" t="n">
        <v>46</v>
      </c>
      <c r="O98" s="80" t="inlineStr">
        <is>
          <t>P2-BE-04</t>
        </is>
      </c>
      <c r="P98" s="80" t="inlineStr">
        <is>
          <t>Sponsor and contact records exist with Zoho external IDs and sync markers; sponsor scope restricts to own records</t>
        </is>
      </c>
      <c r="Q98" s="82" t="inlineStr">
        <is>
          <t>§20, §18</t>
        </is>
      </c>
      <c r="R98" s="111" t="n"/>
    </row>
    <row r="99" ht="35.05" customHeight="1" s="75">
      <c r="A99" s="112" t="n">
        <v>87</v>
      </c>
      <c r="B99" s="113" t="inlineStr">
        <is>
          <t>P4-BE-02</t>
        </is>
      </c>
      <c r="C99" s="85" t="n">
        <v>4</v>
      </c>
      <c r="D99" s="86" t="inlineStr">
        <is>
          <t>Sponsor Demand &amp; Matching</t>
        </is>
      </c>
      <c r="E99" s="137" t="inlineStr">
        <is>
          <t>BE</t>
        </is>
      </c>
      <c r="F99" s="122" t="inlineStr">
        <is>
          <t>Code</t>
        </is>
      </c>
      <c r="G99" s="84" t="inlineStr">
        <is>
          <t>Campaign brief contract, model and state machine</t>
        </is>
      </c>
      <c r="H99" s="116" t="inlineStr">
        <is>
          <t>The sponsor's campaign request: objective, budget, package, dates, who they want to reach — and its approval lifecycle.</t>
        </is>
      </c>
      <c r="I99" s="108" t="inlineStr">
        <is>
          <t>Blocked</t>
        </is>
      </c>
      <c r="J99" s="108" t="n">
        <v>3</v>
      </c>
      <c r="K99" s="109" t="n"/>
      <c r="L99" s="109" t="n"/>
      <c r="M99" s="110" t="n"/>
      <c r="N99" s="85" t="n">
        <v>45</v>
      </c>
      <c r="O99" s="84" t="inlineStr">
        <is>
          <t>P4-BE-01</t>
        </is>
      </c>
      <c r="P99" s="84" t="inlineStr">
        <is>
          <t>DRAFT→QUALIFIED→APPROVED→CAMPAIGN_CREATED→CLOSED enforced; objective, budget, package, dates, targeting and category captured</t>
        </is>
      </c>
      <c r="Q99" s="86" t="inlineStr">
        <is>
          <t>§13, §21</t>
        </is>
      </c>
      <c r="R99" s="111" t="n"/>
    </row>
    <row r="100" ht="23.85" customHeight="1" s="75">
      <c r="A100" s="104" t="n">
        <v>88</v>
      </c>
      <c r="B100" s="105" t="inlineStr">
        <is>
          <t>P4-BE-03</t>
        </is>
      </c>
      <c r="C100" s="81" t="n">
        <v>4</v>
      </c>
      <c r="D100" s="82" t="inlineStr">
        <is>
          <t>Sponsor Demand &amp; Matching</t>
        </is>
      </c>
      <c r="E100" s="139" t="inlineStr">
        <is>
          <t>BE</t>
        </is>
      </c>
      <c r="F100" s="120" t="inlineStr">
        <is>
          <t>Code</t>
        </is>
      </c>
      <c r="G100" s="80" t="inlineStr">
        <is>
          <t>Eligible-athletes query with conflict + category checks</t>
        </is>
      </c>
      <c r="H100" s="107" t="inlineStr">
        <is>
          <t>The matching engine. Given a brief, return only athletes who fit on sport, location and availability AND are not blocked by a competitor conflict or a personal restriction. The hardest query in Phase 1.</t>
        </is>
      </c>
      <c r="I100" s="108" t="inlineStr">
        <is>
          <t>Blocked</t>
        </is>
      </c>
      <c r="J100" s="108" t="n">
        <v>5</v>
      </c>
      <c r="K100" s="109" t="n"/>
      <c r="L100" s="109" t="n"/>
      <c r="M100" s="110" t="n"/>
      <c r="N100" s="81" t="n">
        <v>38</v>
      </c>
      <c r="O100" s="80" t="inlineStr">
        <is>
          <t>P4-BE-02, P3-BE-05</t>
        </is>
      </c>
      <c r="P100" s="80" t="inlineStr">
        <is>
          <t>A brief returns only athletes passing sport, geography, availability, restriction and category-conflict checks; matrix rows added</t>
        </is>
      </c>
      <c r="Q100" s="82" t="inlineStr">
        <is>
          <t>§13 step 3, §26</t>
        </is>
      </c>
      <c r="R100" s="111" t="n"/>
    </row>
    <row r="101" ht="46.25" customHeight="1" s="75">
      <c r="A101" s="112" t="n">
        <v>89</v>
      </c>
      <c r="B101" s="113" t="inlineStr">
        <is>
          <t>P4-BE-04</t>
        </is>
      </c>
      <c r="C101" s="85" t="n">
        <v>4</v>
      </c>
      <c r="D101" s="86" t="inlineStr">
        <is>
          <t>Sponsor Demand &amp; Matching</t>
        </is>
      </c>
      <c r="E101" s="137" t="inlineStr">
        <is>
          <t>BE</t>
        </is>
      </c>
      <c r="F101" s="122" t="inlineStr">
        <is>
          <t>Code</t>
        </is>
      </c>
      <c r="G101" s="84" t="inlineStr">
        <is>
          <t>Campaign invitation model and lifecycle</t>
        </is>
      </c>
      <c r="H101" s="116" t="inlineStr">
        <is>
          <t>Invitations to athletes and their lifecycle: sent, viewed, accepted, declined, expired.</t>
        </is>
      </c>
      <c r="I101" s="108" t="inlineStr">
        <is>
          <t>Blocked</t>
        </is>
      </c>
      <c r="J101" s="108" t="n">
        <v>3</v>
      </c>
      <c r="K101" s="109" t="n"/>
      <c r="L101" s="109" t="n"/>
      <c r="M101" s="110" t="n"/>
      <c r="N101" s="85" t="n">
        <v>35</v>
      </c>
      <c r="O101" s="84" t="inlineStr">
        <is>
          <t>P4-BE-03</t>
        </is>
      </c>
      <c r="P101" s="84" t="inlineStr">
        <is>
          <t>INVITED→VIEWED→ACCEPTED/DECLINED/EXPIRED enforced; every transition audited</t>
        </is>
      </c>
      <c r="Q101" s="86" t="inlineStr">
        <is>
          <t>§21</t>
        </is>
      </c>
      <c r="R101" s="111" t="n"/>
    </row>
    <row r="102" ht="23.85" customHeight="1" s="75">
      <c r="A102" s="104" t="n">
        <v>90</v>
      </c>
      <c r="B102" s="105" t="inlineStr">
        <is>
          <t>P4-BE-06</t>
        </is>
      </c>
      <c r="C102" s="81" t="n">
        <v>4</v>
      </c>
      <c r="D102" s="82" t="inlineStr">
        <is>
          <t>Sponsor Demand &amp; Matching</t>
        </is>
      </c>
      <c r="E102" s="139" t="inlineStr">
        <is>
          <t>BE</t>
        </is>
      </c>
      <c r="F102" s="120" t="inlineStr">
        <is>
          <t>Code</t>
        </is>
      </c>
      <c r="G102" s="80" t="inlineStr">
        <is>
          <t>Campaign model and staffing state</t>
        </is>
      </c>
      <c r="H102" s="107" t="inlineStr">
        <is>
          <t>The campaign record and its lifecycle. Budget must never be reachable by an athlete's account.</t>
        </is>
      </c>
      <c r="I102" s="108" t="inlineStr">
        <is>
          <t>Blocked</t>
        </is>
      </c>
      <c r="J102" s="108" t="n">
        <v>3</v>
      </c>
      <c r="K102" s="109" t="n"/>
      <c r="L102" s="109" t="n"/>
      <c r="M102" s="110" t="n"/>
      <c r="N102" s="81" t="n">
        <v>3</v>
      </c>
      <c r="O102" s="80" t="inlineStr">
        <is>
          <t>P4-BE-02</t>
        </is>
      </c>
      <c r="P102" s="80" t="inlineStr">
        <is>
          <t>DRAFT→STAFFING→APPROVAL→ACTIVE→REPORTING→COMPLETED/CANCELLED enforced; Campaign.budget never reachable from an athlete-scoped query</t>
        </is>
      </c>
      <c r="Q102" s="82" t="inlineStr">
        <is>
          <t>§21, Guide §04</t>
        </is>
      </c>
      <c r="R102" s="111" t="n"/>
    </row>
    <row r="103" ht="35.05" customHeight="1" s="75">
      <c r="A103" s="112" t="n">
        <v>91</v>
      </c>
      <c r="B103" s="113" t="inlineStr">
        <is>
          <t>P4-FE-01</t>
        </is>
      </c>
      <c r="C103" s="85" t="n">
        <v>4</v>
      </c>
      <c r="D103" s="86" t="inlineStr">
        <is>
          <t>Sponsor Demand &amp; Matching</t>
        </is>
      </c>
      <c r="E103" s="121" t="inlineStr">
        <is>
          <t>FE</t>
        </is>
      </c>
      <c r="F103" s="122" t="inlineStr">
        <is>
          <t>Code</t>
        </is>
      </c>
      <c r="G103" s="84" t="inlineStr">
        <is>
          <t>Wire the sponsor marketplace and brief submission</t>
        </is>
      </c>
      <c r="H103" s="116" t="inlineStr">
        <is>
          <t>Let sponsors browse packages and submit a request. Phase 1 is request-and-we-call-you, not self-service checkout.</t>
        </is>
      </c>
      <c r="I103" s="108" t="inlineStr">
        <is>
          <t>Blocked</t>
        </is>
      </c>
      <c r="J103" s="108" t="n">
        <v>3</v>
      </c>
      <c r="K103" s="109" t="n"/>
      <c r="L103" s="109" t="n"/>
      <c r="M103" s="110" t="n"/>
      <c r="N103" s="85" t="n">
        <v>1</v>
      </c>
      <c r="O103" s="84" t="inlineStr">
        <is>
          <t>P4-BE-02</t>
        </is>
      </c>
      <c r="P103" s="84" t="inlineStr">
        <is>
          <t>A sponsor browses real packages and inventory and submits a real brief — request/reserve, not self-checkout</t>
        </is>
      </c>
      <c r="Q103" s="86" t="inlineStr">
        <is>
          <t>§17, §9 screen 4</t>
        </is>
      </c>
      <c r="R103" s="111" t="n"/>
    </row>
    <row r="104" ht="35.05" customHeight="1" s="75">
      <c r="A104" s="104" t="n">
        <v>92</v>
      </c>
      <c r="B104" s="105" t="inlineStr">
        <is>
          <t>P4-FE-04</t>
        </is>
      </c>
      <c r="C104" s="81" t="n">
        <v>4</v>
      </c>
      <c r="D104" s="82" t="inlineStr">
        <is>
          <t>Sponsor Demand &amp; Matching</t>
        </is>
      </c>
      <c r="E104" s="119" t="inlineStr">
        <is>
          <t>FE</t>
        </is>
      </c>
      <c r="F104" s="120" t="inlineStr">
        <is>
          <t>Code</t>
        </is>
      </c>
      <c r="G104" s="80" t="inlineStr">
        <is>
          <t>Wire the athlete invitation inbox</t>
        </is>
      </c>
      <c r="H104" s="107" t="inlineStr">
        <is>
          <t>The athlete's invitation inbox — opening one marks it viewed; accept and decline both work.</t>
        </is>
      </c>
      <c r="I104" s="108" t="inlineStr">
        <is>
          <t>Blocked</t>
        </is>
      </c>
      <c r="J104" s="108" t="n">
        <v>3</v>
      </c>
      <c r="K104" s="109" t="n"/>
      <c r="L104" s="109" t="n"/>
      <c r="M104" s="110" t="n"/>
      <c r="N104" s="81" t="n">
        <v>1</v>
      </c>
      <c r="O104" s="80" t="inlineStr">
        <is>
          <t>P4-BE-04</t>
        </is>
      </c>
      <c r="P104" s="80" t="inlineStr">
        <is>
          <t>Real invitations render in all five states; viewing transitions INVITED→VIEWED; accept and decline both work</t>
        </is>
      </c>
      <c r="Q104" s="82" t="inlineStr">
        <is>
          <t>§24</t>
        </is>
      </c>
      <c r="R104" s="111" t="n"/>
    </row>
    <row r="105" ht="23.85" customHeight="1" s="75">
      <c r="A105" s="112" t="n">
        <v>93</v>
      </c>
      <c r="B105" s="113" t="inlineStr">
        <is>
          <t>P4-ART-01</t>
        </is>
      </c>
      <c r="C105" s="85" t="n">
        <v>4</v>
      </c>
      <c r="D105" s="86" t="inlineStr">
        <is>
          <t>Sponsor Demand &amp; Matching</t>
        </is>
      </c>
      <c r="E105" s="114" t="inlineStr">
        <is>
          <t>ART</t>
        </is>
      </c>
      <c r="F105" s="115" t="inlineStr">
        <is>
          <t>Design tool</t>
        </is>
      </c>
      <c r="G105" s="84" t="inlineStr">
        <is>
          <t>Design the matching and roster-review experience</t>
        </is>
      </c>
      <c r="H105" s="116" t="inlineStr">
        <is>
          <t>Design the matching screen before it is built. It is the densest screen in the product: filters, roster comparison, scores side by side.</t>
        </is>
      </c>
      <c r="I105" s="108" t="inlineStr">
        <is>
          <t>Ready</t>
        </is>
      </c>
      <c r="J105" s="108" t="n">
        <v>3</v>
      </c>
      <c r="K105" s="109" t="n"/>
      <c r="L105" s="109" t="n"/>
      <c r="M105" s="110" t="n"/>
      <c r="N105" s="85" t="n">
        <v>0</v>
      </c>
      <c r="O105" s="84" t="n"/>
      <c r="P105" s="84" t="inlineStr">
        <is>
          <t>The densest admin screen in the product is designed before it is built — filters, roster comparison, score presentation</t>
        </is>
      </c>
      <c r="Q105" s="86" t="inlineStr">
        <is>
          <t>§9 screen 8</t>
        </is>
      </c>
      <c r="R105" s="111" t="n"/>
    </row>
    <row r="106" ht="23.85" customHeight="1" s="75">
      <c r="A106" s="104" t="n">
        <v>94</v>
      </c>
      <c r="B106" s="105" t="inlineStr">
        <is>
          <t>P4-BE-05</t>
        </is>
      </c>
      <c r="C106" s="81" t="n">
        <v>4</v>
      </c>
      <c r="D106" s="82" t="inlineStr">
        <is>
          <t>Sponsor Demand &amp; Matching</t>
        </is>
      </c>
      <c r="E106" s="139" t="inlineStr">
        <is>
          <t>BE</t>
        </is>
      </c>
      <c r="F106" s="120" t="inlineStr">
        <is>
          <t>Code</t>
        </is>
      </c>
      <c r="G106" s="80" t="inlineStr">
        <is>
          <t>Invitation expiry worker job</t>
        </is>
      </c>
      <c r="H106" s="107" t="inlineStr">
        <is>
          <t>A scheduled job that expires stale invitations so they cannot be accepted weeks later.</t>
        </is>
      </c>
      <c r="I106" s="108" t="inlineStr">
        <is>
          <t>Blocked</t>
        </is>
      </c>
      <c r="J106" s="108" t="n">
        <v>1</v>
      </c>
      <c r="K106" s="109" t="n"/>
      <c r="L106" s="109" t="n"/>
      <c r="M106" s="110" t="n"/>
      <c r="N106" s="81" t="n">
        <v>0</v>
      </c>
      <c r="O106" s="80" t="inlineStr">
        <is>
          <t>P4-BE-04, P2-BE-05</t>
        </is>
      </c>
      <c r="P106" s="80" t="inlineStr">
        <is>
          <t>Invitations past their window move to EXPIRED automatically and cannot be accepted afterwards</t>
        </is>
      </c>
      <c r="Q106" s="82" t="inlineStr">
        <is>
          <t>§21</t>
        </is>
      </c>
      <c r="R106" s="111" t="n"/>
    </row>
    <row r="107" ht="23.85" customHeight="1" s="75">
      <c r="A107" s="112" t="n">
        <v>95</v>
      </c>
      <c r="B107" s="113" t="inlineStr">
        <is>
          <t>P4-FE-02</t>
        </is>
      </c>
      <c r="C107" s="85" t="n">
        <v>4</v>
      </c>
      <c r="D107" s="86" t="inlineStr">
        <is>
          <t>Sponsor Demand &amp; Matching</t>
        </is>
      </c>
      <c r="E107" s="121" t="inlineStr">
        <is>
          <t>FE</t>
        </is>
      </c>
      <c r="F107" s="122" t="inlineStr">
        <is>
          <t>Code</t>
        </is>
      </c>
      <c r="G107" s="84" t="inlineStr">
        <is>
          <t>Wire the campaign builder and athlete matching UI</t>
        </is>
      </c>
      <c r="H107" s="116" t="inlineStr">
        <is>
          <t>The campaign builder: filter athletes, compare them, pick the roster.</t>
        </is>
      </c>
      <c r="I107" s="108" t="inlineStr">
        <is>
          <t>Blocked</t>
        </is>
      </c>
      <c r="J107" s="108" t="n">
        <v>5</v>
      </c>
      <c r="K107" s="109" t="n"/>
      <c r="L107" s="109" t="n"/>
      <c r="M107" s="110" t="n"/>
      <c r="N107" s="85" t="n">
        <v>0</v>
      </c>
      <c r="O107" s="84" t="inlineStr">
        <is>
          <t>P4-BE-03</t>
        </is>
      </c>
      <c r="P107" s="84" t="inlineStr">
        <is>
          <t>Campaign manager filters, reviews the eligible roster with score snapshots, and selects athletes</t>
        </is>
      </c>
      <c r="Q107" s="86" t="inlineStr">
        <is>
          <t>§9 screen 8</t>
        </is>
      </c>
      <c r="R107" s="111" t="n"/>
    </row>
    <row r="108" ht="23.85" customHeight="1" s="75">
      <c r="A108" s="104" t="n">
        <v>96</v>
      </c>
      <c r="B108" s="105" t="inlineStr">
        <is>
          <t>P4-FE-03</t>
        </is>
      </c>
      <c r="C108" s="81" t="n">
        <v>4</v>
      </c>
      <c r="D108" s="82" t="inlineStr">
        <is>
          <t>Sponsor Demand &amp; Matching</t>
        </is>
      </c>
      <c r="E108" s="119" t="inlineStr">
        <is>
          <t>FE</t>
        </is>
      </c>
      <c r="F108" s="120" t="inlineStr">
        <is>
          <t>Code</t>
        </is>
      </c>
      <c r="G108" s="80" t="inlineStr">
        <is>
          <t>Wire the invitation send flow</t>
        </is>
      </c>
      <c r="H108" s="107" t="inlineStr">
        <is>
          <t>Send invitations from the builder and show who has responded.</t>
        </is>
      </c>
      <c r="I108" s="108" t="inlineStr">
        <is>
          <t>Blocked</t>
        </is>
      </c>
      <c r="J108" s="108" t="n">
        <v>3</v>
      </c>
      <c r="K108" s="109" t="n"/>
      <c r="L108" s="109" t="n"/>
      <c r="M108" s="110" t="n"/>
      <c r="N108" s="81" t="n">
        <v>0</v>
      </c>
      <c r="O108" s="80" t="inlineStr">
        <is>
          <t>P4-BE-04</t>
        </is>
      </c>
      <c r="P108" s="80" t="inlineStr">
        <is>
          <t>Invitations send from the builder; roster shows SENT / awaiting state per athlete</t>
        </is>
      </c>
      <c r="Q108" s="82" t="inlineStr">
        <is>
          <t>§13 step 4</t>
        </is>
      </c>
      <c r="R108" s="111" t="n"/>
    </row>
    <row r="109" ht="23.85" customHeight="1" s="75">
      <c r="A109" s="112" t="n">
        <v>97</v>
      </c>
      <c r="B109" s="113" t="inlineStr">
        <is>
          <t>P4-FE-05</t>
        </is>
      </c>
      <c r="C109" s="85" t="n">
        <v>4</v>
      </c>
      <c r="D109" s="86" t="inlineStr">
        <is>
          <t>Sponsor Demand &amp; Matching</t>
        </is>
      </c>
      <c r="E109" s="121" t="inlineStr">
        <is>
          <t>FE</t>
        </is>
      </c>
      <c r="F109" s="122" t="inlineStr">
        <is>
          <t>Code</t>
        </is>
      </c>
      <c r="G109" s="84" t="inlineStr">
        <is>
          <t>Wire the sponsor dashboard to real campaign data</t>
        </is>
      </c>
      <c r="H109" s="116" t="inlineStr">
        <is>
          <t>Point the sponsor dashboard at real campaign data.</t>
        </is>
      </c>
      <c r="I109" s="108" t="inlineStr">
        <is>
          <t>Blocked</t>
        </is>
      </c>
      <c r="J109" s="108" t="n">
        <v>3</v>
      </c>
      <c r="K109" s="109" t="n"/>
      <c r="L109" s="109" t="n"/>
      <c r="M109" s="110" t="n"/>
      <c r="N109" s="85" t="n">
        <v>0</v>
      </c>
      <c r="O109" s="84" t="inlineStr">
        <is>
          <t>P4-BE-06</t>
        </is>
      </c>
      <c r="P109" s="84" t="inlineStr">
        <is>
          <t>Active campaigns, spend, package status and athlete count all come from Postgres</t>
        </is>
      </c>
      <c r="Q109" s="86" t="inlineStr">
        <is>
          <t>§9 screen 3</t>
        </is>
      </c>
      <c r="R109" s="111" t="n"/>
    </row>
    <row r="110" ht="23.85" customHeight="1" s="75">
      <c r="A110" s="104" t="n">
        <v>98</v>
      </c>
      <c r="B110" s="105" t="inlineStr">
        <is>
          <t>P4-INT-01</t>
        </is>
      </c>
      <c r="C110" s="81" t="n">
        <v>4</v>
      </c>
      <c r="D110" s="82" t="inlineStr">
        <is>
          <t>Sponsor Demand &amp; Matching</t>
        </is>
      </c>
      <c r="E110" s="138" t="inlineStr">
        <is>
          <t>INT</t>
        </is>
      </c>
      <c r="F110" s="120" t="inlineStr">
        <is>
          <t>Code</t>
        </is>
      </c>
      <c r="G110" s="80" t="inlineStr">
        <is>
          <t>Invitation notification jobs</t>
        </is>
      </c>
      <c r="H110" s="107" t="inlineStr">
        <is>
          <t>Invitation, reminder and expiry-warning emails.</t>
        </is>
      </c>
      <c r="I110" s="108" t="inlineStr">
        <is>
          <t>Blocked</t>
        </is>
      </c>
      <c r="J110" s="108" t="n">
        <v>1</v>
      </c>
      <c r="K110" s="109" t="n"/>
      <c r="L110" s="109" t="n"/>
      <c r="M110" s="110" t="n"/>
      <c r="N110" s="81" t="n">
        <v>0</v>
      </c>
      <c r="O110" s="80" t="inlineStr">
        <is>
          <t>P3-INT-01, P4-BE-04</t>
        </is>
      </c>
      <c r="P110" s="80" t="inlineStr">
        <is>
          <t>Invitation, reminder and expiry-warning emails all send as queued jobs</t>
        </is>
      </c>
      <c r="Q110" s="82" t="inlineStr">
        <is>
          <t>§39</t>
        </is>
      </c>
      <c r="R110" s="111" t="n"/>
    </row>
    <row r="111" ht="23.85" customHeight="1" s="75">
      <c r="A111" s="112" t="n">
        <v>99</v>
      </c>
      <c r="B111" s="113" t="inlineStr">
        <is>
          <t>P4-QA-01</t>
        </is>
      </c>
      <c r="C111" s="85" t="n">
        <v>4</v>
      </c>
      <c r="D111" s="86" t="inlineStr">
        <is>
          <t>Sponsor Demand &amp; Matching</t>
        </is>
      </c>
      <c r="E111" s="134" t="inlineStr">
        <is>
          <t>QA</t>
        </is>
      </c>
      <c r="F111" s="122" t="inlineStr">
        <is>
          <t>Code</t>
        </is>
      </c>
      <c r="G111" s="84" t="inlineStr">
        <is>
          <t>E2E: brief → matching → invitation → response</t>
        </is>
      </c>
      <c r="H111" s="116" t="inlineStr">
        <is>
          <t>Automated test of the whole brief-to-response path, including declines and expiry.</t>
        </is>
      </c>
      <c r="I111" s="108" t="inlineStr">
        <is>
          <t>Blocked</t>
        </is>
      </c>
      <c r="J111" s="108" t="n">
        <v>3</v>
      </c>
      <c r="K111" s="109" t="n"/>
      <c r="L111" s="109" t="n"/>
      <c r="M111" s="110" t="n"/>
      <c r="N111" s="85" t="n">
        <v>0</v>
      </c>
      <c r="O111" s="84" t="inlineStr">
        <is>
          <t>P4-FE-04</t>
        </is>
      </c>
      <c r="P111" s="84" t="inlineStr">
        <is>
          <t>The full segment runs green, including decline and expiry paths</t>
        </is>
      </c>
      <c r="Q111" s="86" t="inlineStr">
        <is>
          <t>§30</t>
        </is>
      </c>
      <c r="R111" s="111" t="n"/>
    </row>
    <row r="112" ht="23.85" customHeight="1" s="75">
      <c r="A112" s="104" t="n">
        <v>100</v>
      </c>
      <c r="B112" s="105" t="inlineStr">
        <is>
          <t>P4-SEC-01</t>
        </is>
      </c>
      <c r="C112" s="81" t="n">
        <v>4</v>
      </c>
      <c r="D112" s="82" t="inlineStr">
        <is>
          <t>Sponsor Demand &amp; Matching</t>
        </is>
      </c>
      <c r="E112" s="140" t="inlineStr">
        <is>
          <t>SEC</t>
        </is>
      </c>
      <c r="F112" s="120" t="inlineStr">
        <is>
          <t>Code</t>
        </is>
      </c>
      <c r="G112" s="80" t="inlineStr">
        <is>
          <t>Conflict and restriction enforcement test</t>
        </is>
      </c>
      <c r="H112" s="107" t="inlineStr">
        <is>
          <t>Prove by test that a competing sponsor cannot be matched to a restricted athlete. Inspection is not enough here.</t>
        </is>
      </c>
      <c r="I112" s="108" t="inlineStr">
        <is>
          <t>Blocked</t>
        </is>
      </c>
      <c r="J112" s="108" t="n">
        <v>3</v>
      </c>
      <c r="K112" s="109" t="n"/>
      <c r="L112" s="109" t="n"/>
      <c r="M112" s="110" t="n"/>
      <c r="N112" s="81" t="n">
        <v>0</v>
      </c>
      <c r="O112" s="80" t="inlineStr">
        <is>
          <t>P4-BE-03</t>
        </is>
      </c>
      <c r="P112" s="80" t="inlineStr">
        <is>
          <t>A competitor-category sponsor cannot be matched to a restricted athlete — proven by test, not by inspection</t>
        </is>
      </c>
      <c r="Q112" s="82" t="inlineStr">
        <is>
          <t>§26</t>
        </is>
      </c>
      <c r="R112" s="111" t="n"/>
    </row>
    <row r="113" ht="46.25" customHeight="1" s="75">
      <c r="A113" s="112" t="n">
        <v>101</v>
      </c>
      <c r="B113" s="113" t="inlineStr">
        <is>
          <t>P4-SEC-02</t>
        </is>
      </c>
      <c r="C113" s="85" t="n">
        <v>4</v>
      </c>
      <c r="D113" s="86" t="inlineStr">
        <is>
          <t>Sponsor Demand &amp; Matching</t>
        </is>
      </c>
      <c r="E113" s="142" t="inlineStr">
        <is>
          <t>SEC</t>
        </is>
      </c>
      <c r="F113" s="122" t="inlineStr">
        <is>
          <t>Code</t>
        </is>
      </c>
      <c r="G113" s="84" t="inlineStr">
        <is>
          <t>Field-level authz pass on sponsor surfaces</t>
        </is>
      </c>
      <c r="H113" s="116" t="inlineStr">
        <is>
          <t>Re-check every sponsor-facing query lists its fields explicitly and never includes athlete pay.</t>
        </is>
      </c>
      <c r="I113" s="108" t="inlineStr">
        <is>
          <t>Blocked</t>
        </is>
      </c>
      <c r="J113" s="108" t="n">
        <v>1</v>
      </c>
      <c r="K113" s="109" t="n"/>
      <c r="L113" s="109" t="n"/>
      <c r="M113" s="110" t="n"/>
      <c r="N113" s="85" t="n">
        <v>0</v>
      </c>
      <c r="O113" s="84" t="inlineStr">
        <is>
          <t>P4-FE-01</t>
        </is>
      </c>
      <c r="P113" s="84" t="inlineStr">
        <is>
          <t>Every sponsor-facing query uses explicit select; AthleteRate.amount is absent from all of them</t>
        </is>
      </c>
      <c r="Q113" s="86" t="inlineStr">
        <is>
          <t>Guide §04</t>
        </is>
      </c>
      <c r="R113" s="111" t="n"/>
    </row>
    <row r="114" ht="35.05" customHeight="1" s="75">
      <c r="A114" s="104" t="n">
        <v>102</v>
      </c>
      <c r="B114" s="105" t="inlineStr">
        <is>
          <t>P5-BE-01</t>
        </is>
      </c>
      <c r="C114" s="81" t="n">
        <v>5</v>
      </c>
      <c r="D114" s="82" t="inlineStr">
        <is>
          <t>Campaign Execution</t>
        </is>
      </c>
      <c r="E114" s="139" t="inlineStr">
        <is>
          <t>BE</t>
        </is>
      </c>
      <c r="F114" s="120" t="inlineStr">
        <is>
          <t>Code</t>
        </is>
      </c>
      <c r="G114" s="80" t="inlineStr">
        <is>
          <t>Campaign Order acceptance with body-hash capture</t>
        </is>
      </c>
      <c r="H114" s="107" t="inlineStr">
        <is>
          <t>Accepting a campaign contract: record the exact text shown, who accepted, when and from where. An unverified guardian blocks acceptance. Do not build this until counsel has approved the template.</t>
        </is>
      </c>
      <c r="I114" s="108" t="inlineStr">
        <is>
          <t>Blocked</t>
        </is>
      </c>
      <c r="J114" s="108" t="n">
        <v>5</v>
      </c>
      <c r="K114" s="109" t="n"/>
      <c r="L114" s="109" t="n"/>
      <c r="M114" s="110" t="n"/>
      <c r="N114" s="81" t="n">
        <v>29</v>
      </c>
      <c r="O114" s="80" t="inlineStr">
        <is>
          <t>P0-LEG-02, P3-BE-06, P4-BE-04</t>
        </is>
      </c>
      <c r="P114" s="80" t="inlineStr">
        <is>
          <t>Acceptance records agreement version, body hash, signer, timestamp, IP and user agent; an unverified guardian blocks acceptance; state must be SENT to accept</t>
        </is>
      </c>
      <c r="Q114" s="82" t="inlineStr">
        <is>
          <t>§12, Guide §08</t>
        </is>
      </c>
      <c r="R114" s="111" t="n"/>
    </row>
    <row r="115" ht="46.25" customHeight="1" s="75">
      <c r="A115" s="112" t="n">
        <v>103</v>
      </c>
      <c r="B115" s="113" t="inlineStr">
        <is>
          <t>P5-BE-03</t>
        </is>
      </c>
      <c r="C115" s="85" t="n">
        <v>5</v>
      </c>
      <c r="D115" s="86" t="inlineStr">
        <is>
          <t>Campaign Execution</t>
        </is>
      </c>
      <c r="E115" s="137" t="inlineStr">
        <is>
          <t>BE</t>
        </is>
      </c>
      <c r="F115" s="122" t="inlineStr">
        <is>
          <t>Code</t>
        </is>
      </c>
      <c r="G115" s="84" t="inlineStr">
        <is>
          <t>Auto-create deliverables from the job/package template</t>
        </is>
      </c>
      <c r="H115" s="116" t="inlineStr">
        <is>
          <t>Accepting a contract automatically creates the list of things the athlete owes, with due dates — in the same transaction, so one can never exist without the other.</t>
        </is>
      </c>
      <c r="I115" s="108" t="inlineStr">
        <is>
          <t>Blocked</t>
        </is>
      </c>
      <c r="J115" s="108" t="n">
        <v>3</v>
      </c>
      <c r="K115" s="109" t="n"/>
      <c r="L115" s="109" t="n"/>
      <c r="M115" s="110" t="n"/>
      <c r="N115" s="85" t="n">
        <v>27</v>
      </c>
      <c r="O115" s="84" t="inlineStr">
        <is>
          <t>P5-BE-01</t>
        </is>
      </c>
      <c r="P115" s="84" t="inlineStr">
        <is>
          <t>Accepting an order creates the deliverable set with due dates derived from the SX job — inside the same transaction as acceptance</t>
        </is>
      </c>
      <c r="Q115" s="86" t="inlineStr">
        <is>
          <t>§13 step 7, §30</t>
        </is>
      </c>
      <c r="R115" s="111" t="n"/>
    </row>
    <row r="116" ht="23.85" customHeight="1" s="75">
      <c r="A116" s="104" t="n">
        <v>104</v>
      </c>
      <c r="B116" s="105" t="inlineStr">
        <is>
          <t>P5-BE-05</t>
        </is>
      </c>
      <c r="C116" s="81" t="n">
        <v>5</v>
      </c>
      <c r="D116" s="82" t="inlineStr">
        <is>
          <t>Campaign Execution</t>
        </is>
      </c>
      <c r="E116" s="139" t="inlineStr">
        <is>
          <t>BE</t>
        </is>
      </c>
      <c r="F116" s="120" t="inlineStr">
        <is>
          <t>Code</t>
        </is>
      </c>
      <c r="G116" s="80" t="inlineStr">
        <is>
          <t>Deliverable state machine</t>
        </is>
      </c>
      <c r="H116" s="107" t="inlineStr">
        <is>
          <t>The deliverable lifecycle: not started, draft submitted, BTG review, sponsor review, approved, published, verified — with revisions sending it back.</t>
        </is>
      </c>
      <c r="I116" s="108" t="inlineStr">
        <is>
          <t>Blocked</t>
        </is>
      </c>
      <c r="J116" s="108" t="n">
        <v>3</v>
      </c>
      <c r="K116" s="109" t="n"/>
      <c r="L116" s="109" t="n"/>
      <c r="M116" s="110" t="n"/>
      <c r="N116" s="81" t="n">
        <v>25</v>
      </c>
      <c r="O116" s="80" t="inlineStr">
        <is>
          <t>P5-BE-03</t>
        </is>
      </c>
      <c r="P116" s="80" t="inlineStr">
        <is>
          <t>NOT_STARTED→DRAFT_SUBMITTED→BTG_REVIEW→SPONSOR_REVIEW→APPROVED→PUBLISHED→VERIFIED enforced; revision requests return to DRAFT_SUBMITTED</t>
        </is>
      </c>
      <c r="Q116" s="82" t="inlineStr">
        <is>
          <t>§21</t>
        </is>
      </c>
      <c r="R116" s="111" t="n"/>
    </row>
    <row r="117" ht="23.85" customHeight="1" s="75">
      <c r="A117" s="112" t="n">
        <v>105</v>
      </c>
      <c r="B117" s="113" t="inlineStr">
        <is>
          <t>P5-BE-06</t>
        </is>
      </c>
      <c r="C117" s="85" t="n">
        <v>5</v>
      </c>
      <c r="D117" s="86" t="inlineStr">
        <is>
          <t>Campaign Execution</t>
        </is>
      </c>
      <c r="E117" s="137" t="inlineStr">
        <is>
          <t>BE</t>
        </is>
      </c>
      <c r="F117" s="122" t="inlineStr">
        <is>
          <t>Code</t>
        </is>
      </c>
      <c r="G117" s="84" t="inlineStr">
        <is>
          <t>Creative asset model + direct R2 upload</t>
        </is>
      </c>
      <c r="H117" s="116" t="inlineStr">
        <is>
          <t>Athletes upload creative straight to Cloudflare from their phone, never through your server.</t>
        </is>
      </c>
      <c r="I117" s="108" t="inlineStr">
        <is>
          <t>Blocked</t>
        </is>
      </c>
      <c r="J117" s="108" t="n">
        <v>3</v>
      </c>
      <c r="K117" s="109" t="n"/>
      <c r="L117" s="109" t="n"/>
      <c r="M117" s="110" t="n"/>
      <c r="N117" s="85" t="n">
        <v>3</v>
      </c>
      <c r="O117" s="84" t="inlineStr">
        <is>
          <t>P2-BE-08, P5-BE-05</t>
        </is>
      </c>
      <c r="P117" s="84" t="inlineStr">
        <is>
          <t>The browser PUTs straight to R2 with a presigned URL; athlete video never passes through the app server</t>
        </is>
      </c>
      <c r="Q117" s="86" t="inlineStr">
        <is>
          <t>Addendum A8, Guide §11</t>
        </is>
      </c>
      <c r="R117" s="111" t="n"/>
    </row>
    <row r="118" ht="46.25" customHeight="1" s="75">
      <c r="A118" s="104" t="n">
        <v>106</v>
      </c>
      <c r="B118" s="105" t="inlineStr">
        <is>
          <t>P5-BE-08</t>
        </is>
      </c>
      <c r="C118" s="81" t="n">
        <v>5</v>
      </c>
      <c r="D118" s="82" t="inlineStr">
        <is>
          <t>Campaign Execution</t>
        </is>
      </c>
      <c r="E118" s="139" t="inlineStr">
        <is>
          <t>BE</t>
        </is>
      </c>
      <c r="F118" s="120" t="inlineStr">
        <is>
          <t>Code</t>
        </is>
      </c>
      <c r="G118" s="80" t="inlineStr">
        <is>
          <t>Approval chain domain functions</t>
        </is>
      </c>
      <c r="H118" s="107" t="inlineStr">
        <is>
          <t>The review actions: BTG reviews, sponsor optionally reviews, request revision, approve, mark published.</t>
        </is>
      </c>
      <c r="I118" s="108" t="inlineStr">
        <is>
          <t>Blocked</t>
        </is>
      </c>
      <c r="J118" s="108" t="n">
        <v>3</v>
      </c>
      <c r="K118" s="109" t="n"/>
      <c r="L118" s="109" t="n"/>
      <c r="M118" s="110" t="n"/>
      <c r="N118" s="81" t="n">
        <v>3</v>
      </c>
      <c r="O118" s="80" t="inlineStr">
        <is>
          <t>P5-BE-05</t>
        </is>
      </c>
      <c r="P118" s="80" t="inlineStr">
        <is>
          <t>BTG review, optional sponsor review, revision request, approve and mark-published all work and are audited</t>
        </is>
      </c>
      <c r="Q118" s="82" t="inlineStr">
        <is>
          <t>§13 steps 8–9</t>
        </is>
      </c>
      <c r="R118" s="111" t="n"/>
    </row>
    <row r="119" ht="23.85" customHeight="1" s="75">
      <c r="A119" s="112" t="n">
        <v>107</v>
      </c>
      <c r="B119" s="113" t="inlineStr">
        <is>
          <t>P5-BE-02</t>
        </is>
      </c>
      <c r="C119" s="85" t="n">
        <v>5</v>
      </c>
      <c r="D119" s="86" t="inlineStr">
        <is>
          <t>Campaign Execution</t>
        </is>
      </c>
      <c r="E119" s="137" t="inlineStr">
        <is>
          <t>BE</t>
        </is>
      </c>
      <c r="F119" s="122" t="inlineStr">
        <is>
          <t>Code</t>
        </is>
      </c>
      <c r="G119" s="84" t="inlineStr">
        <is>
          <t>Campaign Order model and state machine</t>
        </is>
      </c>
      <c r="H119" s="116" t="inlineStr">
        <is>
          <t>The campaign contract record, with commercial terms frozen at the moment it was sent rather than read live.</t>
        </is>
      </c>
      <c r="I119" s="108" t="inlineStr">
        <is>
          <t>Blocked</t>
        </is>
      </c>
      <c r="J119" s="108" t="n">
        <v>3</v>
      </c>
      <c r="K119" s="109" t="n"/>
      <c r="L119" s="109" t="n"/>
      <c r="M119" s="110" t="n"/>
      <c r="N119" s="85" t="n">
        <v>1</v>
      </c>
      <c r="O119" s="84" t="inlineStr">
        <is>
          <t>P4-BE-06</t>
        </is>
      </c>
      <c r="P119" s="84" t="inlineStr">
        <is>
          <t>DRAFT→SENT→ACCEPTED/REJECTED→ACTIVE→COMPLETED/CANCELLED enforced; commercial terms snapshotted at send time, not read live</t>
        </is>
      </c>
      <c r="Q119" s="86" t="inlineStr">
        <is>
          <t>§21</t>
        </is>
      </c>
      <c r="R119" s="111" t="n"/>
    </row>
    <row r="120" ht="23.85" customHeight="1" s="75">
      <c r="A120" s="104" t="n">
        <v>108</v>
      </c>
      <c r="B120" s="105" t="inlineStr">
        <is>
          <t>P5-FE-04</t>
        </is>
      </c>
      <c r="C120" s="81" t="n">
        <v>5</v>
      </c>
      <c r="D120" s="82" t="inlineStr">
        <is>
          <t>Campaign Execution</t>
        </is>
      </c>
      <c r="E120" s="119" t="inlineStr">
        <is>
          <t>FE</t>
        </is>
      </c>
      <c r="F120" s="120" t="inlineStr">
        <is>
          <t>Code</t>
        </is>
      </c>
      <c r="G120" s="80" t="inlineStr">
        <is>
          <t>Wire the content approval workspace</t>
        </is>
      </c>
      <c r="H120" s="107" t="inlineStr">
        <is>
          <t>The content approval board where BTG staff work: review drafts, request changes, route to sponsor, approve, record proof of publication.</t>
        </is>
      </c>
      <c r="I120" s="108" t="inlineStr">
        <is>
          <t>Blocked</t>
        </is>
      </c>
      <c r="J120" s="108" t="n">
        <v>5</v>
      </c>
      <c r="K120" s="109" t="n"/>
      <c r="L120" s="109" t="n"/>
      <c r="M120" s="110" t="n"/>
      <c r="N120" s="81" t="n">
        <v>1</v>
      </c>
      <c r="O120" s="80" t="inlineStr">
        <is>
          <t>P5-BE-08</t>
        </is>
      </c>
      <c r="P120" s="80" t="inlineStr">
        <is>
          <t>The full review board works — draft review, revision request, sponsor routing, approval, publication proof</t>
        </is>
      </c>
      <c r="Q120" s="82" t="inlineStr">
        <is>
          <t>§10, §23</t>
        </is>
      </c>
      <c r="R120" s="111" t="n"/>
    </row>
    <row r="121" ht="35.05" customHeight="1" s="75">
      <c r="A121" s="112" t="n">
        <v>109</v>
      </c>
      <c r="B121" s="113" t="inlineStr">
        <is>
          <t>P5-ART-01</t>
        </is>
      </c>
      <c r="C121" s="85" t="n">
        <v>5</v>
      </c>
      <c r="D121" s="86" t="inlineStr">
        <is>
          <t>Campaign Execution</t>
        </is>
      </c>
      <c r="E121" s="114" t="inlineStr">
        <is>
          <t>ART</t>
        </is>
      </c>
      <c r="F121" s="115" t="inlineStr">
        <is>
          <t>Design tool</t>
        </is>
      </c>
      <c r="G121" s="84" t="inlineStr">
        <is>
          <t>Design the deliverable and approval states</t>
        </is>
      </c>
      <c r="H121" s="116" t="inlineStr">
        <is>
          <t>Design how each deliverable state looks to the athlete, to BTG and to the sponsor — three different audiences, same record.</t>
        </is>
      </c>
      <c r="I121" s="108" t="inlineStr">
        <is>
          <t>Ready</t>
        </is>
      </c>
      <c r="J121" s="108" t="n">
        <v>3</v>
      </c>
      <c r="K121" s="109" t="n"/>
      <c r="L121" s="109" t="n"/>
      <c r="M121" s="110" t="n"/>
      <c r="N121" s="85" t="n">
        <v>0</v>
      </c>
      <c r="O121" s="84" t="n"/>
      <c r="P121" s="84" t="inlineStr">
        <is>
          <t>Every deliverable state has a designed presentation for athlete, BTG and sponsor views</t>
        </is>
      </c>
      <c r="Q121" s="86" t="inlineStr">
        <is>
          <t>§21</t>
        </is>
      </c>
      <c r="R121" s="111" t="n"/>
    </row>
    <row r="122" ht="35.05" customHeight="1" s="75">
      <c r="A122" s="104" t="n">
        <v>110</v>
      </c>
      <c r="B122" s="105" t="inlineStr">
        <is>
          <t>P5-BE-04</t>
        </is>
      </c>
      <c r="C122" s="81" t="n">
        <v>5</v>
      </c>
      <c r="D122" s="82" t="inlineStr">
        <is>
          <t>Campaign Execution</t>
        </is>
      </c>
      <c r="E122" s="139" t="inlineStr">
        <is>
          <t>BE</t>
        </is>
      </c>
      <c r="F122" s="120" t="inlineStr">
        <is>
          <t>Code</t>
        </is>
      </c>
      <c r="G122" s="80" t="inlineStr">
        <is>
          <t>launchCampaign transactional domain function</t>
        </is>
      </c>
      <c r="H122" s="107" t="inlineStr">
        <is>
          <t>Going live: campaign and contracts flip to active, Zoho sync and notifications queue, audit written — all or nothing in one transaction.</t>
        </is>
      </c>
      <c r="I122" s="108" t="inlineStr">
        <is>
          <t>Blocked</t>
        </is>
      </c>
      <c r="J122" s="108" t="n">
        <v>3</v>
      </c>
      <c r="K122" s="109" t="n"/>
      <c r="L122" s="109" t="n"/>
      <c r="M122" s="110" t="n"/>
      <c r="N122" s="81" t="n">
        <v>0</v>
      </c>
      <c r="O122" s="80" t="inlineStr">
        <is>
          <t>P5-BE-02, P2-BE-05</t>
        </is>
      </c>
      <c r="P122" s="80" t="inlineStr">
        <is>
          <t>Campaign → ACTIVE, accepted orders → ACTIVE, zoho.pushCampaign and notify.campaignLive enqueued, audit written — all in one transaction</t>
        </is>
      </c>
      <c r="Q122" s="82" t="inlineStr">
        <is>
          <t>Guide §05</t>
        </is>
      </c>
      <c r="R122" s="111" t="n"/>
    </row>
    <row r="123" ht="35.05" customHeight="1" s="75">
      <c r="A123" s="112" t="n">
        <v>111</v>
      </c>
      <c r="B123" s="113" t="inlineStr">
        <is>
          <t>P5-BE-07</t>
        </is>
      </c>
      <c r="C123" s="85" t="n">
        <v>5</v>
      </c>
      <c r="D123" s="86" t="inlineStr">
        <is>
          <t>Campaign Execution</t>
        </is>
      </c>
      <c r="E123" s="137" t="inlineStr">
        <is>
          <t>BE</t>
        </is>
      </c>
      <c r="F123" s="122" t="inlineStr">
        <is>
          <t>Code</t>
        </is>
      </c>
      <c r="G123" s="84" t="inlineStr">
        <is>
          <t>Image derivative worker job</t>
        </is>
      </c>
      <c r="H123" s="116" t="inlineStr">
        <is>
          <t>Resize uploaded images into three sizes in the background, so pages stay fast without locking you into one host's image service.</t>
        </is>
      </c>
      <c r="I123" s="108" t="inlineStr">
        <is>
          <t>Blocked</t>
        </is>
      </c>
      <c r="J123" s="108" t="n">
        <v>3</v>
      </c>
      <c r="K123" s="109" t="n"/>
      <c r="L123" s="109" t="n"/>
      <c r="M123" s="110" t="n"/>
      <c r="N123" s="85" t="n">
        <v>0</v>
      </c>
      <c r="O123" s="84" t="inlineStr">
        <is>
          <t>P5-BE-06</t>
        </is>
      </c>
      <c r="P123" s="84" t="inlineStr">
        <is>
          <t>derive-image.ts produces 320/640/1280 webp derivatives via sharp; the UI renders a plain &lt;img&gt; with srcSet — no next/image optimisation</t>
        </is>
      </c>
      <c r="Q123" s="86" t="inlineStr">
        <is>
          <t>Guide §11</t>
        </is>
      </c>
      <c r="R123" s="111" t="n"/>
    </row>
    <row r="124" ht="15" customHeight="1" s="75">
      <c r="A124" s="104" t="n">
        <v>112</v>
      </c>
      <c r="B124" s="105" t="inlineStr">
        <is>
          <t>P5-FE-01</t>
        </is>
      </c>
      <c r="C124" s="81" t="n">
        <v>5</v>
      </c>
      <c r="D124" s="82" t="inlineStr">
        <is>
          <t>Campaign Execution</t>
        </is>
      </c>
      <c r="E124" s="119" t="inlineStr">
        <is>
          <t>FE</t>
        </is>
      </c>
      <c r="F124" s="120" t="inlineStr">
        <is>
          <t>Code</t>
        </is>
      </c>
      <c r="G124" s="80" t="inlineStr">
        <is>
          <t>Wire the Campaign Order view and acceptance</t>
        </is>
      </c>
      <c r="H124" s="107" t="inlineStr">
        <is>
          <t>The athlete reads the real contract and accepts. The exact text on screen is what gets fingerprinted.</t>
        </is>
      </c>
      <c r="I124" s="108" t="inlineStr">
        <is>
          <t>Blocked</t>
        </is>
      </c>
      <c r="J124" s="108" t="n">
        <v>3</v>
      </c>
      <c r="K124" s="109" t="n"/>
      <c r="L124" s="109" t="n"/>
      <c r="M124" s="110" t="n"/>
      <c r="N124" s="81" t="n">
        <v>0</v>
      </c>
      <c r="O124" s="80" t="inlineStr">
        <is>
          <t>P5-BE-01</t>
        </is>
      </c>
      <c r="P124" s="80" t="inlineStr">
        <is>
          <t>An athlete reads the real order terms and accepts; the guardian branch renders for minors; the exact text shown is what gets hashed</t>
        </is>
      </c>
      <c r="Q124" s="82" t="inlineStr">
        <is>
          <t>§24</t>
        </is>
      </c>
      <c r="R124" s="111" t="n"/>
    </row>
    <row r="125" ht="23.85" customHeight="1" s="75">
      <c r="A125" s="112" t="n">
        <v>113</v>
      </c>
      <c r="B125" s="113" t="inlineStr">
        <is>
          <t>P5-FE-02</t>
        </is>
      </c>
      <c r="C125" s="85" t="n">
        <v>5</v>
      </c>
      <c r="D125" s="86" t="inlineStr">
        <is>
          <t>Campaign Execution</t>
        </is>
      </c>
      <c r="E125" s="121" t="inlineStr">
        <is>
          <t>FE</t>
        </is>
      </c>
      <c r="F125" s="122" t="inlineStr">
        <is>
          <t>Code</t>
        </is>
      </c>
      <c r="G125" s="84" t="inlineStr">
        <is>
          <t>Wire the deliverable calendar</t>
        </is>
      </c>
      <c r="H125" s="116" t="inlineStr">
        <is>
          <t>The athlete's calendar of what is due when.</t>
        </is>
      </c>
      <c r="I125" s="108" t="inlineStr">
        <is>
          <t>Blocked</t>
        </is>
      </c>
      <c r="J125" s="108" t="n">
        <v>3</v>
      </c>
      <c r="K125" s="109" t="n"/>
      <c r="L125" s="109" t="n"/>
      <c r="M125" s="110" t="n"/>
      <c r="N125" s="85" t="n">
        <v>0</v>
      </c>
      <c r="O125" s="84" t="inlineStr">
        <is>
          <t>P5-BE-03</t>
        </is>
      </c>
      <c r="P125" s="84" t="inlineStr">
        <is>
          <t>Real due dates and appearances render for the athlete</t>
        </is>
      </c>
      <c r="Q125" s="86" t="inlineStr">
        <is>
          <t>§24</t>
        </is>
      </c>
      <c r="R125" s="111" t="n"/>
    </row>
    <row r="126" ht="23.85" customHeight="1" s="75">
      <c r="A126" s="104" t="n">
        <v>114</v>
      </c>
      <c r="B126" s="105" t="inlineStr">
        <is>
          <t>P5-FE-03</t>
        </is>
      </c>
      <c r="C126" s="81" t="n">
        <v>5</v>
      </c>
      <c r="D126" s="82" t="inlineStr">
        <is>
          <t>Campaign Execution</t>
        </is>
      </c>
      <c r="E126" s="119" t="inlineStr">
        <is>
          <t>FE</t>
        </is>
      </c>
      <c r="F126" s="120" t="inlineStr">
        <is>
          <t>Code</t>
        </is>
      </c>
      <c r="G126" s="80" t="inlineStr">
        <is>
          <t>Build the upload and proof submission UI</t>
        </is>
      </c>
      <c r="H126" s="107" t="inlineStr">
        <is>
          <t>Upload screen with progress, that recovers gracefully when a phone loses signal mid-upload.</t>
        </is>
      </c>
      <c r="I126" s="108" t="inlineStr">
        <is>
          <t>Blocked</t>
        </is>
      </c>
      <c r="J126" s="108" t="n">
        <v>3</v>
      </c>
      <c r="K126" s="109" t="n"/>
      <c r="L126" s="109" t="n"/>
      <c r="M126" s="110" t="n"/>
      <c r="N126" s="81" t="n">
        <v>0</v>
      </c>
      <c r="O126" s="80" t="inlineStr">
        <is>
          <t>P5-BE-06</t>
        </is>
      </c>
      <c r="P126" s="80" t="inlineStr">
        <is>
          <t>Direct-to-R2 upload with progress; draft submission transitions state; failures are recoverable</t>
        </is>
      </c>
      <c r="Q126" s="82" t="inlineStr">
        <is>
          <t>§24</t>
        </is>
      </c>
      <c r="R126" s="111" t="n"/>
    </row>
    <row r="127" ht="23.85" customHeight="1" s="75">
      <c r="A127" s="112" t="n">
        <v>115</v>
      </c>
      <c r="B127" s="113" t="inlineStr">
        <is>
          <t>P5-FE-05</t>
        </is>
      </c>
      <c r="C127" s="85" t="n">
        <v>5</v>
      </c>
      <c r="D127" s="86" t="inlineStr">
        <is>
          <t>Campaign Execution</t>
        </is>
      </c>
      <c r="E127" s="121" t="inlineStr">
        <is>
          <t>FE</t>
        </is>
      </c>
      <c r="F127" s="122" t="inlineStr">
        <is>
          <t>Code</t>
        </is>
      </c>
      <c r="G127" s="84" t="inlineStr">
        <is>
          <t>Wire the campaign operations dashboard</t>
        </is>
      </c>
      <c r="H127" s="116" t="inlineStr">
        <is>
          <t>The campaign operations board: who accepted, what is due, what is late, what is under-delivering.</t>
        </is>
      </c>
      <c r="I127" s="108" t="inlineStr">
        <is>
          <t>Blocked</t>
        </is>
      </c>
      <c r="J127" s="108" t="n">
        <v>5</v>
      </c>
      <c r="K127" s="109" t="n"/>
      <c r="L127" s="109" t="n"/>
      <c r="M127" s="110" t="n"/>
      <c r="N127" s="85" t="n">
        <v>0</v>
      </c>
      <c r="O127" s="84" t="inlineStr">
        <is>
          <t>P5-BE-05</t>
        </is>
      </c>
      <c r="P127" s="84" t="inlineStr">
        <is>
          <t>Per-athlete acceptance, due dates, approval state, under-delivery and issue flags all render from real data</t>
        </is>
      </c>
      <c r="Q127" s="86" t="inlineStr">
        <is>
          <t>§9 screen 9</t>
        </is>
      </c>
      <c r="R127" s="111" t="n"/>
    </row>
    <row r="128" ht="23.85" customHeight="1" s="75">
      <c r="A128" s="104" t="n">
        <v>116</v>
      </c>
      <c r="B128" s="105" t="inlineStr">
        <is>
          <t>P5-INT-01</t>
        </is>
      </c>
      <c r="C128" s="81" t="n">
        <v>5</v>
      </c>
      <c r="D128" s="82" t="inlineStr">
        <is>
          <t>Campaign Execution</t>
        </is>
      </c>
      <c r="E128" s="138" t="inlineStr">
        <is>
          <t>INT</t>
        </is>
      </c>
      <c r="F128" s="120" t="inlineStr">
        <is>
          <t>Code</t>
        </is>
      </c>
      <c r="G128" s="80" t="inlineStr">
        <is>
          <t>Deliverable notification jobs</t>
        </is>
      </c>
      <c r="H128" s="107" t="inlineStr">
        <is>
          <t>Deadline reminders, revision requests and approval emails.</t>
        </is>
      </c>
      <c r="I128" s="108" t="inlineStr">
        <is>
          <t>Blocked</t>
        </is>
      </c>
      <c r="J128" s="108" t="n">
        <v>1</v>
      </c>
      <c r="K128" s="109" t="n"/>
      <c r="L128" s="109" t="n"/>
      <c r="M128" s="110" t="n"/>
      <c r="N128" s="81" t="n">
        <v>0</v>
      </c>
      <c r="O128" s="80" t="inlineStr">
        <is>
          <t>P3-INT-01, P5-BE-05</t>
        </is>
      </c>
      <c r="P128" s="80" t="inlineStr">
        <is>
          <t>Deadline reminders, revision requests and approval notifications all send as queued jobs</t>
        </is>
      </c>
      <c r="Q128" s="82" t="inlineStr">
        <is>
          <t>§39</t>
        </is>
      </c>
      <c r="R128" s="111" t="n"/>
    </row>
    <row r="129" ht="35.05" customHeight="1" s="75">
      <c r="A129" s="112" t="n">
        <v>117</v>
      </c>
      <c r="B129" s="113" t="inlineStr">
        <is>
          <t>P5-QA-01</t>
        </is>
      </c>
      <c r="C129" s="85" t="n">
        <v>5</v>
      </c>
      <c r="D129" s="86" t="inlineStr">
        <is>
          <t>Campaign Execution</t>
        </is>
      </c>
      <c r="E129" s="134" t="inlineStr">
        <is>
          <t>QA</t>
        </is>
      </c>
      <c r="F129" s="122" t="inlineStr">
        <is>
          <t>Code</t>
        </is>
      </c>
      <c r="G129" s="84" t="inlineStr">
        <is>
          <t>E2E: acceptance → deliverable → approval → published</t>
        </is>
      </c>
      <c r="H129" s="116" t="inlineStr">
        <is>
          <t>Automated test from contract acceptance through to published content, including the revision loop.</t>
        </is>
      </c>
      <c r="I129" s="108" t="inlineStr">
        <is>
          <t>Blocked</t>
        </is>
      </c>
      <c r="J129" s="108" t="n">
        <v>3</v>
      </c>
      <c r="K129" s="109" t="n"/>
      <c r="L129" s="109" t="n"/>
      <c r="M129" s="110" t="n"/>
      <c r="N129" s="85" t="n">
        <v>0</v>
      </c>
      <c r="O129" s="84" t="inlineStr">
        <is>
          <t>P5-FE-04</t>
        </is>
      </c>
      <c r="P129" s="84" t="inlineStr">
        <is>
          <t>The full segment runs green, including the revision loop</t>
        </is>
      </c>
      <c r="Q129" s="86" t="inlineStr">
        <is>
          <t>§30</t>
        </is>
      </c>
      <c r="R129" s="111" t="n"/>
    </row>
    <row r="130" ht="35.05" customHeight="1" s="75">
      <c r="A130" s="104" t="n">
        <v>118</v>
      </c>
      <c r="B130" s="105" t="inlineStr">
        <is>
          <t>P5-SEC-01</t>
        </is>
      </c>
      <c r="C130" s="81" t="n">
        <v>5</v>
      </c>
      <c r="D130" s="82" t="inlineStr">
        <is>
          <t>Campaign Execution</t>
        </is>
      </c>
      <c r="E130" s="140" t="inlineStr">
        <is>
          <t>SEC</t>
        </is>
      </c>
      <c r="F130" s="120" t="inlineStr">
        <is>
          <t>Code</t>
        </is>
      </c>
      <c r="G130" s="80" t="inlineStr">
        <is>
          <t>Private-bucket access audit</t>
        </is>
      </c>
      <c r="H130" s="107" t="inlineStr">
        <is>
          <t>Confirm every temporary link to a private file is logged, short-lived, and that no contract or draft is publicly reachable.</t>
        </is>
      </c>
      <c r="I130" s="108" t="inlineStr">
        <is>
          <t>Blocked</t>
        </is>
      </c>
      <c r="J130" s="108" t="n">
        <v>1</v>
      </c>
      <c r="K130" s="109" t="n"/>
      <c r="L130" s="109" t="n"/>
      <c r="M130" s="110" t="n"/>
      <c r="N130" s="81" t="n">
        <v>0</v>
      </c>
      <c r="O130" s="80" t="inlineStr">
        <is>
          <t>P5-BE-06</t>
        </is>
      </c>
      <c r="P130" s="80" t="inlineStr">
        <is>
          <t>Every signed URL grant against the private bucket is audited; TTLs are short; no agreement or creative asset is publicly reachable</t>
        </is>
      </c>
      <c r="Q130" s="82" t="inlineStr">
        <is>
          <t>§26</t>
        </is>
      </c>
      <c r="R130" s="111" t="n"/>
    </row>
    <row r="131" ht="35.05" customHeight="1" s="75">
      <c r="A131" s="112" t="n">
        <v>119</v>
      </c>
      <c r="B131" s="113" t="inlineStr">
        <is>
          <t>P6-BE-02</t>
        </is>
      </c>
      <c r="C131" s="85" t="n">
        <v>6</v>
      </c>
      <c r="D131" s="86" t="inlineStr">
        <is>
          <t>Measurement &amp; Reward</t>
        </is>
      </c>
      <c r="E131" s="137" t="inlineStr">
        <is>
          <t>BE</t>
        </is>
      </c>
      <c r="F131" s="122" t="inlineStr">
        <is>
          <t>Code</t>
        </is>
      </c>
      <c r="G131" s="84" t="inlineStr">
        <is>
          <t>Reward, reward token and reward event models</t>
        </is>
      </c>
      <c r="H131" s="116" t="inlineStr">
        <is>
          <t>The reward, the individual QR tokens, and the events they generate.</t>
        </is>
      </c>
      <c r="I131" s="108" t="inlineStr">
        <is>
          <t>Blocked</t>
        </is>
      </c>
      <c r="J131" s="108" t="n">
        <v>3</v>
      </c>
      <c r="K131" s="109" t="n"/>
      <c r="L131" s="109" t="n"/>
      <c r="M131" s="110" t="n"/>
      <c r="N131" s="85" t="n">
        <v>14</v>
      </c>
      <c r="O131" s="84" t="inlineStr">
        <is>
          <t>P2-BE-02</t>
        </is>
      </c>
      <c r="P131" s="84" t="inlineStr">
        <is>
          <t>Reward state DRAFT→ACTIVE→PAUSED→EXPIRED/ARCHIVED; four distinct RewardEventType values</t>
        </is>
      </c>
      <c r="Q131" s="86" t="inlineStr">
        <is>
          <t>§16, §21</t>
        </is>
      </c>
      <c r="R131" s="111" t="n"/>
    </row>
    <row r="132" ht="35.05" customHeight="1" s="75">
      <c r="A132" s="104" t="n">
        <v>120</v>
      </c>
      <c r="B132" s="105" t="inlineStr">
        <is>
          <t>P6-BE-03</t>
        </is>
      </c>
      <c r="C132" s="81" t="n">
        <v>6</v>
      </c>
      <c r="D132" s="82" t="inlineStr">
        <is>
          <t>Measurement &amp; Reward</t>
        </is>
      </c>
      <c r="E132" s="139" t="inlineStr">
        <is>
          <t>BE</t>
        </is>
      </c>
      <c r="F132" s="120" t="inlineStr">
        <is>
          <t>Code</t>
        </is>
      </c>
      <c r="G132" s="80" t="inlineStr">
        <is>
          <t>Four-event separation across the fan journey</t>
        </is>
      </c>
      <c r="H132" s="107" t="inlineStr">
        <is>
          <t>Four separate records for four separate moments: the scan, the page loading, the fan claiming, the merchant redeeming. Collapsing these into one counter destroys the funnel.</t>
        </is>
      </c>
      <c r="I132" s="108" t="inlineStr">
        <is>
          <t>Blocked</t>
        </is>
      </c>
      <c r="J132" s="108" t="n">
        <v>3</v>
      </c>
      <c r="K132" s="109" t="n"/>
      <c r="L132" s="109" t="n"/>
      <c r="M132" s="110" t="n"/>
      <c r="N132" s="81" t="n">
        <v>10</v>
      </c>
      <c r="O132" s="80" t="inlineStr">
        <is>
          <t>P6-BE-02</t>
        </is>
      </c>
      <c r="P132" s="80" t="inlineStr">
        <is>
          <t>SCAN on QR resolution, LANDING on page render, CLAIM on offer acceptance, REDEEM on validation — four rows, never one counter</t>
        </is>
      </c>
      <c r="Q132" s="82" t="inlineStr">
        <is>
          <t>§16</t>
        </is>
      </c>
      <c r="R132" s="111" t="n"/>
    </row>
    <row r="133" ht="35.05" customHeight="1" s="75">
      <c r="A133" s="112" t="n">
        <v>121</v>
      </c>
      <c r="B133" s="113" t="inlineStr">
        <is>
          <t>P6-BE-04</t>
        </is>
      </c>
      <c r="C133" s="85" t="n">
        <v>6</v>
      </c>
      <c r="D133" s="86" t="inlineStr">
        <is>
          <t>Measurement &amp; Reward</t>
        </is>
      </c>
      <c r="E133" s="137" t="inlineStr">
        <is>
          <t>BE</t>
        </is>
      </c>
      <c r="F133" s="122" t="inlineStr">
        <is>
          <t>Code</t>
        </is>
      </c>
      <c r="G133" s="84" t="inlineStr">
        <is>
          <t>Race-safe single-use redemption</t>
        </is>
      </c>
      <c r="H133" s="116" t="inlineStr">
        <is>
          <t>Make double-redemption impossible at the database level, not in application code. Two people scanning the same code at once must produce exactly one redemption.</t>
        </is>
      </c>
      <c r="I133" s="108" t="inlineStr">
        <is>
          <t>Blocked</t>
        </is>
      </c>
      <c r="J133" s="108" t="n">
        <v>3</v>
      </c>
      <c r="K133" s="109" t="n"/>
      <c r="L133" s="109" t="n"/>
      <c r="M133" s="110" t="n"/>
      <c r="N133" s="85" t="n">
        <v>5</v>
      </c>
      <c r="O133" s="84" t="inlineStr">
        <is>
          <t>P6-BE-03, P2-BE-03</t>
        </is>
      </c>
      <c r="P133" s="84" t="inlineStr">
        <is>
          <t>Concurrent redemption attempts on one token produce exactly one REDEEM — enforced by the partial unique index, caught as a unique violation</t>
        </is>
      </c>
      <c r="Q133" s="86" t="inlineStr">
        <is>
          <t>Guide §06</t>
        </is>
      </c>
      <c r="R133" s="111" t="n"/>
    </row>
    <row r="134" ht="35.05" customHeight="1" s="75">
      <c r="A134" s="104" t="n">
        <v>122</v>
      </c>
      <c r="B134" s="105" t="inlineStr">
        <is>
          <t>P6-FE-02</t>
        </is>
      </c>
      <c r="C134" s="81" t="n">
        <v>6</v>
      </c>
      <c r="D134" s="82" t="inlineStr">
        <is>
          <t>Measurement &amp; Reward</t>
        </is>
      </c>
      <c r="E134" s="119" t="inlineStr">
        <is>
          <t>FE</t>
        </is>
      </c>
      <c r="F134" s="120" t="inlineStr">
        <is>
          <t>Code</t>
        </is>
      </c>
      <c r="G134" s="80" t="inlineStr">
        <is>
          <t>Wire the fan redeem page to real tokens</t>
        </is>
      </c>
      <c r="H134" s="107" t="inlineStr">
        <is>
          <t>The fan-facing redeem page on real data, still working with JavaScript off — it is hit once, on venue wifi, on a phone.</t>
        </is>
      </c>
      <c r="I134" s="108" t="inlineStr">
        <is>
          <t>Blocked</t>
        </is>
      </c>
      <c r="J134" s="108" t="n">
        <v>3</v>
      </c>
      <c r="K134" s="109" t="n"/>
      <c r="L134" s="109" t="n"/>
      <c r="M134" s="110" t="n"/>
      <c r="N134" s="81" t="n">
        <v>4</v>
      </c>
      <c r="O134" s="80" t="inlineStr">
        <is>
          <t>P6-BE-04</t>
        </is>
      </c>
      <c r="P134" s="80" t="inlineStr">
        <is>
          <t>Real redemption works; the page still renders without JavaScript; invalid, expired and already-used states all render</t>
        </is>
      </c>
      <c r="Q134" s="82" t="inlineStr">
        <is>
          <t>§16, Guide §06</t>
        </is>
      </c>
      <c r="R134" s="111" t="n"/>
    </row>
    <row r="135" ht="23.85" customHeight="1" s="75">
      <c r="A135" s="112" t="n">
        <v>123</v>
      </c>
      <c r="B135" s="113" t="inlineStr">
        <is>
          <t>P6-BE-01</t>
        </is>
      </c>
      <c r="C135" s="85" t="n">
        <v>6</v>
      </c>
      <c r="D135" s="86" t="inlineStr">
        <is>
          <t>Measurement &amp; Reward</t>
        </is>
      </c>
      <c r="E135" s="137" t="inlineStr">
        <is>
          <t>BE</t>
        </is>
      </c>
      <c r="F135" s="122" t="inlineStr">
        <is>
          <t>Code</t>
        </is>
      </c>
      <c r="G135" s="84" t="inlineStr">
        <is>
          <t>Tracking link model and t/[code] redirect route</t>
        </is>
      </c>
      <c r="H135" s="116" t="inlineStr">
        <is>
          <t>Short links that redirect instantly and record the click after the visitor has already gone. The fan never waits on your database.</t>
        </is>
      </c>
      <c r="I135" s="108" t="inlineStr">
        <is>
          <t>Blocked</t>
        </is>
      </c>
      <c r="J135" s="108" t="n">
        <v>3</v>
      </c>
      <c r="K135" s="109" t="n"/>
      <c r="L135" s="109" t="n"/>
      <c r="M135" s="110" t="n"/>
      <c r="N135" s="85" t="n">
        <v>2</v>
      </c>
      <c r="O135" s="84" t="inlineStr">
        <is>
          <t>P5-BE-05</t>
        </is>
      </c>
      <c r="P135" s="84" t="inlineStr">
        <is>
          <t>A 302 redirect fires immediately; the LinkEvent write happens after the response — the fan never waits on our write</t>
        </is>
      </c>
      <c r="Q135" s="86" t="inlineStr">
        <is>
          <t>Guide §06</t>
        </is>
      </c>
      <c r="R135" s="111" t="n"/>
    </row>
    <row r="136" ht="23.85" customHeight="1" s="75">
      <c r="A136" s="104" t="n">
        <v>124</v>
      </c>
      <c r="B136" s="105" t="inlineStr">
        <is>
          <t>P6-SEC-01</t>
        </is>
      </c>
      <c r="C136" s="81" t="n">
        <v>6</v>
      </c>
      <c r="D136" s="82" t="inlineStr">
        <is>
          <t>Measurement &amp; Reward</t>
        </is>
      </c>
      <c r="E136" s="140" t="inlineStr">
        <is>
          <t>SEC</t>
        </is>
      </c>
      <c r="F136" s="120" t="inlineStr">
        <is>
          <t>Code</t>
        </is>
      </c>
      <c r="G136" s="80" t="inlineStr">
        <is>
          <t>Fan consent capture and version tracking</t>
        </is>
      </c>
      <c r="H136" s="107" t="inlineStr">
        <is>
          <t>Record consent with its version at the moment a fan claims. No fan's details leave the system without it.</t>
        </is>
      </c>
      <c r="I136" s="108" t="inlineStr">
        <is>
          <t>Blocked</t>
        </is>
      </c>
      <c r="J136" s="108" t="n">
        <v>3</v>
      </c>
      <c r="K136" s="109" t="n"/>
      <c r="L136" s="109" t="n"/>
      <c r="M136" s="110" t="n"/>
      <c r="N136" s="81" t="n">
        <v>2</v>
      </c>
      <c r="O136" s="80" t="inlineStr">
        <is>
          <t>P0-LEG-04, P6-BE-03</t>
        </is>
      </c>
      <c r="P136" s="80" t="inlineStr">
        <is>
          <t>Consent is recorded with its version at claim time; no fan PII leaves the system without it</t>
        </is>
      </c>
      <c r="Q136" s="82" t="inlineStr">
        <is>
          <t>§26</t>
        </is>
      </c>
      <c r="R136" s="111" t="n"/>
    </row>
    <row r="137" ht="23.85" customHeight="1" s="75">
      <c r="A137" s="112" t="n">
        <v>125</v>
      </c>
      <c r="B137" s="113" t="inlineStr">
        <is>
          <t>P6-BE-06</t>
        </is>
      </c>
      <c r="C137" s="85" t="n">
        <v>6</v>
      </c>
      <c r="D137" s="86" t="inlineStr">
        <is>
          <t>Measurement &amp; Reward</t>
        </is>
      </c>
      <c r="E137" s="137" t="inlineStr">
        <is>
          <t>BE</t>
        </is>
      </c>
      <c r="F137" s="122" t="inlineStr">
        <is>
          <t>Code</t>
        </is>
      </c>
      <c r="G137" s="84" t="inlineStr">
        <is>
          <t>QR code generation into R2</t>
        </is>
      </c>
      <c r="H137" s="116" t="inlineStr">
        <is>
          <t>Generate a QR image per athlete per campaign and store it privately.</t>
        </is>
      </c>
      <c r="I137" s="108" t="inlineStr">
        <is>
          <t>Blocked</t>
        </is>
      </c>
      <c r="J137" s="108" t="n">
        <v>1</v>
      </c>
      <c r="K137" s="109" t="n"/>
      <c r="L137" s="109" t="n"/>
      <c r="M137" s="110" t="n"/>
      <c r="N137" s="85" t="n">
        <v>1</v>
      </c>
      <c r="O137" s="84" t="inlineStr">
        <is>
          <t>P6-BE-02, P2-BE-08</t>
        </is>
      </c>
      <c r="P137" s="84" t="inlineStr">
        <is>
          <t>A QR PNG is generated per athlete/campaign token and stored in the private bucket</t>
        </is>
      </c>
      <c r="Q137" s="86" t="inlineStr">
        <is>
          <t>§16</t>
        </is>
      </c>
      <c r="R137" s="111" t="n"/>
    </row>
    <row r="138" ht="35.05" customHeight="1" s="75">
      <c r="A138" s="104" t="n">
        <v>126</v>
      </c>
      <c r="B138" s="105" t="inlineStr">
        <is>
          <t>P6-ART-01</t>
        </is>
      </c>
      <c r="C138" s="81" t="n">
        <v>6</v>
      </c>
      <c r="D138" s="82" t="inlineStr">
        <is>
          <t>Measurement &amp; Reward</t>
        </is>
      </c>
      <c r="E138" s="117" t="inlineStr">
        <is>
          <t>ART</t>
        </is>
      </c>
      <c r="F138" s="118" t="inlineStr">
        <is>
          <t>Design tool</t>
        </is>
      </c>
      <c r="G138" s="80" t="inlineStr">
        <is>
          <t>Produce the printable QR asset formats</t>
        </is>
      </c>
      <c r="H138" s="107" t="inlineStr">
        <is>
          <t>Produce QR artwork that actually scans at poster and table-tent sizes.</t>
        </is>
      </c>
      <c r="I138" s="108" t="inlineStr">
        <is>
          <t>Blocked</t>
        </is>
      </c>
      <c r="J138" s="108" t="n">
        <v>1</v>
      </c>
      <c r="K138" s="109" t="n"/>
      <c r="L138" s="109" t="n"/>
      <c r="M138" s="110" t="n"/>
      <c r="N138" s="81" t="n">
        <v>0</v>
      </c>
      <c r="O138" s="80" t="inlineStr">
        <is>
          <t>P6-BE-06</t>
        </is>
      </c>
      <c r="P138" s="80" t="inlineStr">
        <is>
          <t>QR assets usable at venue print sizes with adequate quiet zone and contrast</t>
        </is>
      </c>
      <c r="Q138" s="82" t="inlineStr">
        <is>
          <t>§16</t>
        </is>
      </c>
      <c r="R138" s="111" t="n"/>
    </row>
    <row r="139" ht="23.85" customHeight="1" s="75">
      <c r="A139" s="112" t="n">
        <v>127</v>
      </c>
      <c r="B139" s="113" t="inlineStr">
        <is>
          <t>P6-BE-05</t>
        </is>
      </c>
      <c r="C139" s="85" t="n">
        <v>6</v>
      </c>
      <c r="D139" s="86" t="inlineStr">
        <is>
          <t>Measurement &amp; Reward</t>
        </is>
      </c>
      <c r="E139" s="137" t="inlineStr">
        <is>
          <t>BE</t>
        </is>
      </c>
      <c r="F139" s="122" t="inlineStr">
        <is>
          <t>Code</t>
        </is>
      </c>
      <c r="G139" s="84" t="inlineStr">
        <is>
          <t>Geo resolution worker job</t>
        </is>
      </c>
      <c r="H139" s="116" t="inlineStr">
        <is>
          <t>Work out roughly where a scan happened, in the background, from a local lookup file. The visitor's IP address is never stored — only city and region.</t>
        </is>
      </c>
      <c r="I139" s="108" t="inlineStr">
        <is>
          <t>Blocked</t>
        </is>
      </c>
      <c r="J139" s="108" t="n">
        <v>3</v>
      </c>
      <c r="K139" s="109" t="n"/>
      <c r="L139" s="109" t="n"/>
      <c r="M139" s="110" t="n"/>
      <c r="N139" s="85" t="n">
        <v>0</v>
      </c>
      <c r="O139" s="84" t="inlineStr">
        <is>
          <t>P6-BE-01, P2-BE-05</t>
        </is>
      </c>
      <c r="P139" s="84" t="inlineStr">
        <is>
          <t>resolve-geo.ts reads x-forwarded-for, resolves against local GeoLite2, writes city/region — the raw IP is never persisted, it lives only in the job payload</t>
        </is>
      </c>
      <c r="Q139" s="86" t="inlineStr">
        <is>
          <t>Guide §06, §26</t>
        </is>
      </c>
      <c r="R139" s="111" t="n"/>
    </row>
    <row r="140" ht="23.85" customHeight="1" s="75">
      <c r="A140" s="104" t="n">
        <v>128</v>
      </c>
      <c r="B140" s="105" t="inlineStr">
        <is>
          <t>P6-BE-07</t>
        </is>
      </c>
      <c r="C140" s="81" t="n">
        <v>6</v>
      </c>
      <c r="D140" s="82" t="inlineStr">
        <is>
          <t>Measurement &amp; Reward</t>
        </is>
      </c>
      <c r="E140" s="139" t="inlineStr">
        <is>
          <t>BE</t>
        </is>
      </c>
      <c r="F140" s="120" t="inlineStr">
        <is>
          <t>Code</t>
        </is>
      </c>
      <c r="G140" s="80" t="inlineStr">
        <is>
          <t>Unique per-athlete tracking codes</t>
        </is>
      </c>
      <c r="H140" s="107" t="inlineStr">
        <is>
          <t>Give each athlete on a campaign their own code so you can tell who actually drove traffic.</t>
        </is>
      </c>
      <c r="I140" s="108" t="inlineStr">
        <is>
          <t>Blocked</t>
        </is>
      </c>
      <c r="J140" s="108" t="n">
        <v>1</v>
      </c>
      <c r="K140" s="109" t="n"/>
      <c r="L140" s="109" t="n"/>
      <c r="M140" s="110" t="n"/>
      <c r="N140" s="81" t="n">
        <v>0</v>
      </c>
      <c r="O140" s="80" t="inlineStr">
        <is>
          <t>P6-BE-01</t>
        </is>
      </c>
      <c r="P140" s="80" t="inlineStr">
        <is>
          <t>Each athlete on a campaign gets a distinct code, so relative performance is measurable</t>
        </is>
      </c>
      <c r="Q140" s="82" t="inlineStr">
        <is>
          <t>§16, §30</t>
        </is>
      </c>
      <c r="R140" s="111" t="n"/>
    </row>
    <row r="141" ht="23.85" customHeight="1" s="75">
      <c r="A141" s="112" t="n">
        <v>129</v>
      </c>
      <c r="B141" s="113" t="inlineStr">
        <is>
          <t>P6-FE-01</t>
        </is>
      </c>
      <c r="C141" s="85" t="n">
        <v>6</v>
      </c>
      <c r="D141" s="86" t="inlineStr">
        <is>
          <t>Measurement &amp; Reward</t>
        </is>
      </c>
      <c r="E141" s="121" t="inlineStr">
        <is>
          <t>FE</t>
        </is>
      </c>
      <c r="F141" s="122" t="inlineStr">
        <is>
          <t>Code</t>
        </is>
      </c>
      <c r="G141" s="84" t="inlineStr">
        <is>
          <t>Wire the QR / reward creator</t>
        </is>
      </c>
      <c r="H141" s="116" t="inlineStr">
        <is>
          <t>The screen where staff create a reward: the offer, who qualifies, the consent wording, limits and expiry.</t>
        </is>
      </c>
      <c r="I141" s="108" t="inlineStr">
        <is>
          <t>Blocked</t>
        </is>
      </c>
      <c r="J141" s="108" t="n">
        <v>5</v>
      </c>
      <c r="K141" s="109" t="n"/>
      <c r="L141" s="109" t="n"/>
      <c r="M141" s="110" t="n"/>
      <c r="N141" s="85" t="n">
        <v>0</v>
      </c>
      <c r="O141" s="84" t="inlineStr">
        <is>
          <t>P6-BE-02</t>
        </is>
      </c>
      <c r="P141" s="84" t="inlineStr">
        <is>
          <t>Reward, eligibility, landing page, consent copy, limits and expiration are all configurable and persist</t>
        </is>
      </c>
      <c r="Q141" s="86" t="inlineStr">
        <is>
          <t>§9 screen 10</t>
        </is>
      </c>
      <c r="R141" s="111" t="n"/>
    </row>
    <row r="142" ht="23.85" customHeight="1" s="75">
      <c r="A142" s="104" t="n">
        <v>130</v>
      </c>
      <c r="B142" s="105" t="inlineStr">
        <is>
          <t>P6-FE-03</t>
        </is>
      </c>
      <c r="C142" s="81" t="n">
        <v>6</v>
      </c>
      <c r="D142" s="82" t="inlineStr">
        <is>
          <t>Measurement &amp; Reward</t>
        </is>
      </c>
      <c r="E142" s="119" t="inlineStr">
        <is>
          <t>FE</t>
        </is>
      </c>
      <c r="F142" s="120" t="inlineStr">
        <is>
          <t>Code</t>
        </is>
      </c>
      <c r="G142" s="80" t="inlineStr">
        <is>
          <t>Wire the analytics dashboard funnel panels</t>
        </is>
      </c>
      <c r="H142" s="107" t="inlineStr">
        <is>
          <t>Show the scan-to-redemption funnel with real numbers.</t>
        </is>
      </c>
      <c r="I142" s="108" t="inlineStr">
        <is>
          <t>Blocked</t>
        </is>
      </c>
      <c r="J142" s="108" t="n">
        <v>3</v>
      </c>
      <c r="K142" s="109" t="n"/>
      <c r="L142" s="109" t="n"/>
      <c r="M142" s="110" t="n"/>
      <c r="N142" s="81" t="n">
        <v>0</v>
      </c>
      <c r="O142" s="80" t="inlineStr">
        <is>
          <t>P6-BE-03</t>
        </is>
      </c>
      <c r="P142" s="80" t="inlineStr">
        <is>
          <t>Scan → landing → claim → redemption render as a real funnel with real counts</t>
        </is>
      </c>
      <c r="Q142" s="82" t="inlineStr">
        <is>
          <t>§9 screen 11</t>
        </is>
      </c>
      <c r="R142" s="111" t="n"/>
    </row>
    <row r="143" ht="23.85" customHeight="1" s="75">
      <c r="A143" s="112" t="n">
        <v>131</v>
      </c>
      <c r="B143" s="113" t="inlineStr">
        <is>
          <t>P6-INT-01</t>
        </is>
      </c>
      <c r="C143" s="85" t="n">
        <v>6</v>
      </c>
      <c r="D143" s="86" t="inlineStr">
        <is>
          <t>Measurement &amp; Reward</t>
        </is>
      </c>
      <c r="E143" s="141" t="inlineStr">
        <is>
          <t>INT</t>
        </is>
      </c>
      <c r="F143" s="122" t="inlineStr">
        <is>
          <t>Code</t>
        </is>
      </c>
      <c r="G143" s="84" t="inlineStr">
        <is>
          <t>Consent-gated lead push to Zoho</t>
        </is>
      </c>
      <c r="H143" s="116" t="inlineStr">
        <is>
          <t>Send fan leads to Zoho only where consent was given. No consent, no push — enforced in code.</t>
        </is>
      </c>
      <c r="I143" s="108" t="inlineStr">
        <is>
          <t>Blocked</t>
        </is>
      </c>
      <c r="J143" s="108" t="n">
        <v>3</v>
      </c>
      <c r="K143" s="109" t="n"/>
      <c r="L143" s="109" t="n"/>
      <c r="M143" s="110" t="n"/>
      <c r="N143" s="85" t="n">
        <v>0</v>
      </c>
      <c r="O143" s="84" t="inlineStr">
        <is>
          <t>P6-SEC-01, P2-BE-05</t>
        </is>
      </c>
      <c r="P143" s="84" t="inlineStr">
        <is>
          <t>Claims with consent enqueue zoho.pushLead; claims without consent never do</t>
        </is>
      </c>
      <c r="Q143" s="86" t="inlineStr">
        <is>
          <t>§18</t>
        </is>
      </c>
      <c r="R143" s="111" t="n"/>
    </row>
    <row r="144" ht="35.05" customHeight="1" s="75">
      <c r="A144" s="104" t="n">
        <v>132</v>
      </c>
      <c r="B144" s="105" t="inlineStr">
        <is>
          <t>P6-QA-01</t>
        </is>
      </c>
      <c r="C144" s="81" t="n">
        <v>6</v>
      </c>
      <c r="D144" s="82" t="inlineStr">
        <is>
          <t>Measurement &amp; Reward</t>
        </is>
      </c>
      <c r="E144" s="135" t="inlineStr">
        <is>
          <t>QA</t>
        </is>
      </c>
      <c r="F144" s="120" t="inlineStr">
        <is>
          <t>Code</t>
        </is>
      </c>
      <c r="G144" s="80" t="inlineStr">
        <is>
          <t>E2E: scan → landing → claim → redeem</t>
        </is>
      </c>
      <c r="H144" s="107" t="inlineStr">
        <is>
          <t>Automated test that a scan produces four distinct events and a second redemption is refused.</t>
        </is>
      </c>
      <c r="I144" s="108" t="inlineStr">
        <is>
          <t>Blocked</t>
        </is>
      </c>
      <c r="J144" s="108" t="n">
        <v>3</v>
      </c>
      <c r="K144" s="109" t="n"/>
      <c r="L144" s="109" t="n"/>
      <c r="M144" s="110" t="n"/>
      <c r="N144" s="81" t="n">
        <v>0</v>
      </c>
      <c r="O144" s="80" t="inlineStr">
        <is>
          <t>P6-FE-02</t>
        </is>
      </c>
      <c r="P144" s="80" t="inlineStr">
        <is>
          <t>All four events recorded separately; a second redeem attempt is rejected</t>
        </is>
      </c>
      <c r="Q144" s="82" t="inlineStr">
        <is>
          <t>§30</t>
        </is>
      </c>
      <c r="R144" s="111" t="n"/>
    </row>
    <row r="145" ht="23.85" customHeight="1" s="75">
      <c r="A145" s="112" t="n">
        <v>133</v>
      </c>
      <c r="B145" s="113" t="inlineStr">
        <is>
          <t>P6-QA-02</t>
        </is>
      </c>
      <c r="C145" s="85" t="n">
        <v>6</v>
      </c>
      <c r="D145" s="86" t="inlineStr">
        <is>
          <t>Measurement &amp; Reward</t>
        </is>
      </c>
      <c r="E145" s="134" t="inlineStr">
        <is>
          <t>QA</t>
        </is>
      </c>
      <c r="F145" s="122" t="inlineStr">
        <is>
          <t>Code</t>
        </is>
      </c>
      <c r="G145" s="84" t="inlineStr">
        <is>
          <t>Redeem page performance budget</t>
        </is>
      </c>
      <c r="H145" s="116" t="inlineStr">
        <is>
          <t>Test the redeem page on a throttled mobile connection. This is the one page in the product that must be fast.</t>
        </is>
      </c>
      <c r="I145" s="108" t="inlineStr">
        <is>
          <t>Blocked</t>
        </is>
      </c>
      <c r="J145" s="108" t="n">
        <v>1</v>
      </c>
      <c r="K145" s="109" t="n"/>
      <c r="L145" s="109" t="n"/>
      <c r="M145" s="110" t="n"/>
      <c r="N145" s="85" t="n">
        <v>0</v>
      </c>
      <c r="O145" s="84" t="inlineStr">
        <is>
          <t>P6-FE-02</t>
        </is>
      </c>
      <c r="P145" s="84" t="inlineStr">
        <is>
          <t>Verified on a throttled mobile connection: no client bundle, no render-blocking font, plain dynamic route — no ISR, no edge middleware</t>
        </is>
      </c>
      <c r="Q145" s="86" t="inlineStr">
        <is>
          <t>§16, Addendum A10</t>
        </is>
      </c>
      <c r="R145" s="111" t="n"/>
    </row>
    <row r="146" ht="35.05" customHeight="1" s="75">
      <c r="A146" s="104" t="n">
        <v>134</v>
      </c>
      <c r="B146" s="105" t="inlineStr">
        <is>
          <t>P6-SEC-02</t>
        </is>
      </c>
      <c r="C146" s="81" t="n">
        <v>6</v>
      </c>
      <c r="D146" s="82" t="inlineStr">
        <is>
          <t>Measurement &amp; Reward</t>
        </is>
      </c>
      <c r="E146" s="140" t="inlineStr">
        <is>
          <t>SEC</t>
        </is>
      </c>
      <c r="F146" s="120" t="inlineStr">
        <is>
          <t>Code</t>
        </is>
      </c>
      <c r="G146" s="80" t="inlineStr">
        <is>
          <t>Fan PII purpose limitation</t>
        </is>
      </c>
      <c r="H146" s="107" t="inlineStr">
        <is>
          <t>Sponsors receive only the fan fields consent allows — enforced in the database query, not by hiding it in the interface.</t>
        </is>
      </c>
      <c r="I146" s="108" t="inlineStr">
        <is>
          <t>Blocked</t>
        </is>
      </c>
      <c r="J146" s="108" t="n">
        <v>3</v>
      </c>
      <c r="K146" s="109" t="n"/>
      <c r="L146" s="109" t="n"/>
      <c r="M146" s="110" t="n"/>
      <c r="N146" s="81" t="n">
        <v>0</v>
      </c>
      <c r="O146" s="80" t="inlineStr">
        <is>
          <t>P6-SEC-01</t>
        </is>
      </c>
      <c r="P146" s="80" t="inlineStr">
        <is>
          <t>Sponsors receive only the fields consent permits; the restriction is enforced in select, not in the UI</t>
        </is>
      </c>
      <c r="Q146" s="82" t="inlineStr">
        <is>
          <t>§26, Memory 04</t>
        </is>
      </c>
      <c r="R146" s="111" t="n"/>
    </row>
    <row r="147" ht="35.05" customHeight="1" s="75">
      <c r="A147" s="112" t="n">
        <v>135</v>
      </c>
      <c r="B147" s="113" t="inlineStr">
        <is>
          <t>P7-DATA-01</t>
        </is>
      </c>
      <c r="C147" s="85" t="n">
        <v>7</v>
      </c>
      <c r="D147" s="86" t="inlineStr">
        <is>
          <t>Money &amp; Reporting</t>
        </is>
      </c>
      <c r="E147" s="129" t="inlineStr">
        <is>
          <t>DATA</t>
        </is>
      </c>
      <c r="F147" s="122" t="inlineStr">
        <is>
          <t>Code</t>
        </is>
      </c>
      <c r="G147" s="84" t="inlineStr">
        <is>
          <t>Metric entry with provenance labels</t>
        </is>
      </c>
      <c r="H147" s="116" t="inlineStr">
        <is>
          <t>Every performance number carries a label saying where it came from. Verified and estimated figures must never be presented as the same thing — this is the biggest credibility risk in the product.</t>
        </is>
      </c>
      <c r="I147" s="108" t="inlineStr">
        <is>
          <t>Blocked</t>
        </is>
      </c>
      <c r="J147" s="108" t="n">
        <v>3</v>
      </c>
      <c r="K147" s="109" t="n"/>
      <c r="L147" s="109" t="n"/>
      <c r="M147" s="110" t="n"/>
      <c r="N147" s="85" t="n">
        <v>11</v>
      </c>
      <c r="O147" s="84" t="inlineStr">
        <is>
          <t>P0-DATA-01, P5-BE-05</t>
        </is>
      </c>
      <c r="P147" s="84" t="inlineStr">
        <is>
          <t>Every metric row carries one of the five §22 source labels; verified-API, verified-manual, self-reported, estimated and attributed are never conflated</t>
        </is>
      </c>
      <c r="Q147" s="86" t="inlineStr">
        <is>
          <t>§22, §26</t>
        </is>
      </c>
      <c r="R147" s="111" t="n"/>
    </row>
    <row r="148" ht="35.05" customHeight="1" s="75">
      <c r="A148" s="104" t="n">
        <v>136</v>
      </c>
      <c r="B148" s="105" t="inlineStr">
        <is>
          <t>P7-DATA-02</t>
        </is>
      </c>
      <c r="C148" s="81" t="n">
        <v>7</v>
      </c>
      <c r="D148" s="82" t="inlineStr">
        <is>
          <t>Money &amp; Reporting</t>
        </is>
      </c>
      <c r="E148" s="143" t="inlineStr">
        <is>
          <t>DATA</t>
        </is>
      </c>
      <c r="F148" s="120" t="inlineStr">
        <is>
          <t>Code</t>
        </is>
      </c>
      <c r="G148" s="80" t="inlineStr">
        <is>
          <t>Metric rollup worker job</t>
        </is>
      </c>
      <c r="H148" s="107" t="inlineStr">
        <is>
          <t>A scheduled job that totals up athlete and campaign performance, in a way that can always be recomputed from the raw events.</t>
        </is>
      </c>
      <c r="I148" s="108" t="inlineStr">
        <is>
          <t>Blocked</t>
        </is>
      </c>
      <c r="J148" s="108" t="n">
        <v>3</v>
      </c>
      <c r="K148" s="109" t="n"/>
      <c r="L148" s="109" t="n"/>
      <c r="M148" s="110" t="n"/>
      <c r="N148" s="81" t="n">
        <v>8</v>
      </c>
      <c r="O148" s="80" t="inlineStr">
        <is>
          <t>P7-DATA-01, P2-BE-05</t>
        </is>
      </c>
      <c r="P148" s="80" t="inlineStr">
        <is>
          <t>rollup-metrics.ts aggregates athlete and campaign metrics on a schedule; aggregates are reproducible from events</t>
        </is>
      </c>
      <c r="Q148" s="82" t="inlineStr">
        <is>
          <t>§22</t>
        </is>
      </c>
      <c r="R148" s="111" t="n"/>
    </row>
    <row r="149" ht="35.05" customHeight="1" s="75">
      <c r="A149" s="112" t="n">
        <v>137</v>
      </c>
      <c r="B149" s="113" t="inlineStr">
        <is>
          <t>P7-BE-01</t>
        </is>
      </c>
      <c r="C149" s="85" t="n">
        <v>7</v>
      </c>
      <c r="D149" s="86" t="inlineStr">
        <is>
          <t>Money &amp; Reporting</t>
        </is>
      </c>
      <c r="E149" s="137" t="inlineStr">
        <is>
          <t>BE</t>
        </is>
      </c>
      <c r="F149" s="122" t="inlineStr">
        <is>
          <t>Code</t>
        </is>
      </c>
      <c r="G149" s="84" t="inlineStr">
        <is>
          <t>Earnings model and state machine</t>
        </is>
      </c>
      <c r="H149" s="116" t="inlineStr">
        <is>
          <t>Track what an athlete has earned and whether it is pending, eligible, approved or paid. No tax IDs, no bank details — money moves outside the system in Phase 1.</t>
        </is>
      </c>
      <c r="I149" s="108" t="inlineStr">
        <is>
          <t>Blocked</t>
        </is>
      </c>
      <c r="J149" s="108" t="n">
        <v>3</v>
      </c>
      <c r="K149" s="109" t="n"/>
      <c r="L149" s="109" t="n"/>
      <c r="M149" s="110" t="n"/>
      <c r="N149" s="85" t="n">
        <v>6</v>
      </c>
      <c r="O149" s="84" t="inlineStr">
        <is>
          <t>P0-PMO-01</t>
        </is>
      </c>
      <c r="P149" s="84" t="inlineStr">
        <is>
          <t>PENDING→ELIGIBLE→APPROVED_FOR_PAYOUT→PAID/HELD/DISPUTED enforced; no tax ID field, no bank details</t>
        </is>
      </c>
      <c r="Q149" s="86" t="inlineStr">
        <is>
          <t>§21, Addendum A6</t>
        </is>
      </c>
      <c r="R149" s="111" t="n"/>
    </row>
    <row r="150" ht="23.85" customHeight="1" s="75">
      <c r="A150" s="104" t="n">
        <v>138</v>
      </c>
      <c r="B150" s="105" t="inlineStr">
        <is>
          <t>P7-BE-05</t>
        </is>
      </c>
      <c r="C150" s="81" t="n">
        <v>7</v>
      </c>
      <c r="D150" s="82" t="inlineStr">
        <is>
          <t>Money &amp; Reporting</t>
        </is>
      </c>
      <c r="E150" s="139" t="inlineStr">
        <is>
          <t>BE</t>
        </is>
      </c>
      <c r="F150" s="120" t="inlineStr">
        <is>
          <t>Code</t>
        </is>
      </c>
      <c r="G150" s="80" t="inlineStr">
        <is>
          <t>Sponsor ROI report data assembly</t>
        </is>
      </c>
      <c r="H150" s="107" t="inlineStr">
        <is>
          <t>Assemble the sponsor's results report: what was promised, who delivered, what it achieved, with every number's provenance intact.</t>
        </is>
      </c>
      <c r="I150" s="108" t="inlineStr">
        <is>
          <t>Blocked</t>
        </is>
      </c>
      <c r="J150" s="108" t="n">
        <v>5</v>
      </c>
      <c r="K150" s="109" t="n"/>
      <c r="L150" s="109" t="n"/>
      <c r="M150" s="110" t="n"/>
      <c r="N150" s="81" t="n">
        <v>4</v>
      </c>
      <c r="O150" s="80" t="inlineStr">
        <is>
          <t>P7-DATA-02</t>
        </is>
      </c>
      <c r="P150" s="80" t="inlineStr">
        <is>
          <t>Objective, roster, delivered assets, verified/estimated metrics, QR funnel, redemption, media value and recommendations all assembled with labels intact</t>
        </is>
      </c>
      <c r="Q150" s="82" t="inlineStr">
        <is>
          <t>§9 screen 12</t>
        </is>
      </c>
      <c r="R150" s="111" t="n"/>
    </row>
    <row r="151" ht="35.05" customHeight="1" s="75">
      <c r="A151" s="112" t="n">
        <v>139</v>
      </c>
      <c r="B151" s="113" t="inlineStr">
        <is>
          <t>P7-BE-03</t>
        </is>
      </c>
      <c r="C151" s="85" t="n">
        <v>7</v>
      </c>
      <c r="D151" s="86" t="inlineStr">
        <is>
          <t>Money &amp; Reporting</t>
        </is>
      </c>
      <c r="E151" s="137" t="inlineStr">
        <is>
          <t>BE</t>
        </is>
      </c>
      <c r="F151" s="122" t="inlineStr">
        <is>
          <t>Code</t>
        </is>
      </c>
      <c r="G151" s="84" t="inlineStr">
        <is>
          <t>Commission and management fee calculation</t>
        </is>
      </c>
      <c r="H151" s="116" t="inlineStr">
        <is>
          <t>Work out gross pay, adjustments and BTG's margin from the job's pay and price.</t>
        </is>
      </c>
      <c r="I151" s="108" t="inlineStr">
        <is>
          <t>Blocked</t>
        </is>
      </c>
      <c r="J151" s="108" t="n">
        <v>3</v>
      </c>
      <c r="K151" s="109" t="n"/>
      <c r="L151" s="109" t="n"/>
      <c r="M151" s="110" t="n"/>
      <c r="N151" s="85" t="n">
        <v>2</v>
      </c>
      <c r="O151" s="84" t="inlineStr">
        <is>
          <t>P7-BE-01</t>
        </is>
      </c>
      <c r="P151" s="84" t="inlineStr">
        <is>
          <t>Gross compensation, adjustments and BTG margin computed from the job's base pay and sell price</t>
        </is>
      </c>
      <c r="Q151" s="86" t="inlineStr">
        <is>
          <t>§5, §10</t>
        </is>
      </c>
      <c r="R151" s="111" t="n"/>
    </row>
    <row r="152" ht="35.05" customHeight="1" s="75">
      <c r="A152" s="104" t="n">
        <v>140</v>
      </c>
      <c r="B152" s="105" t="inlineStr">
        <is>
          <t>P7-FE-03</t>
        </is>
      </c>
      <c r="C152" s="81" t="n">
        <v>7</v>
      </c>
      <c r="D152" s="82" t="inlineStr">
        <is>
          <t>Money &amp; Reporting</t>
        </is>
      </c>
      <c r="E152" s="119" t="inlineStr">
        <is>
          <t>FE</t>
        </is>
      </c>
      <c r="F152" s="120" t="inlineStr">
        <is>
          <t>Code</t>
        </is>
      </c>
      <c r="G152" s="80" t="inlineStr">
        <is>
          <t>Wire the sponsor ROI report screen</t>
        </is>
      </c>
      <c r="H152" s="107" t="inlineStr">
        <is>
          <t>The sponsor results screen, with estimated figures visibly labelled as estimates.</t>
        </is>
      </c>
      <c r="I152" s="108" t="inlineStr">
        <is>
          <t>Blocked</t>
        </is>
      </c>
      <c r="J152" s="108" t="n">
        <v>5</v>
      </c>
      <c r="K152" s="109" t="n"/>
      <c r="L152" s="109" t="n"/>
      <c r="M152" s="110" t="n"/>
      <c r="N152" s="81" t="n">
        <v>2</v>
      </c>
      <c r="O152" s="80" t="inlineStr">
        <is>
          <t>P7-BE-05</t>
        </is>
      </c>
      <c r="P152" s="80" t="inlineStr">
        <is>
          <t>Screen 12 renders the real report with provenance labels visible — estimated figures are never presented as verified</t>
        </is>
      </c>
      <c r="Q152" s="82" t="inlineStr">
        <is>
          <t>§9 screen 12, §22</t>
        </is>
      </c>
      <c r="R152" s="111" t="n"/>
    </row>
    <row r="153" ht="23.85" customHeight="1" s="75">
      <c r="A153" s="112" t="n">
        <v>141</v>
      </c>
      <c r="B153" s="113" t="inlineStr">
        <is>
          <t>P7-DATA-05</t>
        </is>
      </c>
      <c r="C153" s="85" t="n">
        <v>7</v>
      </c>
      <c r="D153" s="86" t="inlineStr">
        <is>
          <t>Money &amp; Reporting</t>
        </is>
      </c>
      <c r="E153" s="129" t="inlineStr">
        <is>
          <t>DATA</t>
        </is>
      </c>
      <c r="F153" s="122" t="inlineStr">
        <is>
          <t>Code</t>
        </is>
      </c>
      <c r="G153" s="84" t="inlineStr">
        <is>
          <t>Network and marketplace-learning metrics</t>
        </is>
      </c>
      <c r="H153" s="116" t="inlineStr">
        <is>
          <t>Network-level numbers: active athletes, participation, total earnings, average job pay, margin by package.</t>
        </is>
      </c>
      <c r="I153" s="108" t="inlineStr">
        <is>
          <t>Blocked</t>
        </is>
      </c>
      <c r="J153" s="108" t="n">
        <v>3</v>
      </c>
      <c r="K153" s="109" t="n"/>
      <c r="L153" s="109" t="n"/>
      <c r="M153" s="110" t="n"/>
      <c r="N153" s="85" t="n">
        <v>1</v>
      </c>
      <c r="O153" s="84" t="inlineStr">
        <is>
          <t>P7-DATA-02</t>
        </is>
      </c>
      <c r="P153" s="84" t="inlineStr">
        <is>
          <t>Active athletes, participation rate, total earnings, average job pay, utilisation, average sell price by job and margin by package are all queryable</t>
        </is>
      </c>
      <c r="Q153" s="86" t="inlineStr">
        <is>
          <t>§22</t>
        </is>
      </c>
      <c r="R153" s="111" t="n"/>
    </row>
    <row r="154" ht="35.05" customHeight="1" s="75">
      <c r="A154" s="104" t="n">
        <v>142</v>
      </c>
      <c r="B154" s="105" t="inlineStr">
        <is>
          <t>P7-BE-02</t>
        </is>
      </c>
      <c r="C154" s="81" t="n">
        <v>7</v>
      </c>
      <c r="D154" s="82" t="inlineStr">
        <is>
          <t>Money &amp; Reporting</t>
        </is>
      </c>
      <c r="E154" s="139" t="inlineStr">
        <is>
          <t>BE</t>
        </is>
      </c>
      <c r="F154" s="120" t="inlineStr">
        <is>
          <t>Code</t>
        </is>
      </c>
      <c r="G154" s="80" t="inlineStr">
        <is>
          <t>Earnings eligibility from deliverable completion</t>
        </is>
      </c>
      <c r="H154" s="107" t="inlineStr">
        <is>
          <t>Closing an approved deliverable makes the athlete's earning eligible, automatically and audited.</t>
        </is>
      </c>
      <c r="I154" s="108" t="inlineStr">
        <is>
          <t>Blocked</t>
        </is>
      </c>
      <c r="J154" s="108" t="n">
        <v>3</v>
      </c>
      <c r="K154" s="109" t="n"/>
      <c r="L154" s="109" t="n"/>
      <c r="M154" s="110" t="n"/>
      <c r="N154" s="81" t="n">
        <v>0</v>
      </c>
      <c r="O154" s="80" t="inlineStr">
        <is>
          <t>P7-BE-01, P5-BE-08</t>
        </is>
      </c>
      <c r="P154" s="80" t="inlineStr">
        <is>
          <t>Closing an accepted deliverable makes the associated earning ELIGIBLE; the transition is audited</t>
        </is>
      </c>
      <c r="Q154" s="82" t="inlineStr">
        <is>
          <t>§13 step 11</t>
        </is>
      </c>
      <c r="R154" s="111" t="n"/>
    </row>
    <row r="155" ht="35.05" customHeight="1" s="75">
      <c r="A155" s="112" t="n">
        <v>143</v>
      </c>
      <c r="B155" s="113" t="inlineStr">
        <is>
          <t>P7-BE-04</t>
        </is>
      </c>
      <c r="C155" s="85" t="n">
        <v>7</v>
      </c>
      <c r="D155" s="86" t="inlineStr">
        <is>
          <t>Money &amp; Reporting</t>
        </is>
      </c>
      <c r="E155" s="137" t="inlineStr">
        <is>
          <t>BE</t>
        </is>
      </c>
      <c r="F155" s="122" t="inlineStr">
        <is>
          <t>Code</t>
        </is>
      </c>
      <c r="G155" s="84" t="inlineStr">
        <is>
          <t>Invoice / payment reference ingestion from Zoho</t>
        </is>
      </c>
      <c r="H155" s="116" t="inlineStr">
        <is>
          <t>Pull invoice and payment status in from Zoho. SponsorX never becomes the invoicing system.</t>
        </is>
      </c>
      <c r="I155" s="108" t="inlineStr">
        <is>
          <t>Blocked</t>
        </is>
      </c>
      <c r="J155" s="108" t="n">
        <v>3</v>
      </c>
      <c r="K155" s="109" t="n"/>
      <c r="L155" s="109" t="n"/>
      <c r="M155" s="110" t="n"/>
      <c r="N155" s="85" t="n">
        <v>0</v>
      </c>
      <c r="O155" s="84" t="inlineStr">
        <is>
          <t>P2-BE-05</t>
        </is>
      </c>
      <c r="P155" s="84" t="inlineStr">
        <is>
          <t>Invoice and payment status flow Zoho → SponsorX and attach to the campaign; SponsorX never becomes the invoice system of record</t>
        </is>
      </c>
      <c r="Q155" s="86" t="inlineStr">
        <is>
          <t>§18</t>
        </is>
      </c>
      <c r="R155" s="111" t="n"/>
    </row>
    <row r="156" ht="35.05" customHeight="1" s="75">
      <c r="A156" s="104" t="n">
        <v>144</v>
      </c>
      <c r="B156" s="105" t="inlineStr">
        <is>
          <t>P7-BE-06</t>
        </is>
      </c>
      <c r="C156" s="81" t="n">
        <v>7</v>
      </c>
      <c r="D156" s="82" t="inlineStr">
        <is>
          <t>Money &amp; Reporting</t>
        </is>
      </c>
      <c r="E156" s="139" t="inlineStr">
        <is>
          <t>BE</t>
        </is>
      </c>
      <c r="F156" s="120" t="inlineStr">
        <is>
          <t>Code</t>
        </is>
      </c>
      <c r="G156" s="80" t="inlineStr">
        <is>
          <t>Report render worker job</t>
        </is>
      </c>
      <c r="H156" s="107" t="inlineStr">
        <is>
          <t>Render the sponsor report as a PDF in the background — only if the earlier decision says a PDF is actually needed.</t>
        </is>
      </c>
      <c r="I156" s="108" t="inlineStr">
        <is>
          <t>Blocked</t>
        </is>
      </c>
      <c r="J156" s="108" t="n">
        <v>3</v>
      </c>
      <c r="K156" s="109" t="n"/>
      <c r="L156" s="109" t="n"/>
      <c r="M156" s="110" t="n"/>
      <c r="N156" s="81" t="n">
        <v>0</v>
      </c>
      <c r="O156" s="80" t="inlineStr">
        <is>
          <t>P7-BE-05, P0-PMO-05</t>
        </is>
      </c>
      <c r="P156" s="80" t="inlineStr">
        <is>
          <t>If G-07 requires a PDF, Playwright renders it on the worker and stores it in the private bucket. If not, this task is closed as not-required</t>
        </is>
      </c>
      <c r="Q156" s="82" t="inlineStr">
        <is>
          <t>Addendum A10, Guide §10</t>
        </is>
      </c>
      <c r="R156" s="111" t="n"/>
    </row>
    <row r="157" ht="23.85" customHeight="1" s="75">
      <c r="A157" s="112" t="n">
        <v>145</v>
      </c>
      <c r="B157" s="113" t="inlineStr">
        <is>
          <t>P7-DATA-03</t>
        </is>
      </c>
      <c r="C157" s="85" t="n">
        <v>7</v>
      </c>
      <c r="D157" s="86" t="inlineStr">
        <is>
          <t>Money &amp; Reporting</t>
        </is>
      </c>
      <c r="E157" s="129" t="inlineStr">
        <is>
          <t>DATA</t>
        </is>
      </c>
      <c r="F157" s="122" t="inlineStr">
        <is>
          <t>Code</t>
        </is>
      </c>
      <c r="G157" s="84" t="inlineStr">
        <is>
          <t>Implied CPM calculation</t>
        </is>
      </c>
      <c r="H157" s="116" t="inlineStr">
        <is>
          <t>Calculate an implied cost-per-thousand even for fixed-price jobs, so you learn what your inventory is really worth.</t>
        </is>
      </c>
      <c r="I157" s="108" t="inlineStr">
        <is>
          <t>Blocked</t>
        </is>
      </c>
      <c r="J157" s="108" t="n">
        <v>3</v>
      </c>
      <c r="K157" s="109" t="n"/>
      <c r="L157" s="109" t="n"/>
      <c r="M157" s="110" t="n"/>
      <c r="N157" s="85" t="n">
        <v>0</v>
      </c>
      <c r="O157" s="84" t="inlineStr">
        <is>
          <t>P7-DATA-01</t>
        </is>
      </c>
      <c r="P157" s="84" t="inlineStr">
        <is>
          <t>Both list price and implied CPM are stored whenever impressions are projected — fixed-price jobs still compute it for learning</t>
        </is>
      </c>
      <c r="Q157" s="86" t="inlineStr">
        <is>
          <t>§15</t>
        </is>
      </c>
      <c r="R157" s="111" t="n"/>
    </row>
    <row r="158" ht="23.85" customHeight="1" s="75">
      <c r="A158" s="104" t="n">
        <v>146</v>
      </c>
      <c r="B158" s="105" t="inlineStr">
        <is>
          <t>P7-DATA-04</t>
        </is>
      </c>
      <c r="C158" s="81" t="n">
        <v>7</v>
      </c>
      <c r="D158" s="82" t="inlineStr">
        <is>
          <t>Money &amp; Reporting</t>
        </is>
      </c>
      <c r="E158" s="143" t="inlineStr">
        <is>
          <t>DATA</t>
        </is>
      </c>
      <c r="F158" s="120" t="inlineStr">
        <is>
          <t>Code</t>
        </is>
      </c>
      <c r="G158" s="80" t="inlineStr">
        <is>
          <t>Campaign delivered-vs-planned tracking</t>
        </is>
      </c>
      <c r="H158" s="107" t="inlineStr">
        <is>
          <t>Detect when a campaign is delivering less than promised, and surface it before the sponsor notices.</t>
        </is>
      </c>
      <c r="I158" s="108" t="inlineStr">
        <is>
          <t>Blocked</t>
        </is>
      </c>
      <c r="J158" s="108" t="n">
        <v>1</v>
      </c>
      <c r="K158" s="109" t="n"/>
      <c r="L158" s="109" t="n"/>
      <c r="M158" s="110" t="n"/>
      <c r="N158" s="81" t="n">
        <v>0</v>
      </c>
      <c r="O158" s="80" t="inlineStr">
        <is>
          <t>P7-DATA-01</t>
        </is>
      </c>
      <c r="P158" s="80" t="inlineStr">
        <is>
          <t>Under-delivery is detectable and surfaces on the operations dashboard</t>
        </is>
      </c>
      <c r="Q158" s="82" t="inlineStr">
        <is>
          <t>§22, §9 screen 9</t>
        </is>
      </c>
      <c r="R158" s="111" t="n"/>
    </row>
    <row r="159" ht="35.05" customHeight="1" s="75">
      <c r="A159" s="112" t="n">
        <v>147</v>
      </c>
      <c r="B159" s="113" t="inlineStr">
        <is>
          <t>P7-FE-01</t>
        </is>
      </c>
      <c r="C159" s="85" t="n">
        <v>7</v>
      </c>
      <c r="D159" s="86" t="inlineStr">
        <is>
          <t>Money &amp; Reporting</t>
        </is>
      </c>
      <c r="E159" s="121" t="inlineStr">
        <is>
          <t>FE</t>
        </is>
      </c>
      <c r="F159" s="122" t="inlineStr">
        <is>
          <t>Code</t>
        </is>
      </c>
      <c r="G159" s="84" t="inlineStr">
        <is>
          <t>Wire the athlete earnings view</t>
        </is>
      </c>
      <c r="H159" s="116" t="inlineStr">
        <is>
          <t>The athlete's earnings view. No tax ID or bank field appears anywhere on it.</t>
        </is>
      </c>
      <c r="I159" s="108" t="inlineStr">
        <is>
          <t>Blocked</t>
        </is>
      </c>
      <c r="J159" s="108" t="n">
        <v>3</v>
      </c>
      <c r="K159" s="109" t="n"/>
      <c r="L159" s="109" t="n"/>
      <c r="M159" s="110" t="n"/>
      <c r="N159" s="85" t="n">
        <v>0</v>
      </c>
      <c r="O159" s="84" t="inlineStr">
        <is>
          <t>P7-BE-01</t>
        </is>
      </c>
      <c r="P159" s="84" t="inlineStr">
        <is>
          <t>Pending / eligible / approved / paid statuses render; no tax ID or bank field appears anywhere</t>
        </is>
      </c>
      <c r="Q159" s="86" t="inlineStr">
        <is>
          <t>§24, §30</t>
        </is>
      </c>
      <c r="R159" s="111" t="n"/>
    </row>
    <row r="160" ht="35.05" customHeight="1" s="75">
      <c r="A160" s="104" t="n">
        <v>148</v>
      </c>
      <c r="B160" s="105" t="inlineStr">
        <is>
          <t>P7-FE-02</t>
        </is>
      </c>
      <c r="C160" s="81" t="n">
        <v>7</v>
      </c>
      <c r="D160" s="82" t="inlineStr">
        <is>
          <t>Money &amp; Reporting</t>
        </is>
      </c>
      <c r="E160" s="119" t="inlineStr">
        <is>
          <t>FE</t>
        </is>
      </c>
      <c r="F160" s="120" t="inlineStr">
        <is>
          <t>Code</t>
        </is>
      </c>
      <c r="G160" s="80" t="inlineStr">
        <is>
          <t>Wire the finance workspace</t>
        </is>
      </c>
      <c r="H160" s="107" t="inlineStr">
        <is>
          <t>The finance workspace: earnings states, commission, Zoho invoice references, reconciliation.</t>
        </is>
      </c>
      <c r="I160" s="108" t="inlineStr">
        <is>
          <t>Blocked</t>
        </is>
      </c>
      <c r="J160" s="108" t="n">
        <v>5</v>
      </c>
      <c r="K160" s="109" t="n"/>
      <c r="L160" s="109" t="n"/>
      <c r="M160" s="110" t="n"/>
      <c r="N160" s="81" t="n">
        <v>0</v>
      </c>
      <c r="O160" s="80" t="inlineStr">
        <is>
          <t>P7-BE-03</t>
        </is>
      </c>
      <c r="P160" s="80" t="inlineStr">
        <is>
          <t>Earnings states, commission calculation, Zoho invoice references and reconciliation view all render from real data</t>
        </is>
      </c>
      <c r="Q160" s="82" t="inlineStr">
        <is>
          <t>§10, §23</t>
        </is>
      </c>
      <c r="R160" s="111" t="n"/>
    </row>
    <row r="161" ht="15" customHeight="1" s="75">
      <c r="A161" s="112" t="n">
        <v>149</v>
      </c>
      <c r="B161" s="113" t="inlineStr">
        <is>
          <t>P7-FE-04</t>
        </is>
      </c>
      <c r="C161" s="85" t="n">
        <v>7</v>
      </c>
      <c r="D161" s="86" t="inlineStr">
        <is>
          <t>Money &amp; Reporting</t>
        </is>
      </c>
      <c r="E161" s="121" t="inlineStr">
        <is>
          <t>FE</t>
        </is>
      </c>
      <c r="F161" s="122" t="inlineStr">
        <is>
          <t>Code</t>
        </is>
      </c>
      <c r="G161" s="84" t="inlineStr">
        <is>
          <t>Wire the analytics and athlete performance dashboard</t>
        </is>
      </c>
      <c r="H161" s="116" t="inlineStr">
        <is>
          <t>The performance dashboard: per-athlete views, engagement, clicks, claims, redemptions, reliability.</t>
        </is>
      </c>
      <c r="I161" s="108" t="inlineStr">
        <is>
          <t>Blocked</t>
        </is>
      </c>
      <c r="J161" s="108" t="n">
        <v>5</v>
      </c>
      <c r="K161" s="109" t="n"/>
      <c r="L161" s="109" t="n"/>
      <c r="M161" s="110" t="n"/>
      <c r="N161" s="85" t="n">
        <v>0</v>
      </c>
      <c r="O161" s="84" t="inlineStr">
        <is>
          <t>P7-DATA-02</t>
        </is>
      </c>
      <c r="P161" s="84" t="inlineStr">
        <is>
          <t>Per-athlete views, engagement, clicks, claims, redemptions, reliability and revision rate all render from real aggregates</t>
        </is>
      </c>
      <c r="Q161" s="86" t="inlineStr">
        <is>
          <t>§9 screen 11</t>
        </is>
      </c>
      <c r="R161" s="111" t="n"/>
    </row>
    <row r="162" ht="22.35" customHeight="1" s="75">
      <c r="A162" s="104" t="n">
        <v>150</v>
      </c>
      <c r="B162" s="105" t="inlineStr">
        <is>
          <t>P7-FE-05</t>
        </is>
      </c>
      <c r="C162" s="81" t="n">
        <v>7</v>
      </c>
      <c r="D162" s="82" t="inlineStr">
        <is>
          <t>Money &amp; Reporting</t>
        </is>
      </c>
      <c r="E162" s="119" t="inlineStr">
        <is>
          <t>FE</t>
        </is>
      </c>
      <c r="F162" s="120" t="inlineStr">
        <is>
          <t>Code</t>
        </is>
      </c>
      <c r="G162" s="80" t="inlineStr">
        <is>
          <t>Wire the admin network analytics view</t>
        </is>
      </c>
      <c r="H162" s="107" t="inlineStr">
        <is>
          <t>The network-level analytics view for BTG.</t>
        </is>
      </c>
      <c r="I162" s="108" t="inlineStr">
        <is>
          <t>Blocked</t>
        </is>
      </c>
      <c r="J162" s="108" t="n">
        <v>3</v>
      </c>
      <c r="K162" s="109" t="n"/>
      <c r="L162" s="109" t="n"/>
      <c r="M162" s="110" t="n"/>
      <c r="N162" s="81" t="n">
        <v>0</v>
      </c>
      <c r="O162" s="80" t="inlineStr">
        <is>
          <t>P7-DATA-05</t>
        </is>
      </c>
      <c r="P162" s="80" t="inlineStr">
        <is>
          <t>Network-level and marketplace-learning metrics render</t>
        </is>
      </c>
      <c r="Q162" s="82" t="inlineStr">
        <is>
          <t>§22, §23</t>
        </is>
      </c>
      <c r="R162" s="111" t="n"/>
    </row>
    <row r="163" ht="35.05" customHeight="1" s="75">
      <c r="A163" s="112" t="n">
        <v>151</v>
      </c>
      <c r="B163" s="113" t="inlineStr">
        <is>
          <t>P7-QA-01</t>
        </is>
      </c>
      <c r="C163" s="85" t="n">
        <v>7</v>
      </c>
      <c r="D163" s="86" t="inlineStr">
        <is>
          <t>Money &amp; Reporting</t>
        </is>
      </c>
      <c r="E163" s="134" t="inlineStr">
        <is>
          <t>QA</t>
        </is>
      </c>
      <c r="F163" s="122" t="inlineStr">
        <is>
          <t>Code</t>
        </is>
      </c>
      <c r="G163" s="84" t="inlineStr">
        <is>
          <t>E2E: deliverable → earnings → sponsor report</t>
        </is>
      </c>
      <c r="H163" s="116" t="inlineStr">
        <is>
          <t>Automated test of the final stretch: deliverable through earnings to the sponsor report.</t>
        </is>
      </c>
      <c r="I163" s="108" t="inlineStr">
        <is>
          <t>Blocked</t>
        </is>
      </c>
      <c r="J163" s="108" t="n">
        <v>3</v>
      </c>
      <c r="K163" s="109" t="n"/>
      <c r="L163" s="109" t="n"/>
      <c r="M163" s="110" t="n"/>
      <c r="N163" s="85" t="n">
        <v>0</v>
      </c>
      <c r="O163" s="84" t="inlineStr">
        <is>
          <t>P7-FE-03</t>
        </is>
      </c>
      <c r="P163" s="84" t="inlineStr">
        <is>
          <t>The final loop segment runs green end to end</t>
        </is>
      </c>
      <c r="Q163" s="86" t="inlineStr">
        <is>
          <t>§30</t>
        </is>
      </c>
      <c r="R163" s="111" t="n"/>
    </row>
    <row r="164" ht="23.85" customHeight="1" s="75">
      <c r="A164" s="104" t="n">
        <v>152</v>
      </c>
      <c r="B164" s="105" t="inlineStr">
        <is>
          <t>P7-QA-02</t>
        </is>
      </c>
      <c r="C164" s="81" t="n">
        <v>7</v>
      </c>
      <c r="D164" s="82" t="inlineStr">
        <is>
          <t>Money &amp; Reporting</t>
        </is>
      </c>
      <c r="E164" s="135" t="inlineStr">
        <is>
          <t>QA</t>
        </is>
      </c>
      <c r="F164" s="120" t="inlineStr">
        <is>
          <t>Code</t>
        </is>
      </c>
      <c r="G164" s="80" t="inlineStr">
        <is>
          <t>Metric provenance honesty review</t>
        </is>
      </c>
      <c r="H164" s="107" t="inlineStr">
        <is>
          <t>Trace every number on every dashboard back to where it actually comes from. Anything hand-picked gets labelled as such.</t>
        </is>
      </c>
      <c r="I164" s="108" t="inlineStr">
        <is>
          <t>Blocked</t>
        </is>
      </c>
      <c r="J164" s="108" t="n">
        <v>3</v>
      </c>
      <c r="K164" s="109" t="n"/>
      <c r="L164" s="109" t="n"/>
      <c r="M164" s="110" t="n"/>
      <c r="N164" s="81" t="n">
        <v>0</v>
      </c>
      <c r="O164" s="80" t="inlineStr">
        <is>
          <t>P7-FE-03</t>
        </is>
      </c>
      <c r="P164" s="80" t="inlineStr">
        <is>
          <t>Every number on every dashboard is traced to its retrieval path; anything curated carries an EST · curated label</t>
        </is>
      </c>
      <c r="Q164" s="82" t="inlineStr">
        <is>
          <t>§22, Memory rule</t>
        </is>
      </c>
      <c r="R164" s="111" t="n"/>
    </row>
    <row r="165" ht="23.85" customHeight="1" s="75">
      <c r="A165" s="112" t="n">
        <v>153</v>
      </c>
      <c r="B165" s="113" t="inlineStr">
        <is>
          <t>P7-SEC-01</t>
        </is>
      </c>
      <c r="C165" s="85" t="n">
        <v>7</v>
      </c>
      <c r="D165" s="86" t="inlineStr">
        <is>
          <t>Money &amp; Reporting</t>
        </is>
      </c>
      <c r="E165" s="142" t="inlineStr">
        <is>
          <t>SEC</t>
        </is>
      </c>
      <c r="F165" s="122" t="inlineStr">
        <is>
          <t>Code</t>
        </is>
      </c>
      <c r="G165" s="84" t="inlineStr">
        <is>
          <t>Financial audit coverage</t>
        </is>
      </c>
      <c r="H165" s="116" t="inlineStr">
        <is>
          <t>Confirm every pricing, earnings and payout change is recorded in the audit log.</t>
        </is>
      </c>
      <c r="I165" s="108" t="inlineStr">
        <is>
          <t>Blocked</t>
        </is>
      </c>
      <c r="J165" s="108" t="n">
        <v>1</v>
      </c>
      <c r="K165" s="109" t="n"/>
      <c r="L165" s="109" t="n"/>
      <c r="M165" s="110" t="n"/>
      <c r="N165" s="85" t="n">
        <v>0</v>
      </c>
      <c r="O165" s="84" t="inlineStr">
        <is>
          <t>P7-BE-03</t>
        </is>
      </c>
      <c r="P165" s="84" t="inlineStr">
        <is>
          <t>Every pricing, earnings and payout-status change writes an audit entry</t>
        </is>
      </c>
      <c r="Q165" s="86" t="inlineStr">
        <is>
          <t>§26</t>
        </is>
      </c>
      <c r="R165" s="111" t="n"/>
    </row>
    <row r="166" ht="23.85" customHeight="1" s="75">
      <c r="A166" s="104" t="n">
        <v>154</v>
      </c>
      <c r="B166" s="105" t="inlineStr">
        <is>
          <t>P7-SEC-02</t>
        </is>
      </c>
      <c r="C166" s="81" t="n">
        <v>7</v>
      </c>
      <c r="D166" s="82" t="inlineStr">
        <is>
          <t>Money &amp; Reporting</t>
        </is>
      </c>
      <c r="E166" s="140" t="inlineStr">
        <is>
          <t>SEC</t>
        </is>
      </c>
      <c r="F166" s="120" t="inlineStr">
        <is>
          <t>Code</t>
        </is>
      </c>
      <c r="G166" s="80" t="inlineStr">
        <is>
          <t>Payment-policy compliance check</t>
        </is>
      </c>
      <c r="H166" s="107" t="inlineStr">
        <is>
          <t>Search the whole codebase to confirm no tax ID, bank or card field exists anywhere.</t>
        </is>
      </c>
      <c r="I166" s="108" t="inlineStr">
        <is>
          <t>Blocked</t>
        </is>
      </c>
      <c r="J166" s="108" t="n">
        <v>1</v>
      </c>
      <c r="K166" s="109" t="n"/>
      <c r="L166" s="109" t="n"/>
      <c r="M166" s="110" t="n"/>
      <c r="N166" s="81" t="n">
        <v>0</v>
      </c>
      <c r="O166" s="80" t="inlineStr">
        <is>
          <t>P7-BE-01</t>
        </is>
      </c>
      <c r="P166" s="80" t="inlineStr">
        <is>
          <t>A codebase-wide check confirms no tax ID, bank credential or card data field exists in any model</t>
        </is>
      </c>
      <c r="Q166" s="82" t="inlineStr">
        <is>
          <t>§26, Addendum A6</t>
        </is>
      </c>
      <c r="R166" s="111" t="n"/>
    </row>
    <row r="167" ht="23.85" customHeight="1" s="75">
      <c r="A167" s="112" t="n">
        <v>155</v>
      </c>
      <c r="B167" s="113" t="inlineStr">
        <is>
          <t>P8-INT-01</t>
        </is>
      </c>
      <c r="C167" s="85" t="n">
        <v>8</v>
      </c>
      <c r="D167" s="86" t="inlineStr">
        <is>
          <t>Integration, Hardening &amp; Launch</t>
        </is>
      </c>
      <c r="E167" s="141" t="inlineStr">
        <is>
          <t>INT</t>
        </is>
      </c>
      <c r="F167" s="122" t="inlineStr">
        <is>
          <t>Code</t>
        </is>
      </c>
      <c r="G167" s="84" t="inlineStr">
        <is>
          <t>Zoho outbound push jobs for all four bi-directional objects</t>
        </is>
      </c>
      <c r="H167" s="116" t="inlineStr">
        <is>
          <t>Push accounts, contacts, deals and tasks to Zoho from the background worker, using a shared ID so records never duplicate.</t>
        </is>
      </c>
      <c r="I167" s="108" t="inlineStr">
        <is>
          <t>Blocked</t>
        </is>
      </c>
      <c r="J167" s="108" t="n">
        <v>5</v>
      </c>
      <c r="K167" s="109" t="n"/>
      <c r="L167" s="109" t="n"/>
      <c r="M167" s="110" t="n"/>
      <c r="N167" s="85" t="n">
        <v>8</v>
      </c>
      <c r="O167" s="84" t="inlineStr">
        <is>
          <t>P0-PMO-08, P2-BE-05</t>
        </is>
      </c>
      <c r="P167" s="84" t="inlineStr">
        <is>
          <t>Accounts, Contacts, Deals and Tasks push from the worker with External_Id as the dedupe key</t>
        </is>
      </c>
      <c r="Q167" s="86" t="inlineStr">
        <is>
          <t>§18</t>
        </is>
      </c>
      <c r="R167" s="111" t="n"/>
    </row>
    <row r="168" ht="22.35" customHeight="1" s="75">
      <c r="A168" s="104" t="n">
        <v>156</v>
      </c>
      <c r="B168" s="105" t="inlineStr">
        <is>
          <t>P8-INT-03</t>
        </is>
      </c>
      <c r="C168" s="81" t="n">
        <v>8</v>
      </c>
      <c r="D168" s="82" t="inlineStr">
        <is>
          <t>Integration, Hardening &amp; Launch</t>
        </is>
      </c>
      <c r="E168" s="138" t="inlineStr">
        <is>
          <t>INT</t>
        </is>
      </c>
      <c r="F168" s="120" t="inlineStr">
        <is>
          <t>Code</t>
        </is>
      </c>
      <c r="G168" s="80" t="inlineStr">
        <is>
          <t>Inbound Zoho webhook route with signature verification</t>
        </is>
      </c>
      <c r="H168" s="107" t="inlineStr">
        <is>
          <t>Receive Zoho's updates, verify they are genuine, write them to your own database and queue the follow-up. This route never calls Zoho back.</t>
        </is>
      </c>
      <c r="I168" s="108" t="inlineStr">
        <is>
          <t>Blocked</t>
        </is>
      </c>
      <c r="J168" s="108" t="n">
        <v>3</v>
      </c>
      <c r="K168" s="109" t="n"/>
      <c r="L168" s="109" t="n"/>
      <c r="M168" s="110" t="n"/>
      <c r="N168" s="81" t="n">
        <v>3</v>
      </c>
      <c r="O168" s="80" t="inlineStr">
        <is>
          <t>P8-INT-01</t>
        </is>
      </c>
      <c r="P168" s="80" t="inlineStr">
        <is>
          <t>The route verifies the signature, writes to our own database and enqueues — it never calls Zoho</t>
        </is>
      </c>
      <c r="Q168" s="82" t="inlineStr">
        <is>
          <t>Guide §07</t>
        </is>
      </c>
      <c r="R168" s="111" t="n"/>
    </row>
    <row r="169" ht="23.85" customHeight="1" s="75">
      <c r="A169" s="112" t="n">
        <v>157</v>
      </c>
      <c r="B169" s="113" t="inlineStr">
        <is>
          <t>P8-QA-01</t>
        </is>
      </c>
      <c r="C169" s="85" t="n">
        <v>8</v>
      </c>
      <c r="D169" s="86" t="inlineStr">
        <is>
          <t>Integration, Hardening &amp; Launch</t>
        </is>
      </c>
      <c r="E169" s="134" t="inlineStr">
        <is>
          <t>QA</t>
        </is>
      </c>
      <c r="F169" s="122" t="inlineStr">
        <is>
          <t>Code</t>
        </is>
      </c>
      <c r="G169" s="84" t="inlineStr">
        <is>
          <t>Full §30 acceptance criteria pass</t>
        </is>
      </c>
      <c r="H169" s="116" t="inlineStr">
        <is>
          <t>Demonstrate all fourteen acceptance criteria from the blueprint and record the evidence.</t>
        </is>
      </c>
      <c r="I169" s="108" t="inlineStr">
        <is>
          <t>Blocked</t>
        </is>
      </c>
      <c r="J169" s="108" t="n">
        <v>5</v>
      </c>
      <c r="K169" s="109" t="n"/>
      <c r="L169" s="109" t="n"/>
      <c r="M169" s="110" t="n"/>
      <c r="N169" s="85" t="n">
        <v>3</v>
      </c>
      <c r="O169" s="84" t="inlineStr">
        <is>
          <t>all phases</t>
        </is>
      </c>
      <c r="P169" s="84" t="inlineStr">
        <is>
          <t>All fourteen §30 criteria demonstrated and recorded</t>
        </is>
      </c>
      <c r="Q169" s="86" t="inlineStr">
        <is>
          <t>§30</t>
        </is>
      </c>
      <c r="R169" s="111" t="n"/>
    </row>
    <row r="170" ht="23.85" customHeight="1" s="75">
      <c r="A170" s="104" t="n">
        <v>158</v>
      </c>
      <c r="B170" s="105" t="inlineStr">
        <is>
          <t>P8-INT-04</t>
        </is>
      </c>
      <c r="C170" s="81" t="n">
        <v>8</v>
      </c>
      <c r="D170" s="82" t="inlineStr">
        <is>
          <t>Integration, Hardening &amp; Launch</t>
        </is>
      </c>
      <c r="E170" s="138" t="inlineStr">
        <is>
          <t>INT</t>
        </is>
      </c>
      <c r="F170" s="120" t="inlineStr">
        <is>
          <t>Code</t>
        </is>
      </c>
      <c r="G170" s="80" t="inlineStr">
        <is>
          <t>Webhook delivery recording</t>
        </is>
      </c>
      <c r="H170" s="107" t="inlineStr">
        <is>
          <t>Log every incoming Zoho message, valid or not, so sync problems can be diagnosed.</t>
        </is>
      </c>
      <c r="I170" s="108" t="inlineStr">
        <is>
          <t>Blocked</t>
        </is>
      </c>
      <c r="J170" s="108" t="n">
        <v>1</v>
      </c>
      <c r="K170" s="109" t="n"/>
      <c r="L170" s="109" t="n"/>
      <c r="M170" s="110" t="n"/>
      <c r="N170" s="81" t="n">
        <v>2</v>
      </c>
      <c r="O170" s="80" t="inlineStr">
        <is>
          <t>P8-INT-03</t>
        </is>
      </c>
      <c r="P170" s="80" t="inlineStr">
        <is>
          <t>Every inbound attempt is recorded as RECEIVED / REJECTED / APPLIED, valid or not</t>
        </is>
      </c>
      <c r="Q170" s="82" t="inlineStr">
        <is>
          <t>§20</t>
        </is>
      </c>
      <c r="R170" s="111" t="n"/>
    </row>
    <row r="171" ht="35.05" customHeight="1" s="75">
      <c r="A171" s="112" t="n">
        <v>159</v>
      </c>
      <c r="B171" s="113" t="inlineStr">
        <is>
          <t>P8-FE-01</t>
        </is>
      </c>
      <c r="C171" s="85" t="n">
        <v>8</v>
      </c>
      <c r="D171" s="86" t="inlineStr">
        <is>
          <t>Integration, Hardening &amp; Launch</t>
        </is>
      </c>
      <c r="E171" s="121" t="inlineStr">
        <is>
          <t>FE</t>
        </is>
      </c>
      <c r="F171" s="122" t="inlineStr">
        <is>
          <t>Code</t>
        </is>
      </c>
      <c r="G171" s="84" t="inlineStr">
        <is>
          <t>Wire the integration health view</t>
        </is>
      </c>
      <c r="H171" s="116" t="inlineStr">
        <is>
          <t>Show sync status, failed deliveries and queue health in the admin portal.</t>
        </is>
      </c>
      <c r="I171" s="108" t="inlineStr">
        <is>
          <t>Blocked</t>
        </is>
      </c>
      <c r="J171" s="108" t="n">
        <v>3</v>
      </c>
      <c r="K171" s="109" t="n"/>
      <c r="L171" s="109" t="n"/>
      <c r="M171" s="110" t="n"/>
      <c r="N171" s="85" t="n">
        <v>1</v>
      </c>
      <c r="O171" s="84" t="inlineStr">
        <is>
          <t>P8-INT-04</t>
        </is>
      </c>
      <c r="P171" s="84" t="inlineStr">
        <is>
          <t>Sync state, failed deliveries and queue health render in the admin portal</t>
        </is>
      </c>
      <c r="Q171" s="86" t="inlineStr">
        <is>
          <t>§23</t>
        </is>
      </c>
      <c r="R171" s="111" t="n"/>
    </row>
    <row r="172" ht="23.85" customHeight="1" s="75">
      <c r="A172" s="104" t="n">
        <v>160</v>
      </c>
      <c r="B172" s="105" t="inlineStr">
        <is>
          <t>P8-INT-02</t>
        </is>
      </c>
      <c r="C172" s="81" t="n">
        <v>8</v>
      </c>
      <c r="D172" s="82" t="inlineStr">
        <is>
          <t>Integration, Hardening &amp; Launch</t>
        </is>
      </c>
      <c r="E172" s="138" t="inlineStr">
        <is>
          <t>INT</t>
        </is>
      </c>
      <c r="F172" s="120" t="inlineStr">
        <is>
          <t>Code</t>
        </is>
      </c>
      <c r="G172" s="80" t="inlineStr">
        <is>
          <t>Loop prevention via origin + hash</t>
        </is>
      </c>
      <c r="H172" s="107" t="inlineStr">
        <is>
          <t>Stop the loop where your write triggers Zoho's webhook which triggers your write again. Two fields prevent it: who wrote last, and a fingerprint of what was written.</t>
        </is>
      </c>
      <c r="I172" s="108" t="inlineStr">
        <is>
          <t>Blocked</t>
        </is>
      </c>
      <c r="J172" s="108" t="n">
        <v>3</v>
      </c>
      <c r="K172" s="109" t="n"/>
      <c r="L172" s="109" t="n"/>
      <c r="M172" s="110" t="n"/>
      <c r="N172" s="81" t="n">
        <v>1</v>
      </c>
      <c r="O172" s="80" t="inlineStr">
        <is>
          <t>P8-INT-01</t>
        </is>
      </c>
      <c r="P172" s="80" t="inlineStr">
        <is>
          <t>A write that originated in Zoho and whose hash is unchanged is dropped as an echo — the ping-pong loop cannot start</t>
        </is>
      </c>
      <c r="Q172" s="82" t="inlineStr">
        <is>
          <t>Guide §07</t>
        </is>
      </c>
      <c r="R172" s="111" t="n"/>
    </row>
    <row r="173" ht="23.85" customHeight="1" s="75">
      <c r="A173" s="112" t="n">
        <v>161</v>
      </c>
      <c r="B173" s="113" t="inlineStr">
        <is>
          <t>P8-OPS-01</t>
        </is>
      </c>
      <c r="C173" s="85" t="n">
        <v>8</v>
      </c>
      <c r="D173" s="86" t="inlineStr">
        <is>
          <t>Integration, Hardening &amp; Launch</t>
        </is>
      </c>
      <c r="E173" s="123" t="inlineStr">
        <is>
          <t>OPS</t>
        </is>
      </c>
      <c r="F173" s="124" t="inlineStr">
        <is>
          <t>Vendor console</t>
        </is>
      </c>
      <c r="G173" s="84" t="inlineStr">
        <is>
          <t>Production readiness review</t>
        </is>
      </c>
      <c r="H173" s="116" t="inlineStr">
        <is>
          <t>Actually restore a backup. Actually trigger an alert. Actually roll back once. Untested recovery is not recovery.</t>
        </is>
      </c>
      <c r="I173" s="108" t="inlineStr">
        <is>
          <t>Blocked</t>
        </is>
      </c>
      <c r="J173" s="108" t="n">
        <v>3</v>
      </c>
      <c r="K173" s="109" t="n"/>
      <c r="L173" s="109" t="n"/>
      <c r="M173" s="110" t="n"/>
      <c r="N173" s="85" t="n">
        <v>1</v>
      </c>
      <c r="O173" s="84" t="inlineStr">
        <is>
          <t>P2-OPS-11</t>
        </is>
      </c>
      <c r="P173" s="84" t="inlineStr">
        <is>
          <t>Backups verified by an actual restore; monitoring alerts tested; rollback procedure exercised once</t>
        </is>
      </c>
      <c r="Q173" s="86" t="inlineStr">
        <is>
          <t>§38</t>
        </is>
      </c>
      <c r="R173" s="111" t="n"/>
    </row>
    <row r="174" ht="23.85" customHeight="1" s="75">
      <c r="A174" s="104" t="n">
        <v>162</v>
      </c>
      <c r="B174" s="105" t="inlineStr">
        <is>
          <t>P8-QA-02</t>
        </is>
      </c>
      <c r="C174" s="81" t="n">
        <v>8</v>
      </c>
      <c r="D174" s="82" t="inlineStr">
        <is>
          <t>Integration, Hardening &amp; Launch</t>
        </is>
      </c>
      <c r="E174" s="135" t="inlineStr">
        <is>
          <t>QA</t>
        </is>
      </c>
      <c r="F174" s="120" t="inlineStr">
        <is>
          <t>Code</t>
        </is>
      </c>
      <c r="G174" s="80" t="inlineStr">
        <is>
          <t>Write and run UAT scripts (§38 deliverable)</t>
        </is>
      </c>
      <c r="H174" s="107" t="inlineStr">
        <is>
          <t>Write and run user acceptance scripts for athlete, sponsor, admin and fan, with real pilot users on staging.</t>
        </is>
      </c>
      <c r="I174" s="108" t="inlineStr">
        <is>
          <t>Blocked</t>
        </is>
      </c>
      <c r="J174" s="108" t="n">
        <v>5</v>
      </c>
      <c r="K174" s="109" t="n"/>
      <c r="L174" s="109" t="n"/>
      <c r="M174" s="110" t="n"/>
      <c r="N174" s="81" t="n">
        <v>1</v>
      </c>
      <c r="O174" s="80" t="inlineStr">
        <is>
          <t>P8-QA-01</t>
        </is>
      </c>
      <c r="P174" s="80" t="inlineStr">
        <is>
          <t>Scripts exist for athlete, sponsor, admin and fan journeys; run with real pilot users on staging</t>
        </is>
      </c>
      <c r="Q174" s="82" t="inlineStr">
        <is>
          <t>§29 Sprint 7, §38</t>
        </is>
      </c>
      <c r="R174" s="111" t="n"/>
    </row>
    <row r="175" ht="23.85" customHeight="1" s="75">
      <c r="A175" s="112" t="n">
        <v>163</v>
      </c>
      <c r="B175" s="113" t="inlineStr">
        <is>
          <t>P8-SEC-01</t>
        </is>
      </c>
      <c r="C175" s="85" t="n">
        <v>8</v>
      </c>
      <c r="D175" s="86" t="inlineStr">
        <is>
          <t>Integration, Hardening &amp; Launch</t>
        </is>
      </c>
      <c r="E175" s="142" t="inlineStr">
        <is>
          <t>SEC</t>
        </is>
      </c>
      <c r="F175" s="122" t="inlineStr">
        <is>
          <t>Code</t>
        </is>
      </c>
      <c r="G175" s="84" t="inlineStr">
        <is>
          <t>Complete the authorisation matrix</t>
        </is>
      </c>
      <c r="H175" s="116" t="inlineStr">
        <is>
          <t>Add permission test rows for every resource built across the whole project, and make the suite a required check.</t>
        </is>
      </c>
      <c r="I175" s="108" t="inlineStr">
        <is>
          <t>Blocked</t>
        </is>
      </c>
      <c r="J175" s="108" t="n">
        <v>3</v>
      </c>
      <c r="K175" s="109" t="n"/>
      <c r="L175" s="109" t="n"/>
      <c r="M175" s="110" t="n"/>
      <c r="N175" s="85" t="n">
        <v>1</v>
      </c>
      <c r="O175" s="84" t="inlineStr">
        <is>
          <t>all phase BE tasks</t>
        </is>
      </c>
      <c r="P175" s="84" t="inlineStr">
        <is>
          <t>Every resource added across Phases 3–7 has its rows; the suite is a required CI check</t>
        </is>
      </c>
      <c r="Q175" s="86" t="inlineStr">
        <is>
          <t>§30, Guide §09</t>
        </is>
      </c>
      <c r="R175" s="111" t="n"/>
    </row>
    <row r="176" ht="23.85" customHeight="1" s="75">
      <c r="A176" s="104" t="n">
        <v>164</v>
      </c>
      <c r="B176" s="105" t="inlineStr">
        <is>
          <t>P8-DATA-01</t>
        </is>
      </c>
      <c r="C176" s="81" t="n">
        <v>8</v>
      </c>
      <c r="D176" s="82" t="inlineStr">
        <is>
          <t>Integration, Hardening &amp; Launch</t>
        </is>
      </c>
      <c r="E176" s="143" t="inlineStr">
        <is>
          <t>DATA</t>
        </is>
      </c>
      <c r="F176" s="120" t="inlineStr">
        <is>
          <t>Code</t>
        </is>
      </c>
      <c r="G176" s="80" t="inlineStr">
        <is>
          <t>Seed the staging pilot cohort</t>
        </is>
      </c>
      <c r="H176" s="107" t="inlineStr">
        <is>
          <t>Load the real first-25 athletes and first sponsors into staging so user testing is realistic.</t>
        </is>
      </c>
      <c r="I176" s="108" t="inlineStr">
        <is>
          <t>Blocked</t>
        </is>
      </c>
      <c r="J176" s="108" t="n">
        <v>3</v>
      </c>
      <c r="K176" s="109" t="n"/>
      <c r="L176" s="109" t="n"/>
      <c r="M176" s="110" t="n"/>
      <c r="N176" s="81" t="n">
        <v>0</v>
      </c>
      <c r="O176" s="80" t="inlineStr">
        <is>
          <t>P3-DATA-01</t>
        </is>
      </c>
      <c r="P176" s="80" t="inlineStr">
        <is>
          <t>The real first-25 athlete cohort and first sponsors exist in staging for UAT</t>
        </is>
      </c>
      <c r="Q176" s="82" t="inlineStr">
        <is>
          <t>§36</t>
        </is>
      </c>
      <c r="R176" s="111" t="n"/>
    </row>
    <row r="177" ht="23.85" customHeight="1" s="75">
      <c r="A177" s="112" t="n">
        <v>165</v>
      </c>
      <c r="B177" s="113" t="inlineStr">
        <is>
          <t>P8-FE-02</t>
        </is>
      </c>
      <c r="C177" s="85" t="n">
        <v>8</v>
      </c>
      <c r="D177" s="86" t="inlineStr">
        <is>
          <t>Integration, Hardening &amp; Launch</t>
        </is>
      </c>
      <c r="E177" s="121" t="inlineStr">
        <is>
          <t>FE</t>
        </is>
      </c>
      <c r="F177" s="122" t="inlineStr">
        <is>
          <t>Code</t>
        </is>
      </c>
      <c r="G177" s="84" t="inlineStr">
        <is>
          <t>Wire the audit log view</t>
        </is>
      </c>
      <c r="H177" s="116" t="inlineStr">
        <is>
          <t>Make the audit log browsable and filterable by record and by person.</t>
        </is>
      </c>
      <c r="I177" s="108" t="inlineStr">
        <is>
          <t>Blocked</t>
        </is>
      </c>
      <c r="J177" s="108" t="n">
        <v>3</v>
      </c>
      <c r="K177" s="109" t="n"/>
      <c r="L177" s="109" t="n"/>
      <c r="M177" s="110" t="n"/>
      <c r="N177" s="85" t="n">
        <v>0</v>
      </c>
      <c r="O177" s="84" t="inlineStr">
        <is>
          <t>P2-BE-06</t>
        </is>
      </c>
      <c r="P177" s="84" t="inlineStr">
        <is>
          <t>Critical mutation history is browsable and filterable by entity and actor</t>
        </is>
      </c>
      <c r="Q177" s="86" t="inlineStr">
        <is>
          <t>§23, §30</t>
        </is>
      </c>
      <c r="R177" s="111" t="n"/>
    </row>
    <row r="178" ht="23.85" customHeight="1" s="75">
      <c r="A178" s="104" t="n">
        <v>166</v>
      </c>
      <c r="B178" s="105" t="inlineStr">
        <is>
          <t>P8-INT-05</t>
        </is>
      </c>
      <c r="C178" s="81" t="n">
        <v>8</v>
      </c>
      <c r="D178" s="82" t="inlineStr">
        <is>
          <t>Integration, Hardening &amp; Launch</t>
        </is>
      </c>
      <c r="E178" s="138" t="inlineStr">
        <is>
          <t>INT</t>
        </is>
      </c>
      <c r="F178" s="120" t="inlineStr">
        <is>
          <t>Code</t>
        </is>
      </c>
      <c r="G178" s="80" t="inlineStr">
        <is>
          <t>Zoho reconciliation job</t>
        </is>
      </c>
      <c r="H178" s="107" t="inlineStr">
        <is>
          <t>A scheduled job that compares both systems and reports differences instead of letting them drift silently.</t>
        </is>
      </c>
      <c r="I178" s="108" t="inlineStr">
        <is>
          <t>Blocked</t>
        </is>
      </c>
      <c r="J178" s="108" t="n">
        <v>3</v>
      </c>
      <c r="K178" s="109" t="n"/>
      <c r="L178" s="109" t="n"/>
      <c r="M178" s="110" t="n"/>
      <c r="N178" s="81" t="n">
        <v>0</v>
      </c>
      <c r="O178" s="80" t="inlineStr">
        <is>
          <t>P8-INT-02</t>
        </is>
      </c>
      <c r="P178" s="80" t="inlineStr">
        <is>
          <t>A scheduled job detects and reports drift between the two systems rather than silently diverging</t>
        </is>
      </c>
      <c r="Q178" s="82" t="inlineStr">
        <is>
          <t>§18</t>
        </is>
      </c>
      <c r="R178" s="111" t="n"/>
    </row>
    <row r="179" ht="35.05" customHeight="1" s="75">
      <c r="A179" s="112" t="n">
        <v>167</v>
      </c>
      <c r="B179" s="113" t="inlineStr">
        <is>
          <t>P8-INT-06</t>
        </is>
      </c>
      <c r="C179" s="85" t="n">
        <v>8</v>
      </c>
      <c r="D179" s="86" t="inlineStr">
        <is>
          <t>Integration, Hardening &amp; Launch</t>
        </is>
      </c>
      <c r="E179" s="141" t="inlineStr">
        <is>
          <t>INT</t>
        </is>
      </c>
      <c r="F179" s="122" t="inlineStr">
        <is>
          <t>Code</t>
        </is>
      </c>
      <c r="G179" s="84" t="inlineStr">
        <is>
          <t>Lead and renewal push</t>
        </is>
      </c>
      <c r="H179" s="116" t="inlineStr">
        <is>
          <t>New enquiries become Zoho leads; finished campaigns become renewal opportunities.</t>
        </is>
      </c>
      <c r="I179" s="108" t="inlineStr">
        <is>
          <t>Blocked</t>
        </is>
      </c>
      <c r="J179" s="108" t="n">
        <v>3</v>
      </c>
      <c r="K179" s="109" t="n"/>
      <c r="L179" s="109" t="n"/>
      <c r="M179" s="110" t="n"/>
      <c r="N179" s="85" t="n">
        <v>0</v>
      </c>
      <c r="O179" s="84" t="inlineStr">
        <is>
          <t>P8-INT-01</t>
        </is>
      </c>
      <c r="P179" s="84" t="inlineStr">
        <is>
          <t>Inquiries create Zoho Leads; campaign closure creates a renewal Deal</t>
        </is>
      </c>
      <c r="Q179" s="86" t="inlineStr">
        <is>
          <t>§18, §13 step 12</t>
        </is>
      </c>
      <c r="R179" s="111" t="n"/>
    </row>
    <row r="180" ht="35.05" customHeight="1" s="75">
      <c r="A180" s="104" t="n">
        <v>168</v>
      </c>
      <c r="B180" s="105" t="inlineStr">
        <is>
          <t>P8-INT-07</t>
        </is>
      </c>
      <c r="C180" s="81" t="n">
        <v>8</v>
      </c>
      <c r="D180" s="82" t="inlineStr">
        <is>
          <t>Integration, Hardening &amp; Launch</t>
        </is>
      </c>
      <c r="E180" s="138" t="inlineStr">
        <is>
          <t>INT</t>
        </is>
      </c>
      <c r="F180" s="120" t="inlineStr">
        <is>
          <t>Code</t>
        </is>
      </c>
      <c r="G180" s="80" t="inlineStr">
        <is>
          <t>Zoho backfill importer job</t>
        </is>
      </c>
      <c r="H180" s="107" t="inlineStr">
        <is>
          <t>Import existing Zoho records as a repeatable job. You will run it more than once.</t>
        </is>
      </c>
      <c r="I180" s="108" t="inlineStr">
        <is>
          <t>Blocked</t>
        </is>
      </c>
      <c r="J180" s="108" t="n">
        <v>3</v>
      </c>
      <c r="K180" s="109" t="n"/>
      <c r="L180" s="109" t="n"/>
      <c r="M180" s="110" t="n"/>
      <c r="N180" s="81" t="n">
        <v>0</v>
      </c>
      <c r="O180" s="80" t="inlineStr">
        <is>
          <t>P8-INT-01</t>
        </is>
      </c>
      <c r="P180" s="80" t="inlineStr">
        <is>
          <t>Existing Zoho records import as a job, run against staging first, and the job is kept — it will run more than once</t>
        </is>
      </c>
      <c r="Q180" s="82" t="inlineStr">
        <is>
          <t>Guide §10</t>
        </is>
      </c>
      <c r="R180" s="111" t="n"/>
    </row>
    <row r="181" ht="23.85" customHeight="1" s="75">
      <c r="A181" s="112" t="n">
        <v>169</v>
      </c>
      <c r="B181" s="113" t="inlineStr">
        <is>
          <t>P8-OPS-02</t>
        </is>
      </c>
      <c r="C181" s="85" t="n">
        <v>8</v>
      </c>
      <c r="D181" s="86" t="inlineStr">
        <is>
          <t>Integration, Hardening &amp; Launch</t>
        </is>
      </c>
      <c r="E181" s="123" t="inlineStr">
        <is>
          <t>OPS</t>
        </is>
      </c>
      <c r="F181" s="122" t="inlineStr">
        <is>
          <t>Code</t>
        </is>
      </c>
      <c r="G181" s="84" t="inlineStr">
        <is>
          <t>Load-test the fan QR surface</t>
        </is>
      </c>
      <c r="H181" s="116" t="inlineStr">
        <is>
          <t>Load-test the fan redeem page. If it struggles, that is the signal to reconsider the hosting choice for that one page.</t>
        </is>
      </c>
      <c r="I181" s="108" t="inlineStr">
        <is>
          <t>Blocked</t>
        </is>
      </c>
      <c r="J181" s="108" t="n">
        <v>3</v>
      </c>
      <c r="K181" s="109" t="n"/>
      <c r="L181" s="109" t="n"/>
      <c r="M181" s="110" t="n"/>
      <c r="N181" s="85" t="n">
        <v>0</v>
      </c>
      <c r="O181" s="84" t="inlineStr">
        <is>
          <t>P6-FE-02</t>
        </is>
      </c>
      <c r="P181" s="84" t="inlineStr">
        <is>
          <t>Burst traffic on the redeem page is characterised; the Cloudflare Workers revisit trigger is either fired or explicitly deferred with data</t>
        </is>
      </c>
      <c r="Q181" s="86" t="inlineStr">
        <is>
          <t>Addendum A10</t>
        </is>
      </c>
      <c r="R181" s="111" t="n"/>
    </row>
    <row r="182" ht="23.85" customHeight="1" s="75">
      <c r="A182" s="104" t="n">
        <v>170</v>
      </c>
      <c r="B182" s="105" t="inlineStr">
        <is>
          <t>P8-PMO-01</t>
        </is>
      </c>
      <c r="C182" s="81" t="n">
        <v>8</v>
      </c>
      <c r="D182" s="82" t="inlineStr">
        <is>
          <t>Integration, Hardening &amp; Launch</t>
        </is>
      </c>
      <c r="E182" s="104" t="inlineStr">
        <is>
          <t>PMO</t>
        </is>
      </c>
      <c r="F182" s="120" t="inlineStr">
        <is>
          <t>Code</t>
        </is>
      </c>
      <c r="G182" s="80" t="inlineStr">
        <is>
          <t>Produce the OpenAPI specification (§38 deliverable)</t>
        </is>
      </c>
      <c r="H182" s="107" t="inlineStr">
        <is>
          <t>Publish the generated API specification covering every endpoint.</t>
        </is>
      </c>
      <c r="I182" s="108" t="inlineStr">
        <is>
          <t>Blocked</t>
        </is>
      </c>
      <c r="J182" s="108" t="n">
        <v>1</v>
      </c>
      <c r="K182" s="109" t="n"/>
      <c r="L182" s="109" t="n"/>
      <c r="M182" s="110" t="n"/>
      <c r="N182" s="81" t="n">
        <v>0</v>
      </c>
      <c r="O182" s="80" t="inlineStr">
        <is>
          <t>P2-BE-07</t>
        </is>
      </c>
      <c r="P182" s="80" t="inlineStr">
        <is>
          <t>openapi.json is complete, generated from Zod contracts, and covers every /api/v1 endpoint</t>
        </is>
      </c>
      <c r="Q182" s="82" t="inlineStr">
        <is>
          <t>§38, Addendum A2</t>
        </is>
      </c>
      <c r="R182" s="111" t="n"/>
    </row>
    <row r="183" ht="23.85" customHeight="1" s="75">
      <c r="A183" s="112" t="n">
        <v>171</v>
      </c>
      <c r="B183" s="113" t="inlineStr">
        <is>
          <t>P8-PMO-02</t>
        </is>
      </c>
      <c r="C183" s="85" t="n">
        <v>8</v>
      </c>
      <c r="D183" s="86" t="inlineStr">
        <is>
          <t>Integration, Hardening &amp; Launch</t>
        </is>
      </c>
      <c r="E183" s="112" t="inlineStr">
        <is>
          <t>PMO</t>
        </is>
      </c>
      <c r="F183" s="130" t="inlineStr">
        <is>
          <t>Document</t>
        </is>
      </c>
      <c r="G183" s="84" t="inlineStr">
        <is>
          <t>Write the admin user guide (§38 deliverable)</t>
        </is>
      </c>
      <c r="H183" s="116" t="inlineStr">
        <is>
          <t>Write the guide BTG staff use to run the admin workspaces day to day.</t>
        </is>
      </c>
      <c r="I183" s="108" t="inlineStr">
        <is>
          <t>Blocked</t>
        </is>
      </c>
      <c r="J183" s="108" t="n">
        <v>3</v>
      </c>
      <c r="K183" s="109" t="n"/>
      <c r="L183" s="109" t="n"/>
      <c r="M183" s="110" t="n"/>
      <c r="N183" s="85" t="n">
        <v>0</v>
      </c>
      <c r="O183" s="84" t="inlineStr">
        <is>
          <t>P8-FE-01</t>
        </is>
      </c>
      <c r="P183" s="84" t="inlineStr">
        <is>
          <t>BTG staff can operate every admin workspace from the guide alone</t>
        </is>
      </c>
      <c r="Q183" s="86" t="inlineStr">
        <is>
          <t>§38</t>
        </is>
      </c>
      <c r="R183" s="111" t="n"/>
    </row>
    <row r="184" ht="23.85" customHeight="1" s="75">
      <c r="A184" s="104" t="n">
        <v>172</v>
      </c>
      <c r="B184" s="105" t="inlineStr">
        <is>
          <t>P8-PMO-03</t>
        </is>
      </c>
      <c r="C184" s="81" t="n">
        <v>8</v>
      </c>
      <c r="D184" s="82" t="inlineStr">
        <is>
          <t>Integration, Hardening &amp; Launch</t>
        </is>
      </c>
      <c r="E184" s="104" t="inlineStr">
        <is>
          <t>PMO</t>
        </is>
      </c>
      <c r="F184" s="106" t="inlineStr">
        <is>
          <t>Document</t>
        </is>
      </c>
      <c r="G184" s="80" t="inlineStr">
        <is>
          <t>Write the Phase 2–4 module interface and migration plan (§38)</t>
        </is>
      </c>
      <c r="H184" s="107" t="inlineStr">
        <is>
          <t>Document the seams Phase 2 will extend — listings, carts, payments, payouts, wallet — so it is an extension, not a rewrite.</t>
        </is>
      </c>
      <c r="I184" s="108" t="inlineStr">
        <is>
          <t>Ready</t>
        </is>
      </c>
      <c r="J184" s="108" t="n">
        <v>3</v>
      </c>
      <c r="K184" s="109" t="n"/>
      <c r="L184" s="109" t="n"/>
      <c r="M184" s="110" t="n"/>
      <c r="N184" s="81" t="n">
        <v>0</v>
      </c>
      <c r="O184" s="80" t="n"/>
      <c r="P184" s="80" t="inlineStr">
        <is>
          <t>The seams Phase 2 will extend are documented — listings, carts, payments, payouts, Wallet</t>
        </is>
      </c>
      <c r="Q184" s="82" t="inlineStr">
        <is>
          <t>§32, §38</t>
        </is>
      </c>
      <c r="R184" s="111" t="n"/>
    </row>
    <row r="185" ht="23.85" customHeight="1" s="75">
      <c r="A185" s="112" t="n">
        <v>173</v>
      </c>
      <c r="B185" s="113" t="inlineStr">
        <is>
          <t>P8-PMO-04</t>
        </is>
      </c>
      <c r="C185" s="85" t="n">
        <v>8</v>
      </c>
      <c r="D185" s="86" t="inlineStr">
        <is>
          <t>Integration, Hardening &amp; Launch</t>
        </is>
      </c>
      <c r="E185" s="112" t="inlineStr">
        <is>
          <t>PMO</t>
        </is>
      </c>
      <c r="F185" s="130" t="inlineStr">
        <is>
          <t>Document</t>
        </is>
      </c>
      <c r="G185" s="84" t="inlineStr">
        <is>
          <t>Write the INFINEX API and event specification (§38)</t>
        </is>
      </c>
      <c r="H185" s="116" t="inlineStr">
        <is>
          <t>Document the Phase 4 virtual-inventory data contract now, so campaigns and inventory never need redesigning for it.</t>
        </is>
      </c>
      <c r="I185" s="108" t="inlineStr">
        <is>
          <t>Ready</t>
        </is>
      </c>
      <c r="J185" s="108" t="n">
        <v>3</v>
      </c>
      <c r="K185" s="109" t="n"/>
      <c r="L185" s="109" t="n"/>
      <c r="M185" s="110" t="n"/>
      <c r="N185" s="85" t="n">
        <v>0</v>
      </c>
      <c r="O185" s="84" t="n"/>
      <c r="P185" s="84" t="inlineStr">
        <is>
          <t>The Phase 4 data contract is anticipated so campaigns and inventory need no redesign</t>
        </is>
      </c>
      <c r="Q185" s="86" t="inlineStr">
        <is>
          <t>§25, §38</t>
        </is>
      </c>
      <c r="R185" s="111" t="n"/>
    </row>
    <row r="186" ht="23.85" customHeight="1" s="75">
      <c r="A186" s="104" t="n">
        <v>174</v>
      </c>
      <c r="B186" s="105" t="inlineStr">
        <is>
          <t>P8-PMO-05</t>
        </is>
      </c>
      <c r="C186" s="81" t="n">
        <v>8</v>
      </c>
      <c r="D186" s="82" t="inlineStr">
        <is>
          <t>Integration, Hardening &amp; Launch</t>
        </is>
      </c>
      <c r="E186" s="104" t="inlineStr">
        <is>
          <t>PMO</t>
        </is>
      </c>
      <c r="F186" s="106" t="inlineStr">
        <is>
          <t>Document</t>
        </is>
      </c>
      <c r="G186" s="80" t="inlineStr">
        <is>
          <t>Developer handoff documentation (§38 deliverable)</t>
        </is>
      </c>
      <c r="H186" s="107" t="inlineStr">
        <is>
          <t>Write what a brand-new developer needs to run the project locally and ship their first change.</t>
        </is>
      </c>
      <c r="I186" s="108" t="inlineStr">
        <is>
          <t>Blocked</t>
        </is>
      </c>
      <c r="J186" s="108" t="n">
        <v>3</v>
      </c>
      <c r="K186" s="109" t="n"/>
      <c r="L186" s="109" t="n"/>
      <c r="M186" s="110" t="n"/>
      <c r="N186" s="81" t="n">
        <v>0</v>
      </c>
      <c r="O186" s="80" t="inlineStr">
        <is>
          <t>all phases</t>
        </is>
      </c>
      <c r="P186" s="80" t="inlineStr">
        <is>
          <t>A developer who has never seen the project can run it locally and ship a change</t>
        </is>
      </c>
      <c r="Q186" s="82" t="inlineStr">
        <is>
          <t>§38</t>
        </is>
      </c>
      <c r="R186" s="111" t="n"/>
    </row>
    <row r="187" ht="23.85" customHeight="1" s="75">
      <c r="A187" s="112" t="n">
        <v>175</v>
      </c>
      <c r="B187" s="113" t="inlineStr">
        <is>
          <t>P8-PMO-06</t>
        </is>
      </c>
      <c r="C187" s="85" t="n">
        <v>8</v>
      </c>
      <c r="D187" s="86" t="inlineStr">
        <is>
          <t>Integration, Hardening &amp; Launch</t>
        </is>
      </c>
      <c r="E187" s="112" t="inlineStr">
        <is>
          <t>PMO</t>
        </is>
      </c>
      <c r="F187" s="130" t="inlineStr">
        <is>
          <t>Document</t>
        </is>
      </c>
      <c r="G187" s="84" t="inlineStr">
        <is>
          <t>Production go/no-go review</t>
        </is>
      </c>
      <c r="H187" s="116" t="inlineStr">
        <is>
          <t>The formal sign-off that the pre-pilot and pre-sponsor-pilot conditions are met and you are going live.</t>
        </is>
      </c>
      <c r="I187" s="108" t="inlineStr">
        <is>
          <t>Blocked</t>
        </is>
      </c>
      <c r="J187" s="108" t="n">
        <v>1</v>
      </c>
      <c r="K187" s="109" t="n"/>
      <c r="L187" s="109" t="n"/>
      <c r="M187" s="110" t="n"/>
      <c r="N187" s="85" t="n">
        <v>0</v>
      </c>
      <c r="O187" s="84" t="inlineStr">
        <is>
          <t>P8-QA-02, P8-OPS-01</t>
        </is>
      </c>
      <c r="P187" s="84" t="inlineStr">
        <is>
          <t>§37's pre-pilot and pre-sponsor-pilot gates formally signed off</t>
        </is>
      </c>
      <c r="Q187" s="86" t="inlineStr">
        <is>
          <t>§37</t>
        </is>
      </c>
      <c r="R187" s="111" t="n"/>
    </row>
    <row r="188" ht="23.85" customHeight="1" s="75">
      <c r="A188" s="104" t="n">
        <v>176</v>
      </c>
      <c r="B188" s="105" t="inlineStr">
        <is>
          <t>P8-QA-03</t>
        </is>
      </c>
      <c r="C188" s="81" t="n">
        <v>8</v>
      </c>
      <c r="D188" s="82" t="inlineStr">
        <is>
          <t>Integration, Hardening &amp; Launch</t>
        </is>
      </c>
      <c r="E188" s="135" t="inlineStr">
        <is>
          <t>QA</t>
        </is>
      </c>
      <c r="F188" s="120" t="inlineStr">
        <is>
          <t>Code</t>
        </is>
      </c>
      <c r="G188" s="80" t="inlineStr">
        <is>
          <t>Regression suite consolidation</t>
        </is>
      </c>
      <c r="H188" s="107" t="inlineStr">
        <is>
          <t>Gather every end-to-end test from across the project into one suite that runs in CI.</t>
        </is>
      </c>
      <c r="I188" s="108" t="inlineStr">
        <is>
          <t>Blocked</t>
        </is>
      </c>
      <c r="J188" s="108" t="n">
        <v>3</v>
      </c>
      <c r="K188" s="109" t="n"/>
      <c r="L188" s="109" t="n"/>
      <c r="M188" s="110" t="n"/>
      <c r="N188" s="81" t="n">
        <v>0</v>
      </c>
      <c r="O188" s="80" t="inlineStr">
        <is>
          <t>P8-QA-01</t>
        </is>
      </c>
      <c r="P188" s="80" t="inlineStr">
        <is>
          <t>Every E2E test from Phases 3–7 runs green in one suite in CI</t>
        </is>
      </c>
      <c r="Q188" s="82" t="inlineStr">
        <is>
          <t>§38</t>
        </is>
      </c>
      <c r="R188" s="111" t="n"/>
    </row>
    <row r="189" ht="35.05" customHeight="1" s="75">
      <c r="A189" s="112" t="n">
        <v>177</v>
      </c>
      <c r="B189" s="113" t="inlineStr">
        <is>
          <t>P8-SEC-02</t>
        </is>
      </c>
      <c r="C189" s="85" t="n">
        <v>8</v>
      </c>
      <c r="D189" s="86" t="inlineStr">
        <is>
          <t>Integration, Hardening &amp; Launch</t>
        </is>
      </c>
      <c r="E189" s="142" t="inlineStr">
        <is>
          <t>SEC</t>
        </is>
      </c>
      <c r="F189" s="122" t="inlineStr">
        <is>
          <t>Code</t>
        </is>
      </c>
      <c r="G189" s="84" t="inlineStr">
        <is>
          <t>Cross-tenant isolation test pass</t>
        </is>
      </c>
      <c r="H189" s="116" t="inlineStr">
        <is>
          <t>Prove by test that no query anywhere can reach another tenant's data.</t>
        </is>
      </c>
      <c r="I189" s="108" t="inlineStr">
        <is>
          <t>Blocked</t>
        </is>
      </c>
      <c r="J189" s="108" t="n">
        <v>3</v>
      </c>
      <c r="K189" s="109" t="n"/>
      <c r="L189" s="109" t="n"/>
      <c r="M189" s="110" t="n"/>
      <c r="N189" s="85" t="n">
        <v>0</v>
      </c>
      <c r="O189" s="84" t="inlineStr">
        <is>
          <t>P8-SEC-01</t>
        </is>
      </c>
      <c r="P189" s="84" t="inlineStr">
        <is>
          <t>No query in the codebase can reach another tenant's data — proven by test</t>
        </is>
      </c>
      <c r="Q189" s="86" t="inlineStr">
        <is>
          <t>§26, §30</t>
        </is>
      </c>
      <c r="R189" s="111" t="n"/>
    </row>
    <row r="190">
      <c r="A190" s="104" t="n">
        <v>178</v>
      </c>
      <c r="B190" s="105" t="inlineStr">
        <is>
          <t>P8-SEC-03</t>
        </is>
      </c>
      <c r="C190" s="81" t="n">
        <v>8</v>
      </c>
      <c r="D190" s="82" t="inlineStr">
        <is>
          <t>Integration, Hardening &amp; Launch</t>
        </is>
      </c>
      <c r="E190" s="140" t="inlineStr">
        <is>
          <t>SEC</t>
        </is>
      </c>
      <c r="F190" s="120" t="inlineStr">
        <is>
          <t>Code</t>
        </is>
      </c>
      <c r="G190" s="80" t="inlineStr">
        <is>
          <t>Penetration review of the public surfaces</t>
        </is>
      </c>
      <c r="H190" s="107" t="inlineStr">
        <is>
          <t>Review the public-facing pages for injection, enumeration and rate-limit weaknesses.</t>
        </is>
      </c>
      <c r="I190" s="108" t="inlineStr">
        <is>
          <t>Blocked</t>
        </is>
      </c>
      <c r="J190" s="108" t="n">
        <v>3</v>
      </c>
      <c r="K190" s="109" t="n"/>
      <c r="L190" s="109" t="n"/>
      <c r="M190" s="110" t="n"/>
      <c r="N190" s="81" t="n">
        <v>0</v>
      </c>
      <c r="O190" s="80" t="inlineStr">
        <is>
          <t>P6-FE-02</t>
        </is>
      </c>
      <c r="P190" s="80" t="inlineStr">
        <is>
          <t>Redeem page, tracking redirect, join form and public profiles reviewed for injection, enumeration and rate-limit exposure</t>
        </is>
      </c>
      <c r="Q190" s="82" t="inlineStr">
        <is>
          <t>§26</t>
        </is>
      </c>
      <c r="R190" s="111" t="n"/>
    </row>
  </sheetData>
  <autoFilter ref="A4:R190"/>
  <mergeCells count="2">
    <mergeCell ref="A2:R2"/>
    <mergeCell ref="A1:R1"/>
  </mergeCells>
  <conditionalFormatting sqref="I5:I1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0">
    <cfRule type="expression" rank="0" priority="7" equalAverage="0" aboveAverage="0" dxfId="32" text="" percent="0" bottom="0">
      <formula>$I5="Done"</formula>
    </cfRule>
  </conditionalFormatting>
  <conditionalFormatting sqref="N5:N190">
    <cfRule type="cellIs" rank="0" priority="8" equalAverage="0" operator="greaterThanOrEqual" aboveAverage="0" dxfId="33" text="" percent="0" bottom="0">
      <formula>50</formula>
    </cfRule>
  </conditionalFormatting>
  <dataValidations count="1">
    <dataValidation sqref="I5:I1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4</v>
      </c>
      <c r="B8" s="113" t="inlineStr">
        <is>
          <t>2S0-LEG-01</t>
        </is>
      </c>
      <c r="C8" s="85" t="n">
        <v>0</v>
      </c>
      <c r="D8" s="86" t="inlineStr">
        <is>
          <t>Sprint 0 · Architecture &amp; design</t>
        </is>
      </c>
      <c r="E8" s="127" t="inlineStr">
        <is>
          <t>LEG</t>
        </is>
      </c>
      <c r="F8" s="128" t="inlineStr">
        <is>
          <t>External · counsel</t>
        </is>
      </c>
      <c r="G8" s="84" t="inlineStr">
        <is>
          <t>Marketplace terms, payout terms and revenue-share agreements</t>
        </is>
      </c>
      <c r="H8" s="116" t="inlineStr">
        <is>
          <t>Counsel drafts the documents external properties accept: platform terms, marketplace terms, payout terms, privacy terms, and any BTG representation documents. Longest lead time in Phase 2 — start it first.</t>
        </is>
      </c>
      <c r="I8" s="108" t="inlineStr">
        <is>
          <t>Blocked</t>
        </is>
      </c>
      <c r="J8" s="108" t="n">
        <v>5</v>
      </c>
      <c r="K8" s="109" t="n"/>
      <c r="L8" s="109" t="n"/>
      <c r="M8" s="110" t="n"/>
      <c r="N8" s="85" t="n">
        <v>0</v>
      </c>
      <c r="O8" s="84" t="inlineStr">
        <is>
          <t>Phase 1 complete</t>
        </is>
      </c>
      <c r="P8" s="84" t="inlineStr">
        <is>
          <t>All marketplace agreements delivered, versioned and approved for production use</t>
        </is>
      </c>
      <c r="Q8" s="86" t="inlineStr">
        <is>
          <t>Spec §7.1</t>
        </is>
      </c>
      <c r="R8" s="111" t="n"/>
    </row>
    <row r="9" ht="32.8" customHeight="1" s="75">
      <c r="A9" s="104" t="n">
        <v>5</v>
      </c>
      <c r="B9" s="105" t="inlineStr">
        <is>
          <t>2S0-LEG-02</t>
        </is>
      </c>
      <c r="C9" s="81" t="n">
        <v>0</v>
      </c>
      <c r="D9" s="82" t="inlineStr">
        <is>
          <t>Sprint 0 · Architecture &amp; design</t>
        </is>
      </c>
      <c r="E9" s="125" t="inlineStr">
        <is>
          <t>LEG</t>
        </is>
      </c>
      <c r="F9" s="126" t="inlineStr">
        <is>
          <t>External · counsel</t>
        </is>
      </c>
      <c r="G9" s="80" t="inlineStr">
        <is>
          <t>Tax and withholding position for marketplace payouts</t>
        </is>
      </c>
      <c r="H9" s="107" t="inlineStr">
        <is>
          <t>Phase 1 collected no tax IDs because money moved outside the system. Phase 2 moves real money, so that changes. Determine what the payment provider handles versus what SponsorX must collect and report.</t>
        </is>
      </c>
      <c r="I9" s="108" t="inlineStr">
        <is>
          <t>Blocked</t>
        </is>
      </c>
      <c r="J9" s="108" t="n">
        <v>3</v>
      </c>
      <c r="K9" s="109" t="n"/>
      <c r="L9" s="109" t="n"/>
      <c r="M9" s="110" t="n"/>
      <c r="N9" s="81" t="n">
        <v>0</v>
      </c>
      <c r="O9" s="80" t="inlineStr">
        <is>
          <t>2S0-PMO-02</t>
        </is>
      </c>
      <c r="P9" s="80" t="inlineStr">
        <is>
          <t>Written position on tax ID collection, withholding and 1099 reporting, and which system of record owns each</t>
        </is>
      </c>
      <c r="Q9" s="82" t="inlineStr">
        <is>
          <t>Spec §9, §10</t>
        </is>
      </c>
      <c r="R9" s="111" t="n"/>
    </row>
    <row r="10" ht="32.8" customHeight="1" s="75">
      <c r="A10" s="112" t="n">
        <v>6</v>
      </c>
      <c r="B10" s="113" t="inlineStr">
        <is>
          <t>2S0-SEC-01</t>
        </is>
      </c>
      <c r="C10" s="85" t="n">
        <v>0</v>
      </c>
      <c r="D10" s="86" t="inlineStr">
        <is>
          <t>Sprint 0 · Architecture &amp; design</t>
        </is>
      </c>
      <c r="E10" s="142" t="inlineStr">
        <is>
          <t>SEC</t>
        </is>
      </c>
      <c r="F10" s="122" t="inlineStr">
        <is>
          <t>Code</t>
        </is>
      </c>
      <c r="G10" s="84" t="inlineStr">
        <is>
          <t>Payments and PII security review</t>
        </is>
      </c>
      <c r="H10" s="116" t="inlineStr">
        <is>
          <t>Review the design before build: card data never touches your servers, payout account data stays at the provider, verification documents are in private storage, PII is masked in logs.</t>
        </is>
      </c>
      <c r="I10" s="108" t="inlineStr">
        <is>
          <t>Blocked</t>
        </is>
      </c>
      <c r="J10" s="108" t="n">
        <v>3</v>
      </c>
      <c r="K10" s="109" t="n"/>
      <c r="L10" s="109" t="n"/>
      <c r="M10" s="110" t="n"/>
      <c r="N10" s="85" t="n">
        <v>0</v>
      </c>
      <c r="O10" s="84" t="inlineStr">
        <is>
          <t>2S0-PMO-03</t>
        </is>
      </c>
      <c r="P10" s="84" t="inlineStr">
        <is>
          <t>Security review complete with findings closed or accepted in writing</t>
        </is>
      </c>
      <c r="Q10" s="86" t="inlineStr">
        <is>
          <t>Spec §3, §38</t>
        </is>
      </c>
      <c r="R10" s="111" t="n"/>
    </row>
    <row r="11" ht="32.8" customHeight="1" s="75">
      <c r="A11" s="104" t="n">
        <v>7</v>
      </c>
      <c r="B11" s="105" t="inlineStr">
        <is>
          <t>2S0-ART-01</t>
        </is>
      </c>
      <c r="C11" s="81" t="n">
        <v>0</v>
      </c>
      <c r="D11" s="82" t="inlineStr">
        <is>
          <t>Sprint 0 · Architecture &amp; design</t>
        </is>
      </c>
      <c r="E11" s="117" t="inlineStr">
        <is>
          <t>ART</t>
        </is>
      </c>
      <c r="F11" s="118" t="inlineStr">
        <is>
          <t>Design tool</t>
        </is>
      </c>
      <c r="G11" s="80" t="inlineStr">
        <is>
          <t>Design the marketplace, onboarding and portal experience</t>
        </is>
      </c>
      <c r="H11" s="107" t="inlineStr">
        <is>
          <t>Fourteen new screens across onboarding, athlete and team portals, listing editor, cart, checkout, earnings and operations. Design before build — checkout in particular is where confusion costs money.</t>
        </is>
      </c>
      <c r="I11" s="108" t="inlineStr">
        <is>
          <t>Blocked</t>
        </is>
      </c>
      <c r="J11" s="108" t="n">
        <v>5</v>
      </c>
      <c r="K11" s="109" t="n"/>
      <c r="L11" s="109" t="n"/>
      <c r="M11" s="110" t="n"/>
      <c r="N11" s="81" t="n">
        <v>0</v>
      </c>
      <c r="O11" s="80" t="inlineStr">
        <is>
          <t>2S0-PMO-01</t>
        </is>
      </c>
      <c r="P11" s="80" t="inlineStr">
        <is>
          <t>All 14 Phase 2 screens designed, with the onboarding wizard and checkout flows walked end to end</t>
        </is>
      </c>
      <c r="Q11" s="82" t="inlineStr">
        <is>
          <t>Spec §6</t>
        </is>
      </c>
      <c r="R11" s="111" t="n"/>
    </row>
    <row r="12" ht="32.8" customHeight="1" s="75">
      <c r="A12" s="112" t="n">
        <v>8</v>
      </c>
      <c r="B12" s="113" t="inlineStr">
        <is>
          <t>2S0-OPS-01</t>
        </is>
      </c>
      <c r="C12" s="85" t="n">
        <v>0</v>
      </c>
      <c r="D12" s="86" t="inlineStr">
        <is>
          <t>Sprint 0 · Architecture &amp; design</t>
        </is>
      </c>
      <c r="E12" s="123" t="inlineStr">
        <is>
          <t>OPS</t>
        </is>
      </c>
      <c r="F12" s="130" t="inlineStr">
        <is>
          <t>Document</t>
        </is>
      </c>
      <c r="G12" s="84" t="inlineStr">
        <is>
          <t>Define RPO and RTO targets</t>
        </is>
      </c>
      <c r="H12" s="116" t="inlineStr">
        <is>
          <t>Once real money moves, 'we restore from last night's backup' stops being acceptable. The spec suggests RPO ≤ 1 hour and RTO ≤ 4 hours as an early target.</t>
        </is>
      </c>
      <c r="I12" s="108" t="inlineStr">
        <is>
          <t>Blocked</t>
        </is>
      </c>
      <c r="J12" s="108" t="n">
        <v>1</v>
      </c>
      <c r="K12" s="109" t="n"/>
      <c r="L12" s="109" t="n"/>
      <c r="M12" s="110" t="n"/>
      <c r="N12" s="85" t="n">
        <v>0</v>
      </c>
      <c r="O12" s="84" t="inlineStr">
        <is>
          <t>Phase 1 complete</t>
        </is>
      </c>
      <c r="P12" s="84" t="inlineStr">
        <is>
          <t>Formal RPO/RTO targets agreed and the backup strategy adjusted to meet them</t>
        </is>
      </c>
      <c r="Q12" s="86" t="inlineStr">
        <is>
          <t>Spec §38</t>
        </is>
      </c>
      <c r="R12" s="111" t="n"/>
    </row>
    <row r="13" ht="35.05" customHeight="1" s="75">
      <c r="A13" s="104" t="n">
        <v>9</v>
      </c>
      <c r="B13" s="105" t="inlineStr">
        <is>
          <t>2S1-BE-01</t>
        </is>
      </c>
      <c r="C13" s="81" t="n">
        <v>1</v>
      </c>
      <c r="D13" s="82" t="inlineStr">
        <is>
          <t>Sprint 1 · External property onboarding</t>
        </is>
      </c>
      <c r="E13" s="139" t="inlineStr">
        <is>
          <t>BE</t>
        </is>
      </c>
      <c r="F13" s="120" t="inlineStr">
        <is>
          <t>Code</t>
        </is>
      </c>
      <c r="G13" s="80" t="inlineStr">
        <is>
          <t>Property onboarding model and wizard API</t>
        </is>
      </c>
      <c r="H13" s="107" t="inlineStr">
        <is>
          <t>The data behind the 5–7 step wizard: organisation, type, contacts, business details, tax and payout details, agreements, review and submit. Required fields vary by organisation type and jurisdiction.</t>
        </is>
      </c>
      <c r="I13" s="108" t="inlineStr">
        <is>
          <t>Blocked</t>
        </is>
      </c>
      <c r="J13" s="108" t="n">
        <v>5</v>
      </c>
      <c r="K13" s="109" t="n"/>
      <c r="L13" s="109" t="n"/>
      <c r="M13" s="110" t="n"/>
      <c r="N13" s="81" t="n">
        <v>0</v>
      </c>
      <c r="O13" s="80" t="inlineStr">
        <is>
          <t>2S0-PMO-01</t>
        </is>
      </c>
      <c r="P13" s="80" t="inlineStr">
        <is>
          <t>An external organisation can complete and submit onboarding through the API without database intervention</t>
        </is>
      </c>
      <c r="Q13" s="82" t="inlineStr">
        <is>
          <t>Spec §7.1, §9</t>
        </is>
      </c>
      <c r="R13" s="111" t="n"/>
    </row>
    <row r="14" ht="32.8" customHeight="1" s="75">
      <c r="A14" s="112" t="n">
        <v>10</v>
      </c>
      <c r="B14" s="113" t="inlineStr">
        <is>
          <t>2S1-BE-02</t>
        </is>
      </c>
      <c r="C14" s="85" t="n">
        <v>1</v>
      </c>
      <c r="D14" s="86" t="inlineStr">
        <is>
          <t>Sprint 1 · External property onboarding</t>
        </is>
      </c>
      <c r="E14" s="137" t="inlineStr">
        <is>
          <t>BE</t>
        </is>
      </c>
      <c r="F14" s="122" t="inlineStr">
        <is>
          <t>Code</t>
        </is>
      </c>
      <c r="G14" s="84" t="inlineStr">
        <is>
          <t>Verification document handling</t>
        </is>
      </c>
      <c r="H14" s="116" t="inlineStr">
        <is>
          <t>Supporting documents — proof of rights to sell inventory, business registration, identity — uploaded to private storage and attached to the onboarding record.</t>
        </is>
      </c>
      <c r="I14" s="108" t="inlineStr">
        <is>
          <t>Blocked</t>
        </is>
      </c>
      <c r="J14" s="108" t="n">
        <v>3</v>
      </c>
      <c r="K14" s="109" t="n"/>
      <c r="L14" s="109" t="n"/>
      <c r="M14" s="110" t="n"/>
      <c r="N14" s="85" t="n">
        <v>0</v>
      </c>
      <c r="O14" s="84" t="inlineStr">
        <is>
          <t>2S1-BE-01</t>
        </is>
      </c>
      <c r="P14" s="84" t="inlineStr">
        <is>
          <t>Documents upload to the private bucket, are reviewable by an admin, and are never publicly reachable</t>
        </is>
      </c>
      <c r="Q14" s="86" t="inlineStr">
        <is>
          <t>Spec §9</t>
        </is>
      </c>
      <c r="R14" s="111" t="n"/>
    </row>
    <row r="15" ht="35.05" customHeight="1" s="75">
      <c r="A15" s="104" t="n">
        <v>11</v>
      </c>
      <c r="B15" s="105" t="inlineStr">
        <is>
          <t>2S1-BE-03</t>
        </is>
      </c>
      <c r="C15" s="81" t="n">
        <v>1</v>
      </c>
      <c r="D15" s="82" t="inlineStr">
        <is>
          <t>Sprint 1 · External property onboarding</t>
        </is>
      </c>
      <c r="E15" s="139" t="inlineStr">
        <is>
          <t>BE</t>
        </is>
      </c>
      <c r="F15" s="120" t="inlineStr">
        <is>
          <t>Code</t>
        </is>
      </c>
      <c r="G15" s="80" t="inlineStr">
        <is>
          <t>Verification queue and decision workflow</t>
        </is>
      </c>
      <c r="H15" s="107" t="inlineStr">
        <is>
          <t>BTG reviews a submitted property and approves, requests changes, rejects or suspends. Approval is what unlocks listing creation.</t>
        </is>
      </c>
      <c r="I15" s="108" t="inlineStr">
        <is>
          <t>Blocked</t>
        </is>
      </c>
      <c r="J15" s="108" t="n">
        <v>3</v>
      </c>
      <c r="K15" s="109" t="n"/>
      <c r="L15" s="109" t="n"/>
      <c r="M15" s="110" t="n"/>
      <c r="N15" s="81" t="n">
        <v>0</v>
      </c>
      <c r="O15" s="80" t="inlineStr">
        <is>
          <t>2S1-BE-01</t>
        </is>
      </c>
      <c r="P15" s="80" t="inlineStr">
        <is>
          <t>A reviewer can action every decision type; PENDING_REVIEW to APPROVED grants listing access and is audited</t>
        </is>
      </c>
      <c r="Q15" s="82" t="inlineStr">
        <is>
          <t>Spec §7.1</t>
        </is>
      </c>
      <c r="R15" s="111" t="n"/>
    </row>
    <row r="16" ht="32.8" customHeight="1" s="75">
      <c r="A16" s="112" t="n">
        <v>12</v>
      </c>
      <c r="B16" s="113" t="inlineStr">
        <is>
          <t>2S1-BE-04</t>
        </is>
      </c>
      <c r="C16" s="85" t="n">
        <v>1</v>
      </c>
      <c r="D16" s="86" t="inlineStr">
        <is>
          <t>Sprint 1 · External property onboarding</t>
        </is>
      </c>
      <c r="E16" s="137" t="inlineStr">
        <is>
          <t>BE</t>
        </is>
      </c>
      <c r="F16" s="122" t="inlineStr">
        <is>
          <t>Code</t>
        </is>
      </c>
      <c r="G16" s="84" t="inlineStr">
        <is>
          <t>External tenant provisioning and permissions</t>
        </is>
      </c>
      <c r="H16" s="116" t="inlineStr">
        <is>
          <t>Approving a property creates its tenant and role assignments. This is where Phase 1's tenant scoping gets its real test — outside organisations now hold accounts.</t>
        </is>
      </c>
      <c r="I16" s="108" t="inlineStr">
        <is>
          <t>Blocked</t>
        </is>
      </c>
      <c r="J16" s="108" t="n">
        <v>5</v>
      </c>
      <c r="K16" s="109" t="n"/>
      <c r="L16" s="109" t="n"/>
      <c r="M16" s="110" t="n"/>
      <c r="N16" s="85" t="n">
        <v>0</v>
      </c>
      <c r="O16" s="84" t="inlineStr">
        <is>
          <t>2S1-BE-03</t>
        </is>
      </c>
      <c r="P16" s="84" t="inlineStr">
        <is>
          <t>An approved property's users see only their own tenant's data; cross-tenant tests pass</t>
        </is>
      </c>
      <c r="Q16" s="86" t="inlineStr">
        <is>
          <t>Spec §3, §12</t>
        </is>
      </c>
      <c r="R16" s="111" t="n"/>
    </row>
    <row r="17" ht="23.85" customHeight="1" s="75">
      <c r="A17" s="104" t="n">
        <v>13</v>
      </c>
      <c r="B17" s="105" t="inlineStr">
        <is>
          <t>2S1-FE-01</t>
        </is>
      </c>
      <c r="C17" s="81" t="n">
        <v>1</v>
      </c>
      <c r="D17" s="82" t="inlineStr">
        <is>
          <t>Sprint 1 · External property onboarding</t>
        </is>
      </c>
      <c r="E17" s="119" t="inlineStr">
        <is>
          <t>FE</t>
        </is>
      </c>
      <c r="F17" s="120" t="inlineStr">
        <is>
          <t>Code</t>
        </is>
      </c>
      <c r="G17" s="80" t="inlineStr">
        <is>
          <t>Build the property onboarding wizard</t>
        </is>
      </c>
      <c r="H17" s="107" t="inlineStr">
        <is>
          <t>The public-facing multi-step signup. Must save progress — organisations will not complete it in one sitting.</t>
        </is>
      </c>
      <c r="I17" s="108" t="inlineStr">
        <is>
          <t>Blocked</t>
        </is>
      </c>
      <c r="J17" s="108" t="n">
        <v>5</v>
      </c>
      <c r="K17" s="109" t="n"/>
      <c r="L17" s="109" t="n"/>
      <c r="M17" s="110" t="n"/>
      <c r="N17" s="81" t="n">
        <v>0</v>
      </c>
      <c r="O17" s="80" t="inlineStr">
        <is>
          <t>2S0-ART-01</t>
        </is>
      </c>
      <c r="P17" s="80" t="inlineStr">
        <is>
          <t>Wizard completes end to end, saves partial progress, and validates per organisation type</t>
        </is>
      </c>
      <c r="Q17" s="82" t="inlineStr">
        <is>
          <t>Spec §6 P2-01</t>
        </is>
      </c>
      <c r="R17" s="111" t="n"/>
    </row>
    <row r="18" ht="23.85" customHeight="1" s="75">
      <c r="A18" s="112" t="n">
        <v>14</v>
      </c>
      <c r="B18" s="113" t="inlineStr">
        <is>
          <t>2S1-FE-02</t>
        </is>
      </c>
      <c r="C18" s="85" t="n">
        <v>1</v>
      </c>
      <c r="D18" s="86" t="inlineStr">
        <is>
          <t>Sprint 1 · External property onboarding</t>
        </is>
      </c>
      <c r="E18" s="121" t="inlineStr">
        <is>
          <t>FE</t>
        </is>
      </c>
      <c r="F18" s="122" t="inlineStr">
        <is>
          <t>Code</t>
        </is>
      </c>
      <c r="G18" s="84" t="inlineStr">
        <is>
          <t>Build the verification queue screen</t>
        </is>
      </c>
      <c r="H18" s="116" t="inlineStr">
        <is>
          <t>The BTG admin review screen: submitted profile, documents, brand-safety status, payout readiness, and the four decision buttons.</t>
        </is>
      </c>
      <c r="I18" s="108" t="inlineStr">
        <is>
          <t>Blocked</t>
        </is>
      </c>
      <c r="J18" s="108" t="n">
        <v>3</v>
      </c>
      <c r="K18" s="109" t="n"/>
      <c r="L18" s="109" t="n"/>
      <c r="M18" s="110" t="n"/>
      <c r="N18" s="85" t="n">
        <v>0</v>
      </c>
      <c r="O18" s="84" t="inlineStr">
        <is>
          <t>2S1-BE-03</t>
        </is>
      </c>
      <c r="P18" s="84" t="inlineStr">
        <is>
          <t>Reviewer can work the queue and action decisions with reasons recorded</t>
        </is>
      </c>
      <c r="Q18" s="86" t="inlineStr">
        <is>
          <t>Spec §6 P2-02</t>
        </is>
      </c>
      <c r="R18" s="111" t="n"/>
    </row>
    <row r="19" ht="23.85" customHeight="1" s="75">
      <c r="A19" s="104" t="n">
        <v>15</v>
      </c>
      <c r="B19" s="105" t="inlineStr">
        <is>
          <t>2S1-INT-01</t>
        </is>
      </c>
      <c r="C19" s="81" t="n">
        <v>1</v>
      </c>
      <c r="D19" s="82" t="inlineStr">
        <is>
          <t>Sprint 1 · External property onboarding</t>
        </is>
      </c>
      <c r="E19" s="138" t="inlineStr">
        <is>
          <t>INT</t>
        </is>
      </c>
      <c r="F19" s="120" t="inlineStr">
        <is>
          <t>Code</t>
        </is>
      </c>
      <c r="G19" s="80" t="inlineStr">
        <is>
          <t>Onboarding notification jobs</t>
        </is>
      </c>
      <c r="H19" s="107" t="inlineStr">
        <is>
          <t>Emails for submission received, changes requested, approved, rejected and suspended.</t>
        </is>
      </c>
      <c r="I19" s="108" t="inlineStr">
        <is>
          <t>Blocked</t>
        </is>
      </c>
      <c r="J19" s="108" t="n">
        <v>1</v>
      </c>
      <c r="K19" s="109" t="n"/>
      <c r="L19" s="109" t="n"/>
      <c r="M19" s="110" t="n"/>
      <c r="N19" s="81" t="n">
        <v>0</v>
      </c>
      <c r="O19" s="80" t="inlineStr">
        <is>
          <t>2S1-BE-03</t>
        </is>
      </c>
      <c r="P19" s="80" t="inlineStr">
        <is>
          <t>All five notifications send as queued jobs and retry on failure</t>
        </is>
      </c>
      <c r="Q19" s="82" t="inlineStr">
        <is>
          <t>Spec §10</t>
        </is>
      </c>
      <c r="R19" s="111" t="n"/>
    </row>
    <row r="20" ht="32.8" customHeight="1" s="75">
      <c r="A20" s="112" t="n">
        <v>16</v>
      </c>
      <c r="B20" s="113" t="inlineStr">
        <is>
          <t>2S2-BE-01</t>
        </is>
      </c>
      <c r="C20" s="85" t="n">
        <v>2</v>
      </c>
      <c r="D20" s="86" t="inlineStr">
        <is>
          <t>Sprint 2 · Athlete &amp; team portals</t>
        </is>
      </c>
      <c r="E20" s="137" t="inlineStr">
        <is>
          <t>BE</t>
        </is>
      </c>
      <c r="F20" s="122" t="inlineStr">
        <is>
          <t>Code</t>
        </is>
      </c>
      <c r="G20" s="84" t="inlineStr">
        <is>
          <t>Athlete inventory model</t>
        </is>
      </c>
      <c r="H20" s="116" t="inlineStr">
        <is>
          <t>External athletes define their own NIL items, rates, availability, categories, restrictions and package rules — rather than BTG setting rates for them as in Phase 1.</t>
        </is>
      </c>
      <c r="I20" s="108" t="inlineStr">
        <is>
          <t>Blocked</t>
        </is>
      </c>
      <c r="J20" s="108" t="n">
        <v>5</v>
      </c>
      <c r="K20" s="109" t="n"/>
      <c r="L20" s="109" t="n"/>
      <c r="M20" s="110" t="n"/>
      <c r="N20" s="85" t="n">
        <v>0</v>
      </c>
      <c r="O20" s="84" t="inlineStr">
        <is>
          <t>2S1-BE-04</t>
        </is>
      </c>
      <c r="P20" s="84" t="inlineStr">
        <is>
          <t>An athlete can create, edit and price inventory items scoped to their own account</t>
        </is>
      </c>
      <c r="Q20" s="86" t="inlineStr">
        <is>
          <t>Spec §6 P2-04</t>
        </is>
      </c>
      <c r="R20" s="111" t="n"/>
    </row>
    <row r="21" ht="32.8" customHeight="1" s="75">
      <c r="A21" s="104" t="n">
        <v>17</v>
      </c>
      <c r="B21" s="105" t="inlineStr">
        <is>
          <t>2S2-BE-02</t>
        </is>
      </c>
      <c r="C21" s="81" t="n">
        <v>2</v>
      </c>
      <c r="D21" s="82" t="inlineStr">
        <is>
          <t>Sprint 2 · Athlete &amp; team portals</t>
        </is>
      </c>
      <c r="E21" s="139" t="inlineStr">
        <is>
          <t>BE</t>
        </is>
      </c>
      <c r="F21" s="120" t="inlineStr">
        <is>
          <t>Code</t>
        </is>
      </c>
      <c r="G21" s="80" t="inlineStr">
        <is>
          <t>Brand restrictions and conflict model</t>
        </is>
      </c>
      <c r="H21" s="107" t="inlineStr">
        <is>
          <t>Extends Phase 1's restriction list into a first-class table with category, restriction type and date range — it now has to block purchases, not just invitations.</t>
        </is>
      </c>
      <c r="I21" s="108" t="inlineStr">
        <is>
          <t>Blocked</t>
        </is>
      </c>
      <c r="J21" s="108" t="n">
        <v>3</v>
      </c>
      <c r="K21" s="109" t="n"/>
      <c r="L21" s="109" t="n"/>
      <c r="M21" s="110" t="n"/>
      <c r="N21" s="81" t="n">
        <v>0</v>
      </c>
      <c r="O21" s="80" t="inlineStr">
        <is>
          <t>2S2-BE-01</t>
        </is>
      </c>
      <c r="P21" s="80" t="inlineStr">
        <is>
          <t>A restricted category blocks listing purchase and campaign offer for the overlapping date range</t>
        </is>
      </c>
      <c r="Q21" s="82" t="inlineStr">
        <is>
          <t>Spec §9</t>
        </is>
      </c>
      <c r="R21" s="111" t="n"/>
    </row>
    <row r="22" ht="35.05" customHeight="1" s="75">
      <c r="A22" s="112" t="n">
        <v>18</v>
      </c>
      <c r="B22" s="113" t="inlineStr">
        <is>
          <t>2S2-BE-03</t>
        </is>
      </c>
      <c r="C22" s="85" t="n">
        <v>2</v>
      </c>
      <c r="D22" s="86" t="inlineStr">
        <is>
          <t>Sprint 2 · Athlete &amp; team portals</t>
        </is>
      </c>
      <c r="E22" s="137" t="inlineStr">
        <is>
          <t>BE</t>
        </is>
      </c>
      <c r="F22" s="122" t="inlineStr">
        <is>
          <t>Code</t>
        </is>
      </c>
      <c r="G22" s="84" t="inlineStr">
        <is>
          <t>Formal athlete offer model</t>
        </is>
      </c>
      <c r="H22" s="116" t="inlineStr">
        <is>
          <t>Phase 2's offer is a commercial instrument, not an invitation: brief, compensation, deliverables, usage rights, exclusivity period, disclosures. Acceptance creates an immutable terms snapshot.</t>
        </is>
      </c>
      <c r="I22" s="108" t="inlineStr">
        <is>
          <t>Blocked</t>
        </is>
      </c>
      <c r="J22" s="108" t="n">
        <v>5</v>
      </c>
      <c r="K22" s="109" t="n"/>
      <c r="L22" s="109" t="n"/>
      <c r="M22" s="110" t="n"/>
      <c r="N22" s="85" t="n">
        <v>0</v>
      </c>
      <c r="O22" s="84" t="inlineStr">
        <is>
          <t>2S2-BE-01</t>
        </is>
      </c>
      <c r="P22" s="84" t="inlineStr">
        <is>
          <t>Accepting an offer freezes commercial terms and schedules deliverables; later rate-card edits do not alter it</t>
        </is>
      </c>
      <c r="Q22" s="86" t="inlineStr">
        <is>
          <t>Spec §7.3</t>
        </is>
      </c>
      <c r="R22" s="111" t="n"/>
    </row>
    <row r="23" ht="23.85" customHeight="1" s="75">
      <c r="A23" s="104" t="n">
        <v>19</v>
      </c>
      <c r="B23" s="105" t="inlineStr">
        <is>
          <t>2S2-BE-04</t>
        </is>
      </c>
      <c r="C23" s="81" t="n">
        <v>2</v>
      </c>
      <c r="D23" s="82" t="inlineStr">
        <is>
          <t>Sprint 2 · Athlete &amp; team portals</t>
        </is>
      </c>
      <c r="E23" s="139" t="inlineStr">
        <is>
          <t>BE</t>
        </is>
      </c>
      <c r="F23" s="120" t="inlineStr">
        <is>
          <t>Code</t>
        </is>
      </c>
      <c r="G23" s="80" t="inlineStr">
        <is>
          <t>Team and program roster model</t>
        </is>
      </c>
      <c r="H23" s="107" t="inlineStr">
        <is>
          <t>Teams and programs hold rosters, property inventory, users and revenue shares — a layer above individual athletes.</t>
        </is>
      </c>
      <c r="I23" s="108" t="inlineStr">
        <is>
          <t>Blocked</t>
        </is>
      </c>
      <c r="J23" s="108" t="n">
        <v>3</v>
      </c>
      <c r="K23" s="109" t="n"/>
      <c r="L23" s="109" t="n"/>
      <c r="M23" s="110" t="n"/>
      <c r="N23" s="81" t="n">
        <v>0</v>
      </c>
      <c r="O23" s="80" t="inlineStr">
        <is>
          <t>2S1-BE-04</t>
        </is>
      </c>
      <c r="P23" s="80" t="inlineStr">
        <is>
          <t>A team manager can see their roster and the inventory belonging to it, and nobody else's</t>
        </is>
      </c>
      <c r="Q23" s="82" t="inlineStr">
        <is>
          <t>Spec §6 P2-06</t>
        </is>
      </c>
      <c r="R23" s="111" t="n"/>
    </row>
    <row r="24" ht="23.85" customHeight="1" s="75">
      <c r="A24" s="112" t="n">
        <v>20</v>
      </c>
      <c r="B24" s="113" t="inlineStr">
        <is>
          <t>2S2-FE-01</t>
        </is>
      </c>
      <c r="C24" s="85" t="n">
        <v>2</v>
      </c>
      <c r="D24" s="86" t="inlineStr">
        <is>
          <t>Sprint 2 · Athlete &amp; team portals</t>
        </is>
      </c>
      <c r="E24" s="121" t="inlineStr">
        <is>
          <t>FE</t>
        </is>
      </c>
      <c r="F24" s="122" t="inlineStr">
        <is>
          <t>Code</t>
        </is>
      </c>
      <c r="G24" s="84" t="inlineStr">
        <is>
          <t>Build the athlete portal home</t>
        </is>
      </c>
      <c r="H24" s="116" t="inlineStr">
        <is>
          <t>Upcoming campaigns, approval requests, overdue deliverables, earnings to date, payout status and inventory performance in one view.</t>
        </is>
      </c>
      <c r="I24" s="108" t="inlineStr">
        <is>
          <t>Blocked</t>
        </is>
      </c>
      <c r="J24" s="108" t="n">
        <v>3</v>
      </c>
      <c r="K24" s="109" t="n"/>
      <c r="L24" s="109" t="n"/>
      <c r="M24" s="110" t="n"/>
      <c r="N24" s="85" t="n">
        <v>0</v>
      </c>
      <c r="O24" s="84" t="inlineStr">
        <is>
          <t>2S0-ART-01</t>
        </is>
      </c>
      <c r="P24" s="84" t="inlineStr">
        <is>
          <t>Portal home renders live data for the signed-in athlete only</t>
        </is>
      </c>
      <c r="Q24" s="86" t="inlineStr">
        <is>
          <t>Spec §6 P2-03</t>
        </is>
      </c>
      <c r="R24" s="111" t="n"/>
    </row>
    <row r="25" ht="23.85" customHeight="1" s="75">
      <c r="A25" s="104" t="n">
        <v>21</v>
      </c>
      <c r="B25" s="105" t="inlineStr">
        <is>
          <t>2S2-FE-02</t>
        </is>
      </c>
      <c r="C25" s="81" t="n">
        <v>2</v>
      </c>
      <c r="D25" s="82" t="inlineStr">
        <is>
          <t>Sprint 2 · Athlete &amp; team portals</t>
        </is>
      </c>
      <c r="E25" s="119" t="inlineStr">
        <is>
          <t>FE</t>
        </is>
      </c>
      <c r="F25" s="120" t="inlineStr">
        <is>
          <t>Code</t>
        </is>
      </c>
      <c r="G25" s="80" t="inlineStr">
        <is>
          <t>Build the athlete inventory manager</t>
        </is>
      </c>
      <c r="H25" s="107" t="inlineStr">
        <is>
          <t>Where an athlete creates and prices what they are selling.</t>
        </is>
      </c>
      <c r="I25" s="108" t="inlineStr">
        <is>
          <t>Blocked</t>
        </is>
      </c>
      <c r="J25" s="108" t="n">
        <v>5</v>
      </c>
      <c r="K25" s="109" t="n"/>
      <c r="L25" s="109" t="n"/>
      <c r="M25" s="110" t="n"/>
      <c r="N25" s="81" t="n">
        <v>0</v>
      </c>
      <c r="O25" s="80" t="inlineStr">
        <is>
          <t>2S2-BE-01</t>
        </is>
      </c>
      <c r="P25" s="80" t="inlineStr">
        <is>
          <t>Athlete can create, edit, price and restrict inventory items</t>
        </is>
      </c>
      <c r="Q25" s="82" t="inlineStr">
        <is>
          <t>Spec §6 P2-04</t>
        </is>
      </c>
      <c r="R25" s="111" t="n"/>
    </row>
    <row r="26" ht="23.85" customHeight="1" s="75">
      <c r="A26" s="112" t="n">
        <v>22</v>
      </c>
      <c r="B26" s="113" t="inlineStr">
        <is>
          <t>2S2-FE-03</t>
        </is>
      </c>
      <c r="C26" s="85" t="n">
        <v>2</v>
      </c>
      <c r="D26" s="86" t="inlineStr">
        <is>
          <t>Sprint 2 · Athlete &amp; team portals</t>
        </is>
      </c>
      <c r="E26" s="121" t="inlineStr">
        <is>
          <t>FE</t>
        </is>
      </c>
      <c r="F26" s="122" t="inlineStr">
        <is>
          <t>Code</t>
        </is>
      </c>
      <c r="G26" s="84" t="inlineStr">
        <is>
          <t>Build the campaign offer screen</t>
        </is>
      </c>
      <c r="H26" s="116" t="inlineStr">
        <is>
          <t>The athlete reads the full commercial terms and accepts, declines or requests a change.</t>
        </is>
      </c>
      <c r="I26" s="108" t="inlineStr">
        <is>
          <t>Blocked</t>
        </is>
      </c>
      <c r="J26" s="108" t="n">
        <v>3</v>
      </c>
      <c r="K26" s="109" t="n"/>
      <c r="L26" s="109" t="n"/>
      <c r="M26" s="110" t="n"/>
      <c r="N26" s="85" t="n">
        <v>0</v>
      </c>
      <c r="O26" s="84" t="inlineStr">
        <is>
          <t>2S2-BE-03</t>
        </is>
      </c>
      <c r="P26" s="84" t="inlineStr">
        <is>
          <t>All three actions work; requesting a change routes back to the campaign manager</t>
        </is>
      </c>
      <c r="Q26" s="86" t="inlineStr">
        <is>
          <t>Spec §6 P2-05</t>
        </is>
      </c>
      <c r="R26" s="111" t="n"/>
    </row>
    <row r="27" ht="23.85" customHeight="1" s="75">
      <c r="A27" s="104" t="n">
        <v>23</v>
      </c>
      <c r="B27" s="105" t="inlineStr">
        <is>
          <t>2S2-FE-04</t>
        </is>
      </c>
      <c r="C27" s="81" t="n">
        <v>2</v>
      </c>
      <c r="D27" s="82" t="inlineStr">
        <is>
          <t>Sprint 2 · Athlete &amp; team portals</t>
        </is>
      </c>
      <c r="E27" s="119" t="inlineStr">
        <is>
          <t>FE</t>
        </is>
      </c>
      <c r="F27" s="120" t="inlineStr">
        <is>
          <t>Code</t>
        </is>
      </c>
      <c r="G27" s="80" t="inlineStr">
        <is>
          <t>Build the team/program dashboard</t>
        </is>
      </c>
      <c r="H27" s="107" t="inlineStr">
        <is>
          <t>Roster, inventory, campaigns, revenue, tasks and performance for a team or program.</t>
        </is>
      </c>
      <c r="I27" s="108" t="inlineStr">
        <is>
          <t>Blocked</t>
        </is>
      </c>
      <c r="J27" s="108" t="n">
        <v>5</v>
      </c>
      <c r="K27" s="109" t="n"/>
      <c r="L27" s="109" t="n"/>
      <c r="M27" s="110" t="n"/>
      <c r="N27" s="81" t="n">
        <v>0</v>
      </c>
      <c r="O27" s="80" t="inlineStr">
        <is>
          <t>2S2-BE-04</t>
        </is>
      </c>
      <c r="P27" s="80" t="inlineStr">
        <is>
          <t>Team dashboard renders roster-scoped data with revenue shares visible to the manager</t>
        </is>
      </c>
      <c r="Q27" s="82" t="inlineStr">
        <is>
          <t>Spec §6 P2-06</t>
        </is>
      </c>
      <c r="R27" s="111" t="n"/>
    </row>
    <row r="28" ht="32.8" customHeight="1" s="75">
      <c r="A28" s="112" t="n">
        <v>24</v>
      </c>
      <c r="B28" s="113" t="inlineStr">
        <is>
          <t>2S3-BE-01</t>
        </is>
      </c>
      <c r="C28" s="85" t="n">
        <v>3</v>
      </c>
      <c r="D28" s="86" t="inlineStr">
        <is>
          <t>Sprint 3 · Listing engine</t>
        </is>
      </c>
      <c r="E28" s="137" t="inlineStr">
        <is>
          <t>BE</t>
        </is>
      </c>
      <c r="F28" s="122" t="inlineStr">
        <is>
          <t>Code</t>
        </is>
      </c>
      <c r="G28" s="84" t="inlineStr">
        <is>
          <t>Marketplace listing model and lifecycle</t>
        </is>
      </c>
      <c r="H28" s="116" t="inlineStr">
        <is>
          <t>A listing is the public representation of inventory: visibility, status, publish date. Creating inventory and publishing a listing are deliberately separate steps so governance can sit between them.</t>
        </is>
      </c>
      <c r="I28" s="108" t="inlineStr">
        <is>
          <t>Blocked</t>
        </is>
      </c>
      <c r="J28" s="108" t="n">
        <v>5</v>
      </c>
      <c r="K28" s="109" t="n"/>
      <c r="L28" s="109" t="n"/>
      <c r="M28" s="110" t="n"/>
      <c r="N28" s="85" t="n">
        <v>0</v>
      </c>
      <c r="O28" s="84" t="inlineStr">
        <is>
          <t>2S2-BE-01</t>
        </is>
      </c>
      <c r="P28" s="84" t="inlineStr">
        <is>
          <t>A verified property can create a listing but cannot publish it until governance rules are satisfied</t>
        </is>
      </c>
      <c r="Q28" s="86" t="inlineStr">
        <is>
          <t>Spec §9, §12</t>
        </is>
      </c>
      <c r="R28" s="111" t="n"/>
    </row>
    <row r="29" ht="23.85" customHeight="1" s="75">
      <c r="A29" s="104" t="n">
        <v>25</v>
      </c>
      <c r="B29" s="105" t="inlineStr">
        <is>
          <t>2S3-BE-02</t>
        </is>
      </c>
      <c r="C29" s="81" t="n">
        <v>3</v>
      </c>
      <c r="D29" s="82" t="inlineStr">
        <is>
          <t>Sprint 3 · Listing engine</t>
        </is>
      </c>
      <c r="E29" s="139" t="inlineStr">
        <is>
          <t>BE</t>
        </is>
      </c>
      <c r="F29" s="120" t="inlineStr">
        <is>
          <t>Code</t>
        </is>
      </c>
      <c r="G29" s="80" t="inlineStr">
        <is>
          <t>Listing packages and bundles</t>
        </is>
      </c>
      <c r="H29" s="107" t="inlineStr">
        <is>
          <t>Bundled inventory sold as one unit, with quantity and bundle definition.</t>
        </is>
      </c>
      <c r="I29" s="108" t="inlineStr">
        <is>
          <t>Blocked</t>
        </is>
      </c>
      <c r="J29" s="108" t="n">
        <v>3</v>
      </c>
      <c r="K29" s="109" t="n"/>
      <c r="L29" s="109" t="n"/>
      <c r="M29" s="110" t="n"/>
      <c r="N29" s="81" t="n">
        <v>0</v>
      </c>
      <c r="O29" s="80" t="inlineStr">
        <is>
          <t>2S3-BE-01</t>
        </is>
      </c>
      <c r="P29" s="80" t="inlineStr">
        <is>
          <t>A package can be created, priced and purchased as a single line</t>
        </is>
      </c>
      <c r="Q29" s="82" t="inlineStr">
        <is>
          <t>Spec §9</t>
        </is>
      </c>
      <c r="R29" s="111" t="n"/>
    </row>
    <row r="30" ht="32.8" customHeight="1" s="75">
      <c r="A30" s="112" t="n">
        <v>26</v>
      </c>
      <c r="B30" s="113" t="inlineStr">
        <is>
          <t>2S3-BE-03</t>
        </is>
      </c>
      <c r="C30" s="85" t="n">
        <v>3</v>
      </c>
      <c r="D30" s="86" t="inlineStr">
        <is>
          <t>Sprint 3 · Listing engine</t>
        </is>
      </c>
      <c r="E30" s="137" t="inlineStr">
        <is>
          <t>BE</t>
        </is>
      </c>
      <c r="F30" s="122" t="inlineStr">
        <is>
          <t>Code</t>
        </is>
      </c>
      <c r="G30" s="84" t="inlineStr">
        <is>
          <t>Availability, exclusivity and conflict check service</t>
        </is>
      </c>
      <c r="H30" s="116" t="inlineStr">
        <is>
          <t>One service answers: is this available on these dates, in this quantity, without a category conflict, above the floor price? Every purchase path calls it. The Phase 2 equivalent of Phase 1's matching query, and just as load-bearing.</t>
        </is>
      </c>
      <c r="I30" s="108" t="inlineStr">
        <is>
          <t>Blocked</t>
        </is>
      </c>
      <c r="J30" s="108" t="n">
        <v>5</v>
      </c>
      <c r="K30" s="109" t="n"/>
      <c r="L30" s="109" t="n"/>
      <c r="M30" s="110" t="n"/>
      <c r="N30" s="85" t="n">
        <v>0</v>
      </c>
      <c r="O30" s="84" t="inlineStr">
        <is>
          <t>2S3-BE-01</t>
        </is>
      </c>
      <c r="P30" s="84" t="inlineStr">
        <is>
          <t>Availability check correctly rejects date overlap, quantity overrun, category conflict and sub-floor pricing</t>
        </is>
      </c>
      <c r="Q30" s="86" t="inlineStr">
        <is>
          <t>Spec §7.2, §8</t>
        </is>
      </c>
      <c r="R30" s="111" t="n"/>
    </row>
    <row r="31" ht="23.85" customHeight="1" s="75">
      <c r="A31" s="104" t="n">
        <v>27</v>
      </c>
      <c r="B31" s="105" t="inlineStr">
        <is>
          <t>2S3-BE-04</t>
        </is>
      </c>
      <c r="C31" s="81" t="n">
        <v>3</v>
      </c>
      <c r="D31" s="82" t="inlineStr">
        <is>
          <t>Sprint 3 · Listing engine</t>
        </is>
      </c>
      <c r="E31" s="139" t="inlineStr">
        <is>
          <t>BE</t>
        </is>
      </c>
      <c r="F31" s="120" t="inlineStr">
        <is>
          <t>Code</t>
        </is>
      </c>
      <c r="G31" s="80" t="inlineStr">
        <is>
          <t>Marketplace search and filtering</t>
        </is>
      </c>
      <c r="H31" s="107" t="inlineStr">
        <is>
          <t>Sponsors browse what is available to them. Visibility rules mean two sponsors see different catalogues.</t>
        </is>
      </c>
      <c r="I31" s="108" t="inlineStr">
        <is>
          <t>Blocked</t>
        </is>
      </c>
      <c r="J31" s="108" t="n">
        <v>5</v>
      </c>
      <c r="K31" s="109" t="n"/>
      <c r="L31" s="109" t="n"/>
      <c r="M31" s="110" t="n"/>
      <c r="N31" s="81" t="n">
        <v>0</v>
      </c>
      <c r="O31" s="80" t="inlineStr">
        <is>
          <t>2S3-BE-01</t>
        </is>
      </c>
      <c r="P31" s="80" t="inlineStr">
        <is>
          <t>Search returns only inventory visible to the requesting sponsor and tenant</t>
        </is>
      </c>
      <c r="Q31" s="82" t="inlineStr">
        <is>
          <t>Spec §12</t>
        </is>
      </c>
      <c r="R31" s="111" t="n"/>
    </row>
    <row r="32" ht="23.85" customHeight="1" s="75">
      <c r="A32" s="112" t="n">
        <v>28</v>
      </c>
      <c r="B32" s="113" t="inlineStr">
        <is>
          <t>2S3-FE-01</t>
        </is>
      </c>
      <c r="C32" s="85" t="n">
        <v>3</v>
      </c>
      <c r="D32" s="86" t="inlineStr">
        <is>
          <t>Sprint 3 · Listing engine</t>
        </is>
      </c>
      <c r="E32" s="121" t="inlineStr">
        <is>
          <t>FE</t>
        </is>
      </c>
      <c r="F32" s="122" t="inlineStr">
        <is>
          <t>Code</t>
        </is>
      </c>
      <c r="G32" s="84" t="inlineStr">
        <is>
          <t>Build the listing editor</t>
        </is>
      </c>
      <c r="H32" s="116" t="inlineStr">
        <is>
          <t>Listing data, pricing, package builder, preview, approval status and visibility settings.</t>
        </is>
      </c>
      <c r="I32" s="108" t="inlineStr">
        <is>
          <t>Blocked</t>
        </is>
      </c>
      <c r="J32" s="108" t="n">
        <v>5</v>
      </c>
      <c r="K32" s="109" t="n"/>
      <c r="L32" s="109" t="n"/>
      <c r="M32" s="110" t="n"/>
      <c r="N32" s="85" t="n">
        <v>0</v>
      </c>
      <c r="O32" s="84" t="inlineStr">
        <is>
          <t>2S0-ART-01</t>
        </is>
      </c>
      <c r="P32" s="84" t="inlineStr">
        <is>
          <t>A property can build, preview and submit a listing for approval</t>
        </is>
      </c>
      <c r="Q32" s="86" t="inlineStr">
        <is>
          <t>Spec §6 P2-07</t>
        </is>
      </c>
      <c r="R32" s="111" t="n"/>
    </row>
    <row r="33" ht="22.35" customHeight="1" s="75">
      <c r="A33" s="104" t="n">
        <v>29</v>
      </c>
      <c r="B33" s="105" t="inlineStr">
        <is>
          <t>2S3-SEC-01</t>
        </is>
      </c>
      <c r="C33" s="81" t="n">
        <v>3</v>
      </c>
      <c r="D33" s="82" t="inlineStr">
        <is>
          <t>Sprint 3 · Listing engine</t>
        </is>
      </c>
      <c r="E33" s="140" t="inlineStr">
        <is>
          <t>SEC</t>
        </is>
      </c>
      <c r="F33" s="120" t="inlineStr">
        <is>
          <t>Code</t>
        </is>
      </c>
      <c r="G33" s="80" t="inlineStr">
        <is>
          <t>Listing visibility and tenant isolation tests</t>
        </is>
      </c>
      <c r="H33" s="107" t="inlineStr">
        <is>
          <t>Prove by test that private listings and cross-tenant inventory never leak into another sponsor's search results.</t>
        </is>
      </c>
      <c r="I33" s="108" t="inlineStr">
        <is>
          <t>Blocked</t>
        </is>
      </c>
      <c r="J33" s="108" t="n">
        <v>3</v>
      </c>
      <c r="K33" s="109" t="n"/>
      <c r="L33" s="109" t="n"/>
      <c r="M33" s="110" t="n"/>
      <c r="N33" s="81" t="n">
        <v>0</v>
      </c>
      <c r="O33" s="80" t="inlineStr">
        <is>
          <t>2S3-BE-04</t>
        </is>
      </c>
      <c r="P33" s="80" t="inlineStr">
        <is>
          <t>Cross-tenant marketplace search tests pass</t>
        </is>
      </c>
      <c r="Q33" s="82" t="inlineStr">
        <is>
          <t>Spec §12</t>
        </is>
      </c>
      <c r="R33" s="111" t="n"/>
    </row>
    <row r="34" ht="23.85" customHeight="1" s="75">
      <c r="A34" s="112" t="n">
        <v>30</v>
      </c>
      <c r="B34" s="113" t="inlineStr">
        <is>
          <t>2S4-BE-01</t>
        </is>
      </c>
      <c r="C34" s="85" t="n">
        <v>4</v>
      </c>
      <c r="D34" s="86" t="inlineStr">
        <is>
          <t>Sprint 4 · Cart, reservations &amp; orders</t>
        </is>
      </c>
      <c r="E34" s="137" t="inlineStr">
        <is>
          <t>BE</t>
        </is>
      </c>
      <c r="F34" s="122" t="inlineStr">
        <is>
          <t>Code</t>
        </is>
      </c>
      <c r="G34" s="84" t="inlineStr">
        <is>
          <t>Cart model</t>
        </is>
      </c>
      <c r="H34" s="116" t="inlineStr">
        <is>
          <t>A sponsor's shopping session: items, quantities, currency, expiry.</t>
        </is>
      </c>
      <c r="I34" s="108" t="inlineStr">
        <is>
          <t>Blocked</t>
        </is>
      </c>
      <c r="J34" s="108" t="n">
        <v>3</v>
      </c>
      <c r="K34" s="109" t="n"/>
      <c r="L34" s="109" t="n"/>
      <c r="M34" s="110" t="n"/>
      <c r="N34" s="85" t="n">
        <v>0</v>
      </c>
      <c r="O34" s="84" t="inlineStr">
        <is>
          <t>2S3-BE-03</t>
        </is>
      </c>
      <c r="P34" s="84" t="inlineStr">
        <is>
          <t>Sponsor can add, remove and update cart lines; the cart expires cleanly</t>
        </is>
      </c>
      <c r="Q34" s="86" t="inlineStr">
        <is>
          <t>Spec §8, §9</t>
        </is>
      </c>
      <c r="R34" s="111" t="n"/>
    </row>
    <row r="35" ht="32.8" customHeight="1" s="75">
      <c r="A35" s="104" t="n">
        <v>31</v>
      </c>
      <c r="B35" s="105" t="inlineStr">
        <is>
          <t>2S4-BE-02</t>
        </is>
      </c>
      <c r="C35" s="81" t="n">
        <v>4</v>
      </c>
      <c r="D35" s="82" t="inlineStr">
        <is>
          <t>Sprint 4 · Cart, reservations &amp; orders</t>
        </is>
      </c>
      <c r="E35" s="139" t="inlineStr">
        <is>
          <t>BE</t>
        </is>
      </c>
      <c r="F35" s="120" t="inlineStr">
        <is>
          <t>Code</t>
        </is>
      </c>
      <c r="G35" s="80" t="inlineStr">
        <is>
          <t>Time-limited reservations</t>
        </is>
      </c>
      <c r="H35" s="107" t="inlineStr">
        <is>
          <t>Reservable inventory is held for a window and the available quantity is temporarily reduced. This is what stops overselling, and it must release automatically when the timer expires.</t>
        </is>
      </c>
      <c r="I35" s="108" t="inlineStr">
        <is>
          <t>Blocked</t>
        </is>
      </c>
      <c r="J35" s="108" t="n">
        <v>5</v>
      </c>
      <c r="K35" s="109" t="n"/>
      <c r="L35" s="109" t="n"/>
      <c r="M35" s="110" t="n"/>
      <c r="N35" s="81" t="n">
        <v>0</v>
      </c>
      <c r="O35" s="80" t="inlineStr">
        <is>
          <t>2S4-BE-01</t>
        </is>
      </c>
      <c r="P35" s="80" t="inlineStr">
        <is>
          <t>Reservations prevent overselling and expired reservations release inventory automatically</t>
        </is>
      </c>
      <c r="Q35" s="82" t="inlineStr">
        <is>
          <t>Spec §7.2, §12</t>
        </is>
      </c>
      <c r="R35" s="111" t="n"/>
    </row>
    <row r="36" ht="23.85" customHeight="1" s="75">
      <c r="A36" s="112" t="n">
        <v>32</v>
      </c>
      <c r="B36" s="113" t="inlineStr">
        <is>
          <t>2S4-BE-03</t>
        </is>
      </c>
      <c r="C36" s="85" t="n">
        <v>4</v>
      </c>
      <c r="D36" s="86" t="inlineStr">
        <is>
          <t>Sprint 4 · Cart, reservations &amp; orders</t>
        </is>
      </c>
      <c r="E36" s="137" t="inlineStr">
        <is>
          <t>BE</t>
        </is>
      </c>
      <c r="F36" s="122" t="inlineStr">
        <is>
          <t>Code</t>
        </is>
      </c>
      <c r="G36" s="84" t="inlineStr">
        <is>
          <t>Order model and state machine</t>
        </is>
      </c>
      <c r="H36" s="116" t="inlineStr">
        <is>
          <t>The commercial order: subtotal, fees, total, currency, and its lifecycle through PENDING_APPROVAL, CONTRACTED and beyond.</t>
        </is>
      </c>
      <c r="I36" s="108" t="inlineStr">
        <is>
          <t>Blocked</t>
        </is>
      </c>
      <c r="J36" s="108" t="n">
        <v>5</v>
      </c>
      <c r="K36" s="109" t="n"/>
      <c r="L36" s="109" t="n"/>
      <c r="M36" s="110" t="n"/>
      <c r="N36" s="85" t="n">
        <v>0</v>
      </c>
      <c r="O36" s="84" t="inlineStr">
        <is>
          <t>2S4-BE-02</t>
        </is>
      </c>
      <c r="P36" s="84" t="inlineStr">
        <is>
          <t>Order states enforce correctly; an unapproved order cannot contract inventory</t>
        </is>
      </c>
      <c r="Q36" s="86" t="inlineStr">
        <is>
          <t>Spec §7.2, §9</t>
        </is>
      </c>
      <c r="R36" s="111" t="n"/>
    </row>
    <row r="37" ht="23.85" customHeight="1" s="75">
      <c r="A37" s="104" t="n">
        <v>33</v>
      </c>
      <c r="B37" s="105" t="inlineStr">
        <is>
          <t>2S4-BE-04</t>
        </is>
      </c>
      <c r="C37" s="81" t="n">
        <v>4</v>
      </c>
      <c r="D37" s="82" t="inlineStr">
        <is>
          <t>Sprint 4 · Cart, reservations &amp; orders</t>
        </is>
      </c>
      <c r="E37" s="139" t="inlineStr">
        <is>
          <t>BE</t>
        </is>
      </c>
      <c r="F37" s="120" t="inlineStr">
        <is>
          <t>Code</t>
        </is>
      </c>
      <c r="G37" s="80" t="inlineStr">
        <is>
          <t>Order financial snapshot at contract time</t>
        </is>
      </c>
      <c r="H37" s="107" t="inlineStr">
        <is>
          <t>At contract time, freeze the full financial breakdown onto the order line. This is what makes historical payouts immune to future rate-card changes.</t>
        </is>
      </c>
      <c r="I37" s="108" t="inlineStr">
        <is>
          <t>Blocked</t>
        </is>
      </c>
      <c r="J37" s="108" t="n">
        <v>5</v>
      </c>
      <c r="K37" s="109" t="n"/>
      <c r="L37" s="109" t="n"/>
      <c r="M37" s="110" t="n"/>
      <c r="N37" s="81" t="n">
        <v>0</v>
      </c>
      <c r="O37" s="80" t="inlineStr">
        <is>
          <t>2S4-BE-03</t>
        </is>
      </c>
      <c r="P37" s="80" t="inlineStr">
        <is>
          <t>Commission snapshot is created at contract time and does not change when commission rules are later edited</t>
        </is>
      </c>
      <c r="Q37" s="82" t="inlineStr">
        <is>
          <t>Spec §7.4, §12</t>
        </is>
      </c>
      <c r="R37" s="111" t="n"/>
    </row>
    <row r="38" ht="23.85" customHeight="1" s="75">
      <c r="A38" s="112" t="n">
        <v>34</v>
      </c>
      <c r="B38" s="113" t="inlineStr">
        <is>
          <t>2S4-BE-05</t>
        </is>
      </c>
      <c r="C38" s="85" t="n">
        <v>4</v>
      </c>
      <c r="D38" s="86" t="inlineStr">
        <is>
          <t>Sprint 4 · Cart, reservations &amp; orders</t>
        </is>
      </c>
      <c r="E38" s="137" t="inlineStr">
        <is>
          <t>BE</t>
        </is>
      </c>
      <c r="F38" s="122" t="inlineStr">
        <is>
          <t>Code</t>
        </is>
      </c>
      <c r="G38" s="84" t="inlineStr">
        <is>
          <t>BTG approval gate on orders</t>
        </is>
      </c>
      <c r="H38" s="116" t="inlineStr">
        <is>
          <t>Where policy requires it, an order waits for BTG approval before inventory is contracted — payment may be authorisation or deposit only until then.</t>
        </is>
      </c>
      <c r="I38" s="108" t="inlineStr">
        <is>
          <t>Blocked</t>
        </is>
      </c>
      <c r="J38" s="108" t="n">
        <v>3</v>
      </c>
      <c r="K38" s="109" t="n"/>
      <c r="L38" s="109" t="n"/>
      <c r="M38" s="110" t="n"/>
      <c r="N38" s="85" t="n">
        <v>0</v>
      </c>
      <c r="O38" s="84" t="inlineStr">
        <is>
          <t>2S4-BE-03</t>
        </is>
      </c>
      <c r="P38" s="84" t="inlineStr">
        <is>
          <t>An order requiring approval holds inventory without contracting it, and releases on rejection</t>
        </is>
      </c>
      <c r="Q38" s="86" t="inlineStr">
        <is>
          <t>Spec §7.2</t>
        </is>
      </c>
      <c r="R38" s="111" t="n"/>
    </row>
    <row r="39" ht="22.35" customHeight="1" s="75">
      <c r="A39" s="104" t="n">
        <v>35</v>
      </c>
      <c r="B39" s="105" t="inlineStr">
        <is>
          <t>2S4-FE-01</t>
        </is>
      </c>
      <c r="C39" s="81" t="n">
        <v>4</v>
      </c>
      <c r="D39" s="82" t="inlineStr">
        <is>
          <t>Sprint 4 · Cart, reservations &amp; orders</t>
        </is>
      </c>
      <c r="E39" s="119" t="inlineStr">
        <is>
          <t>FE</t>
        </is>
      </c>
      <c r="F39" s="120" t="inlineStr">
        <is>
          <t>Code</t>
        </is>
      </c>
      <c r="G39" s="80" t="inlineStr">
        <is>
          <t>Build cart and reservation screens</t>
        </is>
      </c>
      <c r="H39" s="107" t="inlineStr">
        <is>
          <t>Selected inventory, quantities, package summary, price and fees, and the reservation timer where enabled.</t>
        </is>
      </c>
      <c r="I39" s="108" t="inlineStr">
        <is>
          <t>Blocked</t>
        </is>
      </c>
      <c r="J39" s="108" t="n">
        <v>3</v>
      </c>
      <c r="K39" s="109" t="n"/>
      <c r="L39" s="109" t="n"/>
      <c r="M39" s="110" t="n"/>
      <c r="N39" s="81" t="n">
        <v>0</v>
      </c>
      <c r="O39" s="80" t="inlineStr">
        <is>
          <t>2S0-ART-01</t>
        </is>
      </c>
      <c r="P39" s="80" t="inlineStr">
        <is>
          <t>Cart renders live pricing and the reservation countdown</t>
        </is>
      </c>
      <c r="Q39" s="82" t="inlineStr">
        <is>
          <t>Spec §6 P2-08</t>
        </is>
      </c>
      <c r="R39" s="111" t="n"/>
    </row>
    <row r="40" ht="23.85" customHeight="1" s="75">
      <c r="A40" s="112" t="n">
        <v>36</v>
      </c>
      <c r="B40" s="113" t="inlineStr">
        <is>
          <t>2S4-FE-02</t>
        </is>
      </c>
      <c r="C40" s="85" t="n">
        <v>4</v>
      </c>
      <c r="D40" s="86" t="inlineStr">
        <is>
          <t>Sprint 4 · Cart, reservations &amp; orders</t>
        </is>
      </c>
      <c r="E40" s="121" t="inlineStr">
        <is>
          <t>FE</t>
        </is>
      </c>
      <c r="F40" s="122" t="inlineStr">
        <is>
          <t>Code</t>
        </is>
      </c>
      <c r="G40" s="84" t="inlineStr">
        <is>
          <t>Build checkout and contract gate</t>
        </is>
      </c>
      <c r="H40" s="116" t="inlineStr">
        <is>
          <t>Billing details, agreement acceptance, deposit or full payment, and any approval conditions. The highest-stakes screen in Phase 2.</t>
        </is>
      </c>
      <c r="I40" s="108" t="inlineStr">
        <is>
          <t>Blocked</t>
        </is>
      </c>
      <c r="J40" s="108" t="n">
        <v>5</v>
      </c>
      <c r="K40" s="109" t="n"/>
      <c r="L40" s="109" t="n"/>
      <c r="M40" s="110" t="n"/>
      <c r="N40" s="85" t="n">
        <v>0</v>
      </c>
      <c r="O40" s="84" t="inlineStr">
        <is>
          <t>2S4-BE-03</t>
        </is>
      </c>
      <c r="P40" s="84" t="inlineStr">
        <is>
          <t>Sponsor can complete a purchase or reservation through the configured flow</t>
        </is>
      </c>
      <c r="Q40" s="86" t="inlineStr">
        <is>
          <t>Spec §6 P2-09</t>
        </is>
      </c>
      <c r="R40" s="111" t="n"/>
    </row>
    <row r="41" ht="23.85" customHeight="1" s="75">
      <c r="A41" s="104" t="n">
        <v>37</v>
      </c>
      <c r="B41" s="105" t="inlineStr">
        <is>
          <t>2S5-INT-01</t>
        </is>
      </c>
      <c r="C41" s="81" t="n">
        <v>5</v>
      </c>
      <c r="D41" s="82" t="inlineStr">
        <is>
          <t>Sprint 5 · Payments, ledger &amp; payouts</t>
        </is>
      </c>
      <c r="E41" s="138" t="inlineStr">
        <is>
          <t>INT</t>
        </is>
      </c>
      <c r="F41" s="136" t="inlineStr">
        <is>
          <t>Code + console</t>
        </is>
      </c>
      <c r="G41" s="80" t="inlineStr">
        <is>
          <t>Payment provider checkout integration</t>
        </is>
      </c>
      <c r="H41" s="107" t="inlineStr">
        <is>
          <t>Hosted or embedded checkout session creation. Card data never reaches your servers.</t>
        </is>
      </c>
      <c r="I41" s="108" t="inlineStr">
        <is>
          <t>Blocked</t>
        </is>
      </c>
      <c r="J41" s="108" t="n">
        <v>5</v>
      </c>
      <c r="K41" s="109" t="n"/>
      <c r="L41" s="109" t="n"/>
      <c r="M41" s="110" t="n"/>
      <c r="N41" s="81" t="n">
        <v>0</v>
      </c>
      <c r="O41" s="80" t="inlineStr">
        <is>
          <t>2S0-PMO-03</t>
        </is>
      </c>
      <c r="P41" s="80" t="inlineStr">
        <is>
          <t>Sponsor can pay through the provider and the order reflects the result</t>
        </is>
      </c>
      <c r="Q41" s="82" t="inlineStr">
        <is>
          <t>Spec §8</t>
        </is>
      </c>
      <c r="R41" s="111" t="n"/>
    </row>
    <row r="42" ht="35.05" customHeight="1" s="75">
      <c r="A42" s="112" t="n">
        <v>38</v>
      </c>
      <c r="B42" s="113" t="inlineStr">
        <is>
          <t>2S5-INT-02</t>
        </is>
      </c>
      <c r="C42" s="85" t="n">
        <v>5</v>
      </c>
      <c r="D42" s="86" t="inlineStr">
        <is>
          <t>Sprint 5 · Payments, ledger &amp; payouts</t>
        </is>
      </c>
      <c r="E42" s="141" t="inlineStr">
        <is>
          <t>INT</t>
        </is>
      </c>
      <c r="F42" s="122" t="inlineStr">
        <is>
          <t>Code</t>
        </is>
      </c>
      <c r="G42" s="84" t="inlineStr">
        <is>
          <t>Payment webhook handling with idempotency</t>
        </is>
      </c>
      <c r="H42" s="116" t="inlineStr">
        <is>
          <t>Providers retry webhooks and deliver out of order. Every handler must be safe to run twice. This is the single most common source of financial bugs in a marketplace.</t>
        </is>
      </c>
      <c r="I42" s="108" t="inlineStr">
        <is>
          <t>Blocked</t>
        </is>
      </c>
      <c r="J42" s="108" t="n">
        <v>5</v>
      </c>
      <c r="K42" s="109" t="n"/>
      <c r="L42" s="109" t="n"/>
      <c r="M42" s="110" t="n"/>
      <c r="N42" s="85" t="n">
        <v>0</v>
      </c>
      <c r="O42" s="84" t="inlineStr">
        <is>
          <t>2S5-INT-01</t>
        </is>
      </c>
      <c r="P42" s="84" t="inlineStr">
        <is>
          <t>Payment webhooks are idempotent and correctly update order and payment state under duplicate and out-of-order delivery</t>
        </is>
      </c>
      <c r="Q42" s="86" t="inlineStr">
        <is>
          <t>Spec §3, §12</t>
        </is>
      </c>
      <c r="R42" s="111" t="n"/>
    </row>
    <row r="43" ht="32.8" customHeight="1" s="75">
      <c r="A43" s="104" t="n">
        <v>39</v>
      </c>
      <c r="B43" s="105" t="inlineStr">
        <is>
          <t>2S5-INT-03</t>
        </is>
      </c>
      <c r="C43" s="81" t="n">
        <v>5</v>
      </c>
      <c r="D43" s="82" t="inlineStr">
        <is>
          <t>Sprint 5 · Payments, ledger &amp; payouts</t>
        </is>
      </c>
      <c r="E43" s="138" t="inlineStr">
        <is>
          <t>INT</t>
        </is>
      </c>
      <c r="F43" s="136" t="inlineStr">
        <is>
          <t>Code + console</t>
        </is>
      </c>
      <c r="G43" s="80" t="inlineStr">
        <is>
          <t>Connected payout account onboarding</t>
        </is>
      </c>
      <c r="H43" s="107" t="inlineStr">
        <is>
          <t>Properties and athletes onboard with the payment provider to receive funds, through the provider's hosted flow. SponsorX stores status only, never credentials.</t>
        </is>
      </c>
      <c r="I43" s="108" t="inlineStr">
        <is>
          <t>Blocked</t>
        </is>
      </c>
      <c r="J43" s="108" t="n">
        <v>5</v>
      </c>
      <c r="K43" s="109" t="n"/>
      <c r="L43" s="109" t="n"/>
      <c r="M43" s="110" t="n"/>
      <c r="N43" s="81" t="n">
        <v>0</v>
      </c>
      <c r="O43" s="80" t="inlineStr">
        <is>
          <t>2S5-INT-01</t>
        </is>
      </c>
      <c r="P43" s="80" t="inlineStr">
        <is>
          <t>A property can complete payout onboarding and SponsorX reflects its readiness status</t>
        </is>
      </c>
      <c r="Q43" s="82" t="inlineStr">
        <is>
          <t>Spec §8, §9</t>
        </is>
      </c>
      <c r="R43" s="111" t="n"/>
    </row>
    <row r="44" ht="23.85" customHeight="1" s="75">
      <c r="A44" s="112" t="n">
        <v>40</v>
      </c>
      <c r="B44" s="113" t="inlineStr">
        <is>
          <t>2S5-BE-01</t>
        </is>
      </c>
      <c r="C44" s="85" t="n">
        <v>5</v>
      </c>
      <c r="D44" s="86" t="inlineStr">
        <is>
          <t>Sprint 5 · Payments, ledger &amp; payouts</t>
        </is>
      </c>
      <c r="E44" s="137" t="inlineStr">
        <is>
          <t>BE</t>
        </is>
      </c>
      <c r="F44" s="122" t="inlineStr">
        <is>
          <t>Code</t>
        </is>
      </c>
      <c r="G44" s="84" t="inlineStr">
        <is>
          <t>Commission rule engine</t>
        </is>
      </c>
      <c r="H44" s="116" t="inlineStr">
        <is>
          <t>Versioned rules for platform fee, management fee, property and athlete share, referral fee, by scope and priority.</t>
        </is>
      </c>
      <c r="I44" s="108" t="inlineStr">
        <is>
          <t>Blocked</t>
        </is>
      </c>
      <c r="J44" s="108" t="n">
        <v>5</v>
      </c>
      <c r="K44" s="109" t="n"/>
      <c r="L44" s="109" t="n"/>
      <c r="M44" s="110" t="n"/>
      <c r="N44" s="85" t="n">
        <v>0</v>
      </c>
      <c r="O44" s="84" t="inlineStr">
        <is>
          <t>2S0-PMO-02</t>
        </is>
      </c>
      <c r="P44" s="84" t="inlineStr">
        <is>
          <t>Rules apply in priority order; editing a rule never alters a closed payout</t>
        </is>
      </c>
      <c r="Q44" s="86" t="inlineStr">
        <is>
          <t>Spec §7.4, §9</t>
        </is>
      </c>
      <c r="R44" s="111" t="n"/>
    </row>
    <row r="45" ht="23.85" customHeight="1" s="75">
      <c r="A45" s="104" t="n">
        <v>41</v>
      </c>
      <c r="B45" s="105" t="inlineStr">
        <is>
          <t>2S5-BE-02</t>
        </is>
      </c>
      <c r="C45" s="81" t="n">
        <v>5</v>
      </c>
      <c r="D45" s="82" t="inlineStr">
        <is>
          <t>Sprint 5 · Payments, ledger &amp; payouts</t>
        </is>
      </c>
      <c r="E45" s="139" t="inlineStr">
        <is>
          <t>BE</t>
        </is>
      </c>
      <c r="F45" s="120" t="inlineStr">
        <is>
          <t>Code</t>
        </is>
      </c>
      <c r="G45" s="80" t="inlineStr">
        <is>
          <t>Financial subledger</t>
        </is>
      </c>
      <c r="H45" s="107" t="inlineStr">
        <is>
          <t>Every financial movement becomes a ledger entry with debit, credit, type and status. The source of truth for what anyone is owed.</t>
        </is>
      </c>
      <c r="I45" s="108" t="inlineStr">
        <is>
          <t>Blocked</t>
        </is>
      </c>
      <c r="J45" s="108" t="n">
        <v>5</v>
      </c>
      <c r="K45" s="109" t="n"/>
      <c r="L45" s="109" t="n"/>
      <c r="M45" s="110" t="n"/>
      <c r="N45" s="81" t="n">
        <v>0</v>
      </c>
      <c r="O45" s="80" t="inlineStr">
        <is>
          <t>2S5-BE-01</t>
        </is>
      </c>
      <c r="P45" s="80" t="inlineStr">
        <is>
          <t>Property dashboard reconciles booked revenue, ledger balance, paid earnings and pending earnings exactly</t>
        </is>
      </c>
      <c r="Q45" s="82" t="inlineStr">
        <is>
          <t>Spec §7.4, §12</t>
        </is>
      </c>
      <c r="R45" s="111" t="n"/>
    </row>
    <row r="46" ht="23.85" customHeight="1" s="75">
      <c r="A46" s="112" t="n">
        <v>42</v>
      </c>
      <c r="B46" s="113" t="inlineStr">
        <is>
          <t>2S5-BE-03</t>
        </is>
      </c>
      <c r="C46" s="85" t="n">
        <v>5</v>
      </c>
      <c r="D46" s="86" t="inlineStr">
        <is>
          <t>Sprint 5 · Payments, ledger &amp; payouts</t>
        </is>
      </c>
      <c r="E46" s="137" t="inlineStr">
        <is>
          <t>BE</t>
        </is>
      </c>
      <c r="F46" s="122" t="inlineStr">
        <is>
          <t>Code</t>
        </is>
      </c>
      <c r="G46" s="84" t="inlineStr">
        <is>
          <t>Refunds and disputes</t>
        </is>
      </c>
      <c r="H46" s="116" t="inlineStr">
        <is>
          <t>Exceptions have to exist from day one, because they block payouts. An open dispute freezes the associated funds.</t>
        </is>
      </c>
      <c r="I46" s="108" t="inlineStr">
        <is>
          <t>Blocked</t>
        </is>
      </c>
      <c r="J46" s="108" t="n">
        <v>3</v>
      </c>
      <c r="K46" s="109" t="n"/>
      <c r="L46" s="109" t="n"/>
      <c r="M46" s="110" t="n"/>
      <c r="N46" s="85" t="n">
        <v>0</v>
      </c>
      <c r="O46" s="84" t="inlineStr">
        <is>
          <t>2S5-INT-02</t>
        </is>
      </c>
      <c r="P46" s="84" t="inlineStr">
        <is>
          <t>A refund or dispute correctly reverses ledger entries and blocks the related payout</t>
        </is>
      </c>
      <c r="Q46" s="86" t="inlineStr">
        <is>
          <t>Spec §9</t>
        </is>
      </c>
      <c r="R46" s="111" t="n"/>
    </row>
    <row r="47" ht="35.05" customHeight="1" s="75">
      <c r="A47" s="104" t="n">
        <v>43</v>
      </c>
      <c r="B47" s="105" t="inlineStr">
        <is>
          <t>2S5-BE-04</t>
        </is>
      </c>
      <c r="C47" s="81" t="n">
        <v>5</v>
      </c>
      <c r="D47" s="82" t="inlineStr">
        <is>
          <t>Sprint 5 · Payments, ledger &amp; payouts</t>
        </is>
      </c>
      <c r="E47" s="139" t="inlineStr">
        <is>
          <t>BE</t>
        </is>
      </c>
      <c r="F47" s="120" t="inlineStr">
        <is>
          <t>Code</t>
        </is>
      </c>
      <c r="G47" s="80" t="inlineStr">
        <is>
          <t>Payout eligibility and request flow</t>
        </is>
      </c>
      <c r="H47" s="107" t="inlineStr">
        <is>
          <t>Payout depends on payment clearance, deliverable completion, dispute status, provider readiness and the configured holding period. All five, every time.</t>
        </is>
      </c>
      <c r="I47" s="108" t="inlineStr">
        <is>
          <t>Blocked</t>
        </is>
      </c>
      <c r="J47" s="108" t="n">
        <v>5</v>
      </c>
      <c r="K47" s="109" t="n"/>
      <c r="L47" s="109" t="n"/>
      <c r="M47" s="110" t="n"/>
      <c r="N47" s="81" t="n">
        <v>0</v>
      </c>
      <c r="O47" s="80" t="inlineStr">
        <is>
          <t>2S5-BE-02</t>
        </is>
      </c>
      <c r="P47" s="80" t="inlineStr">
        <is>
          <t>Payout cannot be released if payment is unsettled, deliverables are incomplete, onboarding is incomplete, or a dispute is open</t>
        </is>
      </c>
      <c r="Q47" s="82" t="inlineStr">
        <is>
          <t>Spec §7.4, §12</t>
        </is>
      </c>
      <c r="R47" s="111" t="n"/>
    </row>
    <row r="48" ht="23.85" customHeight="1" s="75">
      <c r="A48" s="112" t="n">
        <v>44</v>
      </c>
      <c r="B48" s="113" t="inlineStr">
        <is>
          <t>2S5-BE-05</t>
        </is>
      </c>
      <c r="C48" s="85" t="n">
        <v>5</v>
      </c>
      <c r="D48" s="86" t="inlineStr">
        <is>
          <t>Sprint 5 · Payments, ledger &amp; payouts</t>
        </is>
      </c>
      <c r="E48" s="137" t="inlineStr">
        <is>
          <t>BE</t>
        </is>
      </c>
      <c r="F48" s="122" t="inlineStr">
        <is>
          <t>Code</t>
        </is>
      </c>
      <c r="G48" s="84" t="inlineStr">
        <is>
          <t>Payout approval and execution jobs</t>
        </is>
      </c>
      <c r="H48" s="116" t="inlineStr">
        <is>
          <t>Admin approves, the worker sends funds or marks the payout ready through the provider adapter, and exceptions are surfaced.</t>
        </is>
      </c>
      <c r="I48" s="108" t="inlineStr">
        <is>
          <t>Blocked</t>
        </is>
      </c>
      <c r="J48" s="108" t="n">
        <v>3</v>
      </c>
      <c r="K48" s="109" t="n"/>
      <c r="L48" s="109" t="n"/>
      <c r="M48" s="110" t="n"/>
      <c r="N48" s="85" t="n">
        <v>0</v>
      </c>
      <c r="O48" s="84" t="inlineStr">
        <is>
          <t>2S5-BE-04</t>
        </is>
      </c>
      <c r="P48" s="84" t="inlineStr">
        <is>
          <t>An approved payout executes through the provider and its status is tracked to completion</t>
        </is>
      </c>
      <c r="Q48" s="86" t="inlineStr">
        <is>
          <t>Spec §8</t>
        </is>
      </c>
      <c r="R48" s="111" t="n"/>
    </row>
    <row r="49" ht="23.85" customHeight="1" s="75">
      <c r="A49" s="104" t="n">
        <v>45</v>
      </c>
      <c r="B49" s="105" t="inlineStr">
        <is>
          <t>2S5-FE-01</t>
        </is>
      </c>
      <c r="C49" s="81" t="n">
        <v>5</v>
      </c>
      <c r="D49" s="82" t="inlineStr">
        <is>
          <t>Sprint 5 · Payments, ledger &amp; payouts</t>
        </is>
      </c>
      <c r="E49" s="119" t="inlineStr">
        <is>
          <t>FE</t>
        </is>
      </c>
      <c r="F49" s="120" t="inlineStr">
        <is>
          <t>Code</t>
        </is>
      </c>
      <c r="G49" s="80" t="inlineStr">
        <is>
          <t>Build the commission and revenue-share editor</t>
        </is>
      </c>
      <c r="H49" s="107" t="inlineStr">
        <is>
          <t>Configure split rules by property, athlete, campaign, inventory type or partner.</t>
        </is>
      </c>
      <c r="I49" s="108" t="inlineStr">
        <is>
          <t>Blocked</t>
        </is>
      </c>
      <c r="J49" s="108" t="n">
        <v>5</v>
      </c>
      <c r="K49" s="109" t="n"/>
      <c r="L49" s="109" t="n"/>
      <c r="M49" s="110" t="n"/>
      <c r="N49" s="81" t="n">
        <v>0</v>
      </c>
      <c r="O49" s="80" t="inlineStr">
        <is>
          <t>2S5-BE-01</t>
        </is>
      </c>
      <c r="P49" s="80" t="inlineStr">
        <is>
          <t>Rules can be created, versioned and previewed against a sample order</t>
        </is>
      </c>
      <c r="Q49" s="82" t="inlineStr">
        <is>
          <t>Spec §6 P2-10</t>
        </is>
      </c>
      <c r="R49" s="111" t="n"/>
    </row>
    <row r="50" ht="22.35" customHeight="1" s="75">
      <c r="A50" s="112" t="n">
        <v>46</v>
      </c>
      <c r="B50" s="113" t="inlineStr">
        <is>
          <t>2S5-FE-02</t>
        </is>
      </c>
      <c r="C50" s="85" t="n">
        <v>5</v>
      </c>
      <c r="D50" s="86" t="inlineStr">
        <is>
          <t>Sprint 5 · Payments, ledger &amp; payouts</t>
        </is>
      </c>
      <c r="E50" s="121" t="inlineStr">
        <is>
          <t>FE</t>
        </is>
      </c>
      <c r="F50" s="122" t="inlineStr">
        <is>
          <t>Code</t>
        </is>
      </c>
      <c r="G50" s="84" t="inlineStr">
        <is>
          <t>Build the earnings and payout dashboard</t>
        </is>
      </c>
      <c r="H50" s="116" t="inlineStr">
        <is>
          <t>Gross revenue, fees, available balance, pending balance, payout history and exceptions.</t>
        </is>
      </c>
      <c r="I50" s="108" t="inlineStr">
        <is>
          <t>Blocked</t>
        </is>
      </c>
      <c r="J50" s="108" t="n">
        <v>5</v>
      </c>
      <c r="K50" s="109" t="n"/>
      <c r="L50" s="109" t="n"/>
      <c r="M50" s="110" t="n"/>
      <c r="N50" s="85" t="n">
        <v>0</v>
      </c>
      <c r="O50" s="84" t="inlineStr">
        <is>
          <t>2S5-BE-02</t>
        </is>
      </c>
      <c r="P50" s="84" t="inlineStr">
        <is>
          <t>Dashboard reconciles to the ledger to the cent</t>
        </is>
      </c>
      <c r="Q50" s="86" t="inlineStr">
        <is>
          <t>Spec §6 P2-11</t>
        </is>
      </c>
      <c r="R50" s="111" t="n"/>
    </row>
    <row r="51" ht="23.85" customHeight="1" s="75">
      <c r="A51" s="104" t="n">
        <v>47</v>
      </c>
      <c r="B51" s="105" t="inlineStr">
        <is>
          <t>2S5-SEC-01</t>
        </is>
      </c>
      <c r="C51" s="81" t="n">
        <v>5</v>
      </c>
      <c r="D51" s="82" t="inlineStr">
        <is>
          <t>Sprint 5 · Payments, ledger &amp; payouts</t>
        </is>
      </c>
      <c r="E51" s="140" t="inlineStr">
        <is>
          <t>SEC</t>
        </is>
      </c>
      <c r="F51" s="120" t="inlineStr">
        <is>
          <t>Code</t>
        </is>
      </c>
      <c r="G51" s="80" t="inlineStr">
        <is>
          <t>Financial audit coverage</t>
        </is>
      </c>
      <c r="H51" s="107" t="inlineStr">
        <is>
          <t>Every pricing override, commission edit, payout approval and dispute action writes an immutable audit entry.</t>
        </is>
      </c>
      <c r="I51" s="108" t="inlineStr">
        <is>
          <t>Blocked</t>
        </is>
      </c>
      <c r="J51" s="108" t="n">
        <v>3</v>
      </c>
      <c r="K51" s="109" t="n"/>
      <c r="L51" s="109" t="n"/>
      <c r="M51" s="110" t="n"/>
      <c r="N51" s="81" t="n">
        <v>0</v>
      </c>
      <c r="O51" s="80" t="inlineStr">
        <is>
          <t>2S5-BE-02</t>
        </is>
      </c>
      <c r="P51" s="80" t="inlineStr">
        <is>
          <t>Immutable audit history exists for all financial and admin changes</t>
        </is>
      </c>
      <c r="Q51" s="82" t="inlineStr">
        <is>
          <t>Spec §3, §38</t>
        </is>
      </c>
      <c r="R51" s="111" t="n"/>
    </row>
    <row r="52" ht="22.35" customHeight="1" s="75">
      <c r="A52" s="112" t="n">
        <v>48</v>
      </c>
      <c r="B52" s="113" t="inlineStr">
        <is>
          <t>2S6-INT-01</t>
        </is>
      </c>
      <c r="C52" s="85" t="n">
        <v>6</v>
      </c>
      <c r="D52" s="86" t="inlineStr">
        <is>
          <t>Sprint 6 · Wallet rewards &amp; notifications</t>
        </is>
      </c>
      <c r="E52" s="141" t="inlineStr">
        <is>
          <t>INT</t>
        </is>
      </c>
      <c r="F52" s="124" t="inlineStr">
        <is>
          <t>Code + console</t>
        </is>
      </c>
      <c r="G52" s="84" t="inlineStr">
        <is>
          <t>Apple Wallet pass adapter</t>
        </is>
      </c>
      <c r="H52" s="116" t="inlineStr">
        <is>
          <t>Issue, update and expire offer passes. Behind an adapter interface so Google Wallet is a second implementation, not a rewrite.</t>
        </is>
      </c>
      <c r="I52" s="108" t="inlineStr">
        <is>
          <t>Blocked</t>
        </is>
      </c>
      <c r="J52" s="108" t="n">
        <v>5</v>
      </c>
      <c r="K52" s="109" t="n"/>
      <c r="L52" s="109" t="n"/>
      <c r="M52" s="110" t="n"/>
      <c r="N52" s="85" t="n">
        <v>0</v>
      </c>
      <c r="O52" s="84" t="inlineStr">
        <is>
          <t>2S5-INT-01</t>
        </is>
      </c>
      <c r="P52" s="84" t="inlineStr">
        <is>
          <t>A wallet pass can be issued and updated from SponsorX</t>
        </is>
      </c>
      <c r="Q52" s="86" t="inlineStr">
        <is>
          <t>Spec §6 P2-12</t>
        </is>
      </c>
      <c r="R52" s="111" t="n"/>
    </row>
    <row r="53" ht="23.85" customHeight="1" s="75">
      <c r="A53" s="104" t="n">
        <v>49</v>
      </c>
      <c r="B53" s="105" t="inlineStr">
        <is>
          <t>2S6-INT-02</t>
        </is>
      </c>
      <c r="C53" s="81" t="n">
        <v>6</v>
      </c>
      <c r="D53" s="82" t="inlineStr">
        <is>
          <t>Sprint 6 · Wallet rewards &amp; notifications</t>
        </is>
      </c>
      <c r="E53" s="138" t="inlineStr">
        <is>
          <t>INT</t>
        </is>
      </c>
      <c r="F53" s="136" t="inlineStr">
        <is>
          <t>Code + console</t>
        </is>
      </c>
      <c r="G53" s="80" t="inlineStr">
        <is>
          <t>Google Wallet pass adapter</t>
        </is>
      </c>
      <c r="H53" s="107" t="inlineStr">
        <is>
          <t>The second implementation of the same interface.</t>
        </is>
      </c>
      <c r="I53" s="108" t="inlineStr">
        <is>
          <t>Blocked</t>
        </is>
      </c>
      <c r="J53" s="108" t="n">
        <v>3</v>
      </c>
      <c r="K53" s="109" t="n"/>
      <c r="L53" s="109" t="n"/>
      <c r="M53" s="110" t="n"/>
      <c r="N53" s="81" t="n">
        <v>0</v>
      </c>
      <c r="O53" s="80" t="inlineStr">
        <is>
          <t>2S6-INT-01</t>
        </is>
      </c>
      <c r="P53" s="80" t="inlineStr">
        <is>
          <t>Google Wallet passes issue and update through the same adapter interface</t>
        </is>
      </c>
      <c r="Q53" s="82" t="inlineStr">
        <is>
          <t>Spec §10</t>
        </is>
      </c>
      <c r="R53" s="111" t="n"/>
    </row>
    <row r="54" ht="22.35" customHeight="1" s="75">
      <c r="A54" s="112" t="n">
        <v>50</v>
      </c>
      <c r="B54" s="113" t="inlineStr">
        <is>
          <t>2S6-BE-01</t>
        </is>
      </c>
      <c r="C54" s="85" t="n">
        <v>6</v>
      </c>
      <c r="D54" s="86" t="inlineStr">
        <is>
          <t>Sprint 6 · Wallet rewards &amp; notifications</t>
        </is>
      </c>
      <c r="E54" s="137" t="inlineStr">
        <is>
          <t>BE</t>
        </is>
      </c>
      <c r="F54" s="122" t="inlineStr">
        <is>
          <t>Code</t>
        </is>
      </c>
      <c r="G54" s="84" t="inlineStr">
        <is>
          <t>Wallet pass lifecycle and device registrations</t>
        </is>
      </c>
      <c r="H54" s="116" t="inlineStr">
        <is>
          <t>Track provider template, device registrations and last update so a pass can be revoked or changed after a fan has installed it.</t>
        </is>
      </c>
      <c r="I54" s="108" t="inlineStr">
        <is>
          <t>Blocked</t>
        </is>
      </c>
      <c r="J54" s="108" t="n">
        <v>3</v>
      </c>
      <c r="K54" s="109" t="n"/>
      <c r="L54" s="109" t="n"/>
      <c r="M54" s="110" t="n"/>
      <c r="N54" s="85" t="n">
        <v>0</v>
      </c>
      <c r="O54" s="84" t="inlineStr">
        <is>
          <t>2S6-INT-01</t>
        </is>
      </c>
      <c r="P54" s="84" t="inlineStr">
        <is>
          <t>Pass state changes propagate to installed passes</t>
        </is>
      </c>
      <c r="Q54" s="86" t="inlineStr">
        <is>
          <t>Spec §9</t>
        </is>
      </c>
      <c r="R54" s="111" t="n"/>
    </row>
    <row r="55" ht="23.85" customHeight="1" s="75">
      <c r="A55" s="104" t="n">
        <v>51</v>
      </c>
      <c r="B55" s="105" t="inlineStr">
        <is>
          <t>2S6-BE-02</t>
        </is>
      </c>
      <c r="C55" s="81" t="n">
        <v>6</v>
      </c>
      <c r="D55" s="82" t="inlineStr">
        <is>
          <t>Sprint 6 · Wallet rewards &amp; notifications</t>
        </is>
      </c>
      <c r="E55" s="139" t="inlineStr">
        <is>
          <t>BE</t>
        </is>
      </c>
      <c r="F55" s="120" t="inlineStr">
        <is>
          <t>Code</t>
        </is>
      </c>
      <c r="G55" s="80" t="inlineStr">
        <is>
          <t>Notification preferences</t>
        </is>
      </c>
      <c r="H55" s="107" t="inlineStr">
        <is>
          <t>Users choose which events reach them and on which channel. Marketplace volume makes this necessary rather than nice to have.</t>
        </is>
      </c>
      <c r="I55" s="108" t="inlineStr">
        <is>
          <t>Blocked</t>
        </is>
      </c>
      <c r="J55" s="108" t="n">
        <v>3</v>
      </c>
      <c r="K55" s="109" t="n"/>
      <c r="L55" s="109" t="n"/>
      <c r="M55" s="110" t="n"/>
      <c r="N55" s="81" t="n">
        <v>0</v>
      </c>
      <c r="O55" s="80" t="inlineStr">
        <is>
          <t>2S1-INT-01</t>
        </is>
      </c>
      <c r="P55" s="80" t="inlineStr">
        <is>
          <t>A user can mute a channel per event type and the worker honours it</t>
        </is>
      </c>
      <c r="Q55" s="82" t="inlineStr">
        <is>
          <t>Spec §9</t>
        </is>
      </c>
      <c r="R55" s="111" t="n"/>
    </row>
    <row r="56" ht="15" customHeight="1" s="75">
      <c r="A56" s="112" t="n">
        <v>52</v>
      </c>
      <c r="B56" s="113" t="inlineStr">
        <is>
          <t>2S6-FE-01</t>
        </is>
      </c>
      <c r="C56" s="85" t="n">
        <v>6</v>
      </c>
      <c r="D56" s="86" t="inlineStr">
        <is>
          <t>Sprint 6 · Wallet rewards &amp; notifications</t>
        </is>
      </c>
      <c r="E56" s="121" t="inlineStr">
        <is>
          <t>FE</t>
        </is>
      </c>
      <c r="F56" s="122" t="inlineStr">
        <is>
          <t>Code</t>
        </is>
      </c>
      <c r="G56" s="84" t="inlineStr">
        <is>
          <t>Build the wallet reward manager</t>
        </is>
      </c>
      <c r="H56" s="116" t="inlineStr">
        <is>
          <t>Issue, update and deactivate passes; claim links; provider status.</t>
        </is>
      </c>
      <c r="I56" s="108" t="inlineStr">
        <is>
          <t>Blocked</t>
        </is>
      </c>
      <c r="J56" s="108" t="n">
        <v>3</v>
      </c>
      <c r="K56" s="109" t="n"/>
      <c r="L56" s="109" t="n"/>
      <c r="M56" s="110" t="n"/>
      <c r="N56" s="85" t="n">
        <v>0</v>
      </c>
      <c r="O56" s="84" t="inlineStr">
        <is>
          <t>2S6-BE-01</t>
        </is>
      </c>
      <c r="P56" s="84" t="inlineStr">
        <is>
          <t>Staff can manage the full pass lifecycle from the console</t>
        </is>
      </c>
      <c r="Q56" s="86" t="inlineStr">
        <is>
          <t>Spec §6 P2-12</t>
        </is>
      </c>
      <c r="R56" s="111" t="n"/>
    </row>
    <row r="57" ht="23.85" customHeight="1" s="75">
      <c r="A57" s="104" t="n">
        <v>53</v>
      </c>
      <c r="B57" s="105" t="inlineStr">
        <is>
          <t>2S7-DATA-01</t>
        </is>
      </c>
      <c r="C57" s="81" t="n">
        <v>7</v>
      </c>
      <c r="D57" s="82" t="inlineStr">
        <is>
          <t>Sprint 7 · Analytics &amp; governance</t>
        </is>
      </c>
      <c r="E57" s="143" t="inlineStr">
        <is>
          <t>DATA</t>
        </is>
      </c>
      <c r="F57" s="120" t="inlineStr">
        <is>
          <t>Code</t>
        </is>
      </c>
      <c r="G57" s="80" t="inlineStr">
        <is>
          <t>Property analytics aggregates</t>
        </is>
      </c>
      <c r="H57" s="107" t="inlineStr">
        <is>
          <t>Per-property revenue, sell-through, average CPM, campaign completion, sponsor mix and payout trends.</t>
        </is>
      </c>
      <c r="I57" s="108" t="inlineStr">
        <is>
          <t>Blocked</t>
        </is>
      </c>
      <c r="J57" s="108" t="n">
        <v>5</v>
      </c>
      <c r="K57" s="109" t="n"/>
      <c r="L57" s="109" t="n"/>
      <c r="M57" s="110" t="n"/>
      <c r="N57" s="81" t="n">
        <v>0</v>
      </c>
      <c r="O57" s="80" t="inlineStr">
        <is>
          <t>2S5-BE-02</t>
        </is>
      </c>
      <c r="P57" s="80" t="inlineStr">
        <is>
          <t>Property analytics reconcile to the ledger and campaign records</t>
        </is>
      </c>
      <c r="Q57" s="82" t="inlineStr">
        <is>
          <t>Spec §6 P2-13</t>
        </is>
      </c>
      <c r="R57" s="111" t="n"/>
    </row>
    <row r="58" ht="22.35" customHeight="1" s="75">
      <c r="A58" s="112" t="n">
        <v>54</v>
      </c>
      <c r="B58" s="113" t="inlineStr">
        <is>
          <t>2S7-FE-01</t>
        </is>
      </c>
      <c r="C58" s="85" t="n">
        <v>7</v>
      </c>
      <c r="D58" s="86" t="inlineStr">
        <is>
          <t>Sprint 7 · Analytics &amp; governance</t>
        </is>
      </c>
      <c r="E58" s="121" t="inlineStr">
        <is>
          <t>FE</t>
        </is>
      </c>
      <c r="F58" s="122" t="inlineStr">
        <is>
          <t>Code</t>
        </is>
      </c>
      <c r="G58" s="84" t="inlineStr">
        <is>
          <t>Build the property analytics dashboard</t>
        </is>
      </c>
      <c r="H58" s="116" t="inlineStr">
        <is>
          <t>The external property's view of how their inventory is performing commercially.</t>
        </is>
      </c>
      <c r="I58" s="108" t="inlineStr">
        <is>
          <t>Blocked</t>
        </is>
      </c>
      <c r="J58" s="108" t="n">
        <v>5</v>
      </c>
      <c r="K58" s="109" t="n"/>
      <c r="L58" s="109" t="n"/>
      <c r="M58" s="110" t="n"/>
      <c r="N58" s="85" t="n">
        <v>0</v>
      </c>
      <c r="O58" s="84" t="inlineStr">
        <is>
          <t>2S7-DATA-01</t>
        </is>
      </c>
      <c r="P58" s="84" t="inlineStr">
        <is>
          <t>Dashboard renders live per-property analytics</t>
        </is>
      </c>
      <c r="Q58" s="86" t="inlineStr">
        <is>
          <t>Spec §6 P2-13</t>
        </is>
      </c>
      <c r="R58" s="111" t="n"/>
    </row>
    <row r="59" ht="23.85" customHeight="1" s="75">
      <c r="A59" s="104" t="n">
        <v>55</v>
      </c>
      <c r="B59" s="105" t="inlineStr">
        <is>
          <t>2S7-FE-02</t>
        </is>
      </c>
      <c r="C59" s="81" t="n">
        <v>7</v>
      </c>
      <c r="D59" s="82" t="inlineStr">
        <is>
          <t>Sprint 7 · Analytics &amp; governance</t>
        </is>
      </c>
      <c r="E59" s="119" t="inlineStr">
        <is>
          <t>FE</t>
        </is>
      </c>
      <c r="F59" s="120" t="inlineStr">
        <is>
          <t>Code</t>
        </is>
      </c>
      <c r="G59" s="80" t="inlineStr">
        <is>
          <t>Build the marketplace operations console</t>
        </is>
      </c>
      <c r="H59" s="107" t="inlineStr">
        <is>
          <t>Moderation queue, disputes, failed payments, payout exceptions and listings needing review. The screen BTG staff live in.</t>
        </is>
      </c>
      <c r="I59" s="108" t="inlineStr">
        <is>
          <t>Blocked</t>
        </is>
      </c>
      <c r="J59" s="108" t="n">
        <v>5</v>
      </c>
      <c r="K59" s="109" t="n"/>
      <c r="L59" s="109" t="n"/>
      <c r="M59" s="110" t="n"/>
      <c r="N59" s="81" t="n">
        <v>0</v>
      </c>
      <c r="O59" s="80" t="inlineStr">
        <is>
          <t>2S3-BE-01</t>
        </is>
      </c>
      <c r="P59" s="80" t="inlineStr">
        <is>
          <t>Every exception type surfaces in the console and can be actioned</t>
        </is>
      </c>
      <c r="Q59" s="82" t="inlineStr">
        <is>
          <t>Spec §6 P2-14</t>
        </is>
      </c>
      <c r="R59" s="111" t="n"/>
    </row>
    <row r="60" ht="23.85" customHeight="1" s="75">
      <c r="A60" s="112" t="n">
        <v>56</v>
      </c>
      <c r="B60" s="113" t="inlineStr">
        <is>
          <t>2S7-INT-01</t>
        </is>
      </c>
      <c r="C60" s="85" t="n">
        <v>7</v>
      </c>
      <c r="D60" s="86" t="inlineStr">
        <is>
          <t>Sprint 7 · Analytics &amp; governance</t>
        </is>
      </c>
      <c r="E60" s="141" t="inlineStr">
        <is>
          <t>INT</t>
        </is>
      </c>
      <c r="F60" s="122" t="inlineStr">
        <is>
          <t>Code</t>
        </is>
      </c>
      <c r="G60" s="84" t="inlineStr">
        <is>
          <t>Expand Zoho sync for marketplace orders</t>
        </is>
      </c>
      <c r="H60" s="116" t="inlineStr">
        <is>
          <t>External property accounts, marketplace orders, deal stages, invoice and payment references, and renewals now flow to Zoho too.</t>
        </is>
      </c>
      <c r="I60" s="108" t="inlineStr">
        <is>
          <t>Blocked</t>
        </is>
      </c>
      <c r="J60" s="108" t="n">
        <v>5</v>
      </c>
      <c r="K60" s="109" t="n"/>
      <c r="L60" s="109" t="n"/>
      <c r="M60" s="110" t="n"/>
      <c r="N60" s="85" t="n">
        <v>0</v>
      </c>
      <c r="O60" s="84" t="inlineStr">
        <is>
          <t>2S4-BE-03</t>
        </is>
      </c>
      <c r="P60" s="84" t="inlineStr">
        <is>
          <t>Zoho contains linked Account, Contact and Deal data for external marketplace transactions</t>
        </is>
      </c>
      <c r="Q60" s="86" t="inlineStr">
        <is>
          <t>Spec §10, §12</t>
        </is>
      </c>
      <c r="R60" s="111" t="n"/>
    </row>
    <row r="61" ht="23.85" customHeight="1" s="75">
      <c r="A61" s="104" t="n">
        <v>57</v>
      </c>
      <c r="B61" s="105" t="inlineStr">
        <is>
          <t>2S7-BE-01</t>
        </is>
      </c>
      <c r="C61" s="81" t="n">
        <v>7</v>
      </c>
      <c r="D61" s="82" t="inlineStr">
        <is>
          <t>Sprint 7 · Analytics &amp; governance</t>
        </is>
      </c>
      <c r="E61" s="139" t="inlineStr">
        <is>
          <t>BE</t>
        </is>
      </c>
      <c r="F61" s="120" t="inlineStr">
        <is>
          <t>Code</t>
        </is>
      </c>
      <c r="G61" s="80" t="inlineStr">
        <is>
          <t>White-label tenant branding</t>
        </is>
      </c>
      <c r="H61" s="107" t="inlineStr">
        <is>
          <t>Tenant logo, colours and report branding, plus readiness for custom subdomain mapping.</t>
        </is>
      </c>
      <c r="I61" s="108" t="inlineStr">
        <is>
          <t>Blocked</t>
        </is>
      </c>
      <c r="J61" s="108" t="n">
        <v>3</v>
      </c>
      <c r="K61" s="109" t="n"/>
      <c r="L61" s="109" t="n"/>
      <c r="M61" s="110" t="n"/>
      <c r="N61" s="81" t="n">
        <v>0</v>
      </c>
      <c r="O61" s="80" t="inlineStr">
        <is>
          <t>2S1-BE-04</t>
        </is>
      </c>
      <c r="P61" s="80" t="inlineStr">
        <is>
          <t>A tenant's branding renders in their portal and on their reports</t>
        </is>
      </c>
      <c r="Q61" s="82" t="inlineStr">
        <is>
          <t>Spec §9</t>
        </is>
      </c>
      <c r="R61" s="111" t="n"/>
    </row>
    <row r="62" ht="22.35" customHeight="1" s="75">
      <c r="A62" s="112" t="n">
        <v>58</v>
      </c>
      <c r="B62" s="113" t="inlineStr">
        <is>
          <t>2S8-QA-01</t>
        </is>
      </c>
      <c r="C62" s="85" t="n">
        <v>8</v>
      </c>
      <c r="D62" s="86" t="inlineStr">
        <is>
          <t>Sprint 8 · QA, security &amp; rollout</t>
        </is>
      </c>
      <c r="E62" s="134" t="inlineStr">
        <is>
          <t>QA</t>
        </is>
      </c>
      <c r="F62" s="122" t="inlineStr">
        <is>
          <t>Code</t>
        </is>
      </c>
      <c r="G62" s="84" t="inlineStr">
        <is>
          <t>End-to-end marketplace test suite</t>
        </is>
      </c>
      <c r="H62" s="116" t="inlineStr">
        <is>
          <t>Onboarding through listing, purchase, fulfilment, earnings and payout, as one automated run.</t>
        </is>
      </c>
      <c r="I62" s="108" t="inlineStr">
        <is>
          <t>Blocked</t>
        </is>
      </c>
      <c r="J62" s="108" t="n">
        <v>5</v>
      </c>
      <c r="K62" s="109" t="n"/>
      <c r="L62" s="109" t="n"/>
      <c r="M62" s="110" t="n"/>
      <c r="N62" s="85" t="n">
        <v>0</v>
      </c>
      <c r="O62" s="84" t="inlineStr">
        <is>
          <t>2S4-FE-02</t>
        </is>
      </c>
      <c r="P62" s="84" t="inlineStr">
        <is>
          <t>The full marketplace path runs green in CI</t>
        </is>
      </c>
      <c r="Q62" s="86" t="inlineStr">
        <is>
          <t>Spec §11</t>
        </is>
      </c>
      <c r="R62" s="111" t="n"/>
    </row>
    <row r="63" ht="23.85" customHeight="1" s="75">
      <c r="A63" s="104" t="n">
        <v>59</v>
      </c>
      <c r="B63" s="105" t="inlineStr">
        <is>
          <t>2S8-QA-02</t>
        </is>
      </c>
      <c r="C63" s="81" t="n">
        <v>8</v>
      </c>
      <c r="D63" s="82" t="inlineStr">
        <is>
          <t>Sprint 8 · QA, security &amp; rollout</t>
        </is>
      </c>
      <c r="E63" s="135" t="inlineStr">
        <is>
          <t>QA</t>
        </is>
      </c>
      <c r="F63" s="120" t="inlineStr">
        <is>
          <t>Code</t>
        </is>
      </c>
      <c r="G63" s="80" t="inlineStr">
        <is>
          <t>Payment and reward failure testing</t>
        </is>
      </c>
      <c r="H63" s="107" t="inlineStr">
        <is>
          <t>Deliberately break things: duplicate webhooks, out-of-order delivery, declined cards, expired reservations, failed payouts, wallet provider outages.</t>
        </is>
      </c>
      <c r="I63" s="108" t="inlineStr">
        <is>
          <t>Blocked</t>
        </is>
      </c>
      <c r="J63" s="108" t="n">
        <v>5</v>
      </c>
      <c r="K63" s="109" t="n"/>
      <c r="L63" s="109" t="n"/>
      <c r="M63" s="110" t="n"/>
      <c r="N63" s="81" t="n">
        <v>0</v>
      </c>
      <c r="O63" s="80" t="inlineStr">
        <is>
          <t>2S5-INT-02</t>
        </is>
      </c>
      <c r="P63" s="80" t="inlineStr">
        <is>
          <t>Every failure mode is handled without financial inconsistency</t>
        </is>
      </c>
      <c r="Q63" s="82" t="inlineStr">
        <is>
          <t>Spec §11, §38</t>
        </is>
      </c>
      <c r="R63" s="111" t="n"/>
    </row>
    <row r="64" ht="23.85" customHeight="1" s="75">
      <c r="A64" s="112" t="n">
        <v>60</v>
      </c>
      <c r="B64" s="113" t="inlineStr">
        <is>
          <t>2S8-QA-03</t>
        </is>
      </c>
      <c r="C64" s="85" t="n">
        <v>8</v>
      </c>
      <c r="D64" s="86" t="inlineStr">
        <is>
          <t>Sprint 8 · QA, security &amp; rollout</t>
        </is>
      </c>
      <c r="E64" s="134" t="inlineStr">
        <is>
          <t>QA</t>
        </is>
      </c>
      <c r="F64" s="122" t="inlineStr">
        <is>
          <t>Code</t>
        </is>
      </c>
      <c r="G64" s="84" t="inlineStr">
        <is>
          <t>Financial reconciliation testing</t>
        </is>
      </c>
      <c r="H64" s="116" t="inlineStr">
        <is>
          <t>Prove the ledger balances against orders, payments and payouts across a full campaign cycle.</t>
        </is>
      </c>
      <c r="I64" s="108" t="inlineStr">
        <is>
          <t>Blocked</t>
        </is>
      </c>
      <c r="J64" s="108" t="n">
        <v>5</v>
      </c>
      <c r="K64" s="109" t="n"/>
      <c r="L64" s="109" t="n"/>
      <c r="M64" s="110" t="n"/>
      <c r="N64" s="85" t="n">
        <v>0</v>
      </c>
      <c r="O64" s="84" t="inlineStr">
        <is>
          <t>2S5-BE-02</t>
        </is>
      </c>
      <c r="P64" s="84" t="inlineStr">
        <is>
          <t>Reconciliation passes within defined tolerance across a seeded full-cycle dataset</t>
        </is>
      </c>
      <c r="Q64" s="86" t="inlineStr">
        <is>
          <t>Spec §38</t>
        </is>
      </c>
      <c r="R64" s="111" t="n"/>
    </row>
    <row r="65" ht="23.85" customHeight="1" s="75">
      <c r="A65" s="104" t="n">
        <v>61</v>
      </c>
      <c r="B65" s="105" t="inlineStr">
        <is>
          <t>2S8-SEC-01</t>
        </is>
      </c>
      <c r="C65" s="81" t="n">
        <v>8</v>
      </c>
      <c r="D65" s="82" t="inlineStr">
        <is>
          <t>Sprint 8 · QA, security &amp; rollout</t>
        </is>
      </c>
      <c r="E65" s="140" t="inlineStr">
        <is>
          <t>SEC</t>
        </is>
      </c>
      <c r="F65" s="120" t="inlineStr">
        <is>
          <t>Code</t>
        </is>
      </c>
      <c r="G65" s="80" t="inlineStr">
        <is>
          <t>Cross-tenant isolation tests for external parties</t>
        </is>
      </c>
      <c r="H65" s="107" t="inlineStr">
        <is>
          <t>Phase 1 tested BTG's own roles. Phase 2 has outside organisations, which is a different threat model.</t>
        </is>
      </c>
      <c r="I65" s="108" t="inlineStr">
        <is>
          <t>Blocked</t>
        </is>
      </c>
      <c r="J65" s="108" t="n">
        <v>5</v>
      </c>
      <c r="K65" s="109" t="n"/>
      <c r="L65" s="109" t="n"/>
      <c r="M65" s="110" t="n"/>
      <c r="N65" s="81" t="n">
        <v>0</v>
      </c>
      <c r="O65" s="80" t="inlineStr">
        <is>
          <t>2S1-BE-04</t>
        </is>
      </c>
      <c r="P65" s="80" t="inlineStr">
        <is>
          <t>Cross-tenant data access tests pass for sponsor, athlete/property and admin roles</t>
        </is>
      </c>
      <c r="Q65" s="82" t="inlineStr">
        <is>
          <t>Spec §12</t>
        </is>
      </c>
      <c r="R65" s="111" t="n"/>
    </row>
    <row r="66" ht="23.85" customHeight="1" s="75">
      <c r="A66" s="112" t="n">
        <v>62</v>
      </c>
      <c r="B66" s="113" t="inlineStr">
        <is>
          <t>2S8-SEC-02</t>
        </is>
      </c>
      <c r="C66" s="85" t="n">
        <v>8</v>
      </c>
      <c r="D66" s="86" t="inlineStr">
        <is>
          <t>Sprint 8 · QA, security &amp; rollout</t>
        </is>
      </c>
      <c r="E66" s="142" t="inlineStr">
        <is>
          <t>SEC</t>
        </is>
      </c>
      <c r="F66" s="122" t="inlineStr">
        <is>
          <t>Code</t>
        </is>
      </c>
      <c r="G66" s="84" t="inlineStr">
        <is>
          <t>OWASP review and dependency scanning</t>
        </is>
      </c>
      <c r="H66" s="116" t="inlineStr">
        <is>
          <t>External users, money movement and file uploads all raise the stakes.</t>
        </is>
      </c>
      <c r="I66" s="108" t="inlineStr">
        <is>
          <t>Blocked</t>
        </is>
      </c>
      <c r="J66" s="108" t="n">
        <v>3</v>
      </c>
      <c r="K66" s="109" t="n"/>
      <c r="L66" s="109" t="n"/>
      <c r="M66" s="110" t="n"/>
      <c r="N66" s="85" t="n">
        <v>0</v>
      </c>
      <c r="O66" s="84" t="inlineStr">
        <is>
          <t>2S8-QA-01</t>
        </is>
      </c>
      <c r="P66" s="84" t="inlineStr">
        <is>
          <t>OWASP testing complete, dependency scan clean, secrets rotation in place</t>
        </is>
      </c>
      <c r="Q66" s="86" t="inlineStr">
        <is>
          <t>Spec §38</t>
        </is>
      </c>
      <c r="R66" s="111" t="n"/>
    </row>
    <row r="67" ht="23.85" customHeight="1" s="75">
      <c r="A67" s="104" t="n">
        <v>63</v>
      </c>
      <c r="B67" s="105" t="inlineStr">
        <is>
          <t>2S8-OPS-01</t>
        </is>
      </c>
      <c r="C67" s="81" t="n">
        <v>8</v>
      </c>
      <c r="D67" s="82" t="inlineStr">
        <is>
          <t>Sprint 8 · QA, security &amp; rollout</t>
        </is>
      </c>
      <c r="E67" s="132" t="inlineStr">
        <is>
          <t>OPS</t>
        </is>
      </c>
      <c r="F67" s="136" t="inlineStr">
        <is>
          <t>Vendor console</t>
        </is>
      </c>
      <c r="G67" s="80" t="inlineStr">
        <is>
          <t>Production readiness and restore test</t>
        </is>
      </c>
      <c r="H67" s="107" t="inlineStr">
        <is>
          <t>Verify backups by restoring, test alerts, exercise rollback, confirm RPO/RTO targets are actually met.</t>
        </is>
      </c>
      <c r="I67" s="108" t="inlineStr">
        <is>
          <t>Blocked</t>
        </is>
      </c>
      <c r="J67" s="108" t="n">
        <v>3</v>
      </c>
      <c r="K67" s="109" t="n"/>
      <c r="L67" s="109" t="n"/>
      <c r="M67" s="110" t="n"/>
      <c r="N67" s="81" t="n">
        <v>0</v>
      </c>
      <c r="O67" s="80" t="inlineStr">
        <is>
          <t>2S0-OPS-01</t>
        </is>
      </c>
      <c r="P67" s="80" t="inlineStr">
        <is>
          <t>Documented restore test passes and meets the agreed RPO/RTO</t>
        </is>
      </c>
      <c r="Q67" s="82" t="inlineStr">
        <is>
          <t>Spec §38</t>
        </is>
      </c>
      <c r="R67" s="111" t="n"/>
    </row>
    <row r="68" ht="23.85" customHeight="1" s="75">
      <c r="A68" s="112" t="n">
        <v>64</v>
      </c>
      <c r="B68" s="113" t="inlineStr">
        <is>
          <t>2S8-PMO-01</t>
        </is>
      </c>
      <c r="C68" s="85" t="n">
        <v>8</v>
      </c>
      <c r="D68" s="86" t="inlineStr">
        <is>
          <t>Sprint 8 · QA, security &amp; rollout</t>
        </is>
      </c>
      <c r="E68" s="112" t="inlineStr">
        <is>
          <t>PMO</t>
        </is>
      </c>
      <c r="F68" s="130" t="inlineStr">
        <is>
          <t>Document</t>
        </is>
      </c>
      <c r="G68" s="84" t="inlineStr">
        <is>
          <t>Phase 2 UAT and production rollout</t>
        </is>
      </c>
      <c r="H68" s="116" t="inlineStr">
        <is>
          <t>Real external properties onboard on staging, transact, and get paid, before anything goes live.</t>
        </is>
      </c>
      <c r="I68" s="108" t="inlineStr">
        <is>
          <t>Blocked</t>
        </is>
      </c>
      <c r="J68" s="108" t="n">
        <v>5</v>
      </c>
      <c r="K68" s="109" t="n"/>
      <c r="L68" s="109" t="n"/>
      <c r="M68" s="110" t="n"/>
      <c r="N68" s="85" t="n">
        <v>0</v>
      </c>
      <c r="O68" s="84" t="inlineStr">
        <is>
          <t>2S8-QA-01</t>
        </is>
      </c>
      <c r="P68" s="84" t="inlineStr">
        <is>
          <t>All 14 Phase 2 acceptance criteria demonstrated and signed off</t>
        </is>
      </c>
      <c r="Q68" s="86" t="inlineStr">
        <is>
          <t>Spec §12</t>
        </is>
      </c>
      <c r="R68" s="111" t="n"/>
    </row>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12" t="n">
        <v>6</v>
      </c>
      <c r="B10" s="113" t="inlineStr">
        <is>
          <t>3S0-LEG-01</t>
        </is>
      </c>
      <c r="C10" s="85" t="n">
        <v>0</v>
      </c>
      <c r="D10" s="86" t="inlineStr">
        <is>
          <t>Sprint 0 · Analytics architecture</t>
        </is>
      </c>
      <c r="E10" s="127" t="inlineStr">
        <is>
          <t>LEG</t>
        </is>
      </c>
      <c r="F10" s="128" t="inlineStr">
        <is>
          <t>External · counsel</t>
        </is>
      </c>
      <c r="G10" s="84" t="inlineStr">
        <is>
          <t>Attribution, consent and partner terms review</t>
        </is>
      </c>
      <c r="H10" s="116" t="inlineStr">
        <is>
          <t>Counsel reviews the attribution claims, the consent basis for using fan data this way, and what partner contracts actually permit.</t>
        </is>
      </c>
      <c r="I10" s="108" t="inlineStr">
        <is>
          <t>Blocked</t>
        </is>
      </c>
      <c r="J10" s="108" t="n">
        <v>3</v>
      </c>
      <c r="K10" s="109" t="n"/>
      <c r="L10" s="109" t="n"/>
      <c r="M10" s="110" t="n"/>
      <c r="N10" s="85" t="n">
        <v>0</v>
      </c>
      <c r="O10" s="84" t="inlineStr">
        <is>
          <t>3S0-PMO-01</t>
        </is>
      </c>
      <c r="P10" s="84" t="inlineStr">
        <is>
          <t>Written approval of attribution claims, consent basis and sponsor-facing reporting language</t>
        </is>
      </c>
      <c r="Q10" s="86" t="inlineStr">
        <is>
          <t>Spec §23</t>
        </is>
      </c>
      <c r="R10" s="111" t="n"/>
    </row>
    <row r="11" ht="22.35" customHeight="1" s="75">
      <c r="A11" s="104" t="n">
        <v>7</v>
      </c>
      <c r="B11" s="105" t="inlineStr">
        <is>
          <t>3S1-DATA-01</t>
        </is>
      </c>
      <c r="C11" s="81" t="n">
        <v>1</v>
      </c>
      <c r="D11" s="82" t="inlineStr">
        <is>
          <t>Sprint 1 · Warehouse &amp; benchmarks</t>
        </is>
      </c>
      <c r="E11" s="143" t="inlineStr">
        <is>
          <t>DATA</t>
        </is>
      </c>
      <c r="F11" s="120" t="inlineStr">
        <is>
          <t>Code</t>
        </is>
      </c>
      <c r="G11" s="80" t="inlineStr">
        <is>
          <t>Warehouse ingestion pipeline</t>
        </is>
      </c>
      <c r="H11" s="107" t="inlineStr">
        <is>
          <t>Move transactional data into the warehouse on a schedule, idempotently, so a re-run never double-counts.</t>
        </is>
      </c>
      <c r="I11" s="108" t="inlineStr">
        <is>
          <t>Blocked</t>
        </is>
      </c>
      <c r="J11" s="108" t="n">
        <v>5</v>
      </c>
      <c r="K11" s="109" t="n"/>
      <c r="L11" s="109" t="n"/>
      <c r="M11" s="110" t="n"/>
      <c r="N11" s="81" t="n">
        <v>0</v>
      </c>
      <c r="O11" s="80" t="inlineStr">
        <is>
          <t>3S0-DATA-02</t>
        </is>
      </c>
      <c r="P11" s="80" t="inlineStr">
        <is>
          <t>Ingestion runs on schedule and is safe to re-run</t>
        </is>
      </c>
      <c r="Q11" s="82" t="inlineStr">
        <is>
          <t>Spec §21</t>
        </is>
      </c>
      <c r="R11" s="111" t="n"/>
    </row>
    <row r="12" ht="23.85" customHeight="1" s="75">
      <c r="A12" s="112" t="n">
        <v>8</v>
      </c>
      <c r="B12" s="113" t="inlineStr">
        <is>
          <t>3S1-DATA-02</t>
        </is>
      </c>
      <c r="C12" s="85" t="n">
        <v>1</v>
      </c>
      <c r="D12" s="86" t="inlineStr">
        <is>
          <t>Sprint 1 · Warehouse &amp; benchmarks</t>
        </is>
      </c>
      <c r="E12" s="129" t="inlineStr">
        <is>
          <t>DATA</t>
        </is>
      </c>
      <c r="F12" s="122" t="inlineStr">
        <is>
          <t>Code</t>
        </is>
      </c>
      <c r="G12" s="84" t="inlineStr">
        <is>
          <t>Daily campaign fact and dimension tables</t>
        </is>
      </c>
      <c r="H12" s="116" t="inlineStr">
        <is>
          <t>The core analytical model: one row per campaign per day, with conformed dimensions for property, sponsor, channel and inventory.</t>
        </is>
      </c>
      <c r="I12" s="108" t="inlineStr">
        <is>
          <t>Blocked</t>
        </is>
      </c>
      <c r="J12" s="108" t="n">
        <v>5</v>
      </c>
      <c r="K12" s="109" t="n"/>
      <c r="L12" s="109" t="n"/>
      <c r="M12" s="110" t="n"/>
      <c r="N12" s="85" t="n">
        <v>0</v>
      </c>
      <c r="O12" s="84" t="inlineStr">
        <is>
          <t>3S1-DATA-01</t>
        </is>
      </c>
      <c r="P12" s="84" t="inlineStr">
        <is>
          <t>Warehouse metrics reconcile to transactional campaign, order and payment totals within defined tolerance</t>
        </is>
      </c>
      <c r="Q12" s="86" t="inlineStr">
        <is>
          <t>Spec §19, §22</t>
        </is>
      </c>
      <c r="R12" s="111" t="n"/>
    </row>
    <row r="13" ht="23.85" customHeight="1" s="75">
      <c r="A13" s="104" t="n">
        <v>9</v>
      </c>
      <c r="B13" s="105" t="inlineStr">
        <is>
          <t>3S1-DATA-03</t>
        </is>
      </c>
      <c r="C13" s="81" t="n">
        <v>1</v>
      </c>
      <c r="D13" s="82" t="inlineStr">
        <is>
          <t>Sprint 1 · Warehouse &amp; benchmarks</t>
        </is>
      </c>
      <c r="E13" s="143" t="inlineStr">
        <is>
          <t>DATA</t>
        </is>
      </c>
      <c r="F13" s="120" t="inlineStr">
        <is>
          <t>Code</t>
        </is>
      </c>
      <c r="G13" s="80" t="inlineStr">
        <is>
          <t>Benchmark pipeline</t>
        </is>
      </c>
      <c r="H13" s="107" t="inlineStr">
        <is>
          <t>Percentile benchmarks by sport, market, format and audience — p25, median, p75 with sample size, so a small sample is visibly small.</t>
        </is>
      </c>
      <c r="I13" s="108" t="inlineStr">
        <is>
          <t>Blocked</t>
        </is>
      </c>
      <c r="J13" s="108" t="n">
        <v>3</v>
      </c>
      <c r="K13" s="109" t="n"/>
      <c r="L13" s="109" t="n"/>
      <c r="M13" s="110" t="n"/>
      <c r="N13" s="81" t="n">
        <v>0</v>
      </c>
      <c r="O13" s="80" t="inlineStr">
        <is>
          <t>3S1-DATA-02</t>
        </is>
      </c>
      <c r="P13" s="80" t="inlineStr">
        <is>
          <t>Benchmarks compute with sample sizes exposed and refresh on schedule</t>
        </is>
      </c>
      <c r="Q13" s="82" t="inlineStr">
        <is>
          <t>Spec §19</t>
        </is>
      </c>
      <c r="R13" s="111" t="n"/>
    </row>
    <row r="14" ht="23.85" customHeight="1" s="75">
      <c r="A14" s="112" t="n">
        <v>10</v>
      </c>
      <c r="B14" s="113" t="inlineStr">
        <is>
          <t>3S1-QA-01</t>
        </is>
      </c>
      <c r="C14" s="85" t="n">
        <v>1</v>
      </c>
      <c r="D14" s="86" t="inlineStr">
        <is>
          <t>Sprint 1 · Warehouse &amp; benchmarks</t>
        </is>
      </c>
      <c r="E14" s="134" t="inlineStr">
        <is>
          <t>QA</t>
        </is>
      </c>
      <c r="F14" s="122" t="inlineStr">
        <is>
          <t>Code</t>
        </is>
      </c>
      <c r="G14" s="84" t="inlineStr">
        <is>
          <t>Warehouse reconciliation tests</t>
        </is>
      </c>
      <c r="H14" s="116" t="inlineStr">
        <is>
          <t>Automated proof that the warehouse agrees with the source system. Run it every night, not once at launch.</t>
        </is>
      </c>
      <c r="I14" s="108" t="inlineStr">
        <is>
          <t>Blocked</t>
        </is>
      </c>
      <c r="J14" s="108" t="n">
        <v>3</v>
      </c>
      <c r="K14" s="109" t="n"/>
      <c r="L14" s="109" t="n"/>
      <c r="M14" s="110" t="n"/>
      <c r="N14" s="85" t="n">
        <v>0</v>
      </c>
      <c r="O14" s="84" t="inlineStr">
        <is>
          <t>3S1-DATA-02</t>
        </is>
      </c>
      <c r="P14" s="84" t="inlineStr">
        <is>
          <t>Reconciliation tests run nightly and alert on drift beyond tolerance</t>
        </is>
      </c>
      <c r="Q14" s="86" t="inlineStr">
        <is>
          <t>Spec §22</t>
        </is>
      </c>
      <c r="R14" s="111" t="n"/>
    </row>
    <row r="15" ht="32.8" customHeight="1" s="75">
      <c r="A15" s="104" t="n">
        <v>11</v>
      </c>
      <c r="B15" s="105" t="inlineStr">
        <is>
          <t>3S2-BE-01</t>
        </is>
      </c>
      <c r="C15" s="81" t="n">
        <v>2</v>
      </c>
      <c r="D15" s="82" t="inlineStr">
        <is>
          <t>Sprint 2 · Dynamic CPM engine</t>
        </is>
      </c>
      <c r="E15" s="139" t="inlineStr">
        <is>
          <t>BE</t>
        </is>
      </c>
      <c r="F15" s="120" t="inlineStr">
        <is>
          <t>Code</t>
        </is>
      </c>
      <c r="G15" s="80" t="inlineStr">
        <is>
          <t>Feature store and snapshot service</t>
        </is>
      </c>
      <c r="H15" s="107" t="inlineStr">
        <is>
          <t>Assemble the inputs a pricing model needs — audience, engagement, historical delivery, demand, seasonality, geography, scarcity — and snapshot them so a past recommendation can always be explained.</t>
        </is>
      </c>
      <c r="I15" s="108" t="inlineStr">
        <is>
          <t>Blocked</t>
        </is>
      </c>
      <c r="J15" s="108" t="n">
        <v>5</v>
      </c>
      <c r="K15" s="109" t="n"/>
      <c r="L15" s="109" t="n"/>
      <c r="M15" s="110" t="n"/>
      <c r="N15" s="81" t="n">
        <v>0</v>
      </c>
      <c r="O15" s="80" t="inlineStr">
        <is>
          <t>3S1-DATA-02</t>
        </is>
      </c>
      <c r="P15" s="80" t="inlineStr">
        <is>
          <t>Feature snapshots generate on schedule and are retrievable by entity and date</t>
        </is>
      </c>
      <c r="Q15" s="82" t="inlineStr">
        <is>
          <t>Spec §19</t>
        </is>
      </c>
      <c r="R15" s="111" t="n"/>
    </row>
    <row r="16" ht="23.85" customHeight="1" s="75">
      <c r="A16" s="112" t="n">
        <v>12</v>
      </c>
      <c r="B16" s="113" t="inlineStr">
        <is>
          <t>3S2-BE-02</t>
        </is>
      </c>
      <c r="C16" s="85" t="n">
        <v>2</v>
      </c>
      <c r="D16" s="86" t="inlineStr">
        <is>
          <t>Sprint 2 · Dynamic CPM engine</t>
        </is>
      </c>
      <c r="E16" s="137" t="inlineStr">
        <is>
          <t>BE</t>
        </is>
      </c>
      <c r="F16" s="122" t="inlineStr">
        <is>
          <t>Code</t>
        </is>
      </c>
      <c r="G16" s="84" t="inlineStr">
        <is>
          <t>Dynamic CPM engine v1 (rules-based)</t>
        </is>
      </c>
      <c r="H16" s="116" t="inlineStr">
        <is>
          <t>Start with rules and statistics, not machine learning. The spec is explicit: do not build ML pricing before there is enough clean history.</t>
        </is>
      </c>
      <c r="I16" s="108" t="inlineStr">
        <is>
          <t>Blocked</t>
        </is>
      </c>
      <c r="J16" s="108" t="n">
        <v>5</v>
      </c>
      <c r="K16" s="109" t="n"/>
      <c r="L16" s="109" t="n"/>
      <c r="M16" s="110" t="n"/>
      <c r="N16" s="85" t="n">
        <v>0</v>
      </c>
      <c r="O16" s="84" t="inlineStr">
        <is>
          <t>3S2-BE-01</t>
        </is>
      </c>
      <c r="P16" s="84" t="inlineStr">
        <is>
          <t>Every recommended price exposes model version, confidence and factor breakdown</t>
        </is>
      </c>
      <c r="Q16" s="86" t="inlineStr">
        <is>
          <t>Spec §17.1, §22</t>
        </is>
      </c>
      <c r="R16" s="111" t="n"/>
    </row>
    <row r="17" ht="35.05" customHeight="1" s="75">
      <c r="A17" s="104" t="n">
        <v>13</v>
      </c>
      <c r="B17" s="105" t="inlineStr">
        <is>
          <t>3S2-BE-03</t>
        </is>
      </c>
      <c r="C17" s="81" t="n">
        <v>2</v>
      </c>
      <c r="D17" s="82" t="inlineStr">
        <is>
          <t>Sprint 2 · Dynamic CPM engine</t>
        </is>
      </c>
      <c r="E17" s="139" t="inlineStr">
        <is>
          <t>BE</t>
        </is>
      </c>
      <c r="F17" s="120" t="inlineStr">
        <is>
          <t>Code</t>
        </is>
      </c>
      <c r="G17" s="80" t="inlineStr">
        <is>
          <t>Pricing recommendation and override records</t>
        </is>
      </c>
      <c r="H17" s="107" t="inlineStr">
        <is>
          <t>Store the recommendation immutably. An override is a separate record with a required reason — it never edits the original.</t>
        </is>
      </c>
      <c r="I17" s="108" t="inlineStr">
        <is>
          <t>Blocked</t>
        </is>
      </c>
      <c r="J17" s="108" t="n">
        <v>3</v>
      </c>
      <c r="K17" s="109" t="n"/>
      <c r="L17" s="109" t="n"/>
      <c r="M17" s="110" t="n"/>
      <c r="N17" s="81" t="n">
        <v>0</v>
      </c>
      <c r="O17" s="80" t="inlineStr">
        <is>
          <t>3S2-BE-02</t>
        </is>
      </c>
      <c r="P17" s="80" t="inlineStr">
        <is>
          <t>Admin can override a price only with the right permission and a recorded reason; the recommendation is unchanged</t>
        </is>
      </c>
      <c r="Q17" s="82" t="inlineStr">
        <is>
          <t>Spec §17.1, §22</t>
        </is>
      </c>
      <c r="R17" s="111" t="n"/>
    </row>
    <row r="18" ht="23.85" customHeight="1" s="75">
      <c r="A18" s="112" t="n">
        <v>14</v>
      </c>
      <c r="B18" s="113" t="inlineStr">
        <is>
          <t>3S2-FE-01</t>
        </is>
      </c>
      <c r="C18" s="85" t="n">
        <v>2</v>
      </c>
      <c r="D18" s="86" t="inlineStr">
        <is>
          <t>Sprint 2 · Dynamic CPM engine</t>
        </is>
      </c>
      <c r="E18" s="121" t="inlineStr">
        <is>
          <t>FE</t>
        </is>
      </c>
      <c r="F18" s="122" t="inlineStr">
        <is>
          <t>Code</t>
        </is>
      </c>
      <c r="G18" s="84" t="inlineStr">
        <is>
          <t>Build the pricing intelligence panel</t>
        </is>
      </c>
      <c r="H18" s="116" t="inlineStr">
        <is>
          <t>Recommended CPM, current rate, factor breakdown, confidence, historical range and the override control.</t>
        </is>
      </c>
      <c r="I18" s="108" t="inlineStr">
        <is>
          <t>Blocked</t>
        </is>
      </c>
      <c r="J18" s="108" t="n">
        <v>5</v>
      </c>
      <c r="K18" s="109" t="n"/>
      <c r="L18" s="109" t="n"/>
      <c r="M18" s="110" t="n"/>
      <c r="N18" s="85" t="n">
        <v>0</v>
      </c>
      <c r="O18" s="84" t="inlineStr">
        <is>
          <t>3S2-BE-02</t>
        </is>
      </c>
      <c r="P18" s="84" t="inlineStr">
        <is>
          <t>Panel shows the full factor breakdown and confidence for any inventory item</t>
        </is>
      </c>
      <c r="Q18" s="86" t="inlineStr">
        <is>
          <t>Spec §16 P3-01</t>
        </is>
      </c>
      <c r="R18" s="111" t="n"/>
    </row>
    <row r="19" ht="23.85" customHeight="1" s="75">
      <c r="A19" s="104" t="n">
        <v>15</v>
      </c>
      <c r="B19" s="105" t="inlineStr">
        <is>
          <t>3S3-BE-01</t>
        </is>
      </c>
      <c r="C19" s="81" t="n">
        <v>3</v>
      </c>
      <c r="D19" s="82" t="inlineStr">
        <is>
          <t>Sprint 3 · Sponsor matching</t>
        </is>
      </c>
      <c r="E19" s="139" t="inlineStr">
        <is>
          <t>BE</t>
        </is>
      </c>
      <c r="F19" s="120" t="inlineStr">
        <is>
          <t>Code</t>
        </is>
      </c>
      <c r="G19" s="80" t="inlineStr">
        <is>
          <t>Sponsor brief model</t>
        </is>
      </c>
      <c r="H19" s="107" t="inlineStr">
        <is>
          <t>Objective, budget, geography, sport, audience, included and excluded categories, dates and channels — the input to matching.</t>
        </is>
      </c>
      <c r="I19" s="108" t="inlineStr">
        <is>
          <t>Blocked</t>
        </is>
      </c>
      <c r="J19" s="108" t="n">
        <v>3</v>
      </c>
      <c r="K19" s="109" t="n"/>
      <c r="L19" s="109" t="n"/>
      <c r="M19" s="110" t="n"/>
      <c r="N19" s="81" t="n">
        <v>0</v>
      </c>
      <c r="O19" s="80" t="inlineStr">
        <is>
          <t>3S2-BE-01</t>
        </is>
      </c>
      <c r="P19" s="80" t="inlineStr">
        <is>
          <t>A sponsor brief captures all matching inputs including exclusions</t>
        </is>
      </c>
      <c r="Q19" s="82" t="inlineStr">
        <is>
          <t>Spec §19</t>
        </is>
      </c>
      <c r="R19" s="111" t="n"/>
    </row>
    <row r="20" ht="32.8" customHeight="1" s="75">
      <c r="A20" s="112" t="n">
        <v>16</v>
      </c>
      <c r="B20" s="113" t="inlineStr">
        <is>
          <t>3S3-BE-02</t>
        </is>
      </c>
      <c r="C20" s="85" t="n">
        <v>3</v>
      </c>
      <c r="D20" s="86" t="inlineStr">
        <is>
          <t>Sprint 3 · Sponsor matching</t>
        </is>
      </c>
      <c r="E20" s="137" t="inlineStr">
        <is>
          <t>BE</t>
        </is>
      </c>
      <c r="F20" s="122" t="inlineStr">
        <is>
          <t>Code</t>
        </is>
      </c>
      <c r="G20" s="84" t="inlineStr">
        <is>
          <t>Match scoring service</t>
        </is>
      </c>
      <c r="H20" s="116" t="inlineStr">
        <is>
          <t>Score audience fit, geography, format, category affinity, historical performance, budget fit, sponsor history and inventory quality — then explain the score in words a salesperson can repeat.</t>
        </is>
      </c>
      <c r="I20" s="108" t="inlineStr">
        <is>
          <t>Blocked</t>
        </is>
      </c>
      <c r="J20" s="108" t="n">
        <v>5</v>
      </c>
      <c r="K20" s="109" t="n"/>
      <c r="L20" s="109" t="n"/>
      <c r="M20" s="110" t="n"/>
      <c r="N20" s="85" t="n">
        <v>0</v>
      </c>
      <c r="O20" s="84" t="inlineStr">
        <is>
          <t>3S3-BE-01</t>
        </is>
      </c>
      <c r="P20" s="84" t="inlineStr">
        <is>
          <t>Brief produces ranked recommendations with explanation factors within the agreed response time</t>
        </is>
      </c>
      <c r="Q20" s="86" t="inlineStr">
        <is>
          <t>Spec §17.2, §22</t>
        </is>
      </c>
      <c r="R20" s="111" t="n"/>
    </row>
    <row r="21" ht="23.85" customHeight="1" s="75">
      <c r="A21" s="104" t="n">
        <v>17</v>
      </c>
      <c r="B21" s="105" t="inlineStr">
        <is>
          <t>3S3-BE-03</t>
        </is>
      </c>
      <c r="C21" s="81" t="n">
        <v>3</v>
      </c>
      <c r="D21" s="82" t="inlineStr">
        <is>
          <t>Sprint 3 · Sponsor matching</t>
        </is>
      </c>
      <c r="E21" s="139" t="inlineStr">
        <is>
          <t>BE</t>
        </is>
      </c>
      <c r="F21" s="120" t="inlineStr">
        <is>
          <t>Code</t>
        </is>
      </c>
      <c r="G21" s="80" t="inlineStr">
        <is>
          <t>Eligibility filter ahead of scoring</t>
        </is>
      </c>
      <c r="H21" s="107" t="inlineStr">
        <is>
          <t>Filter out unavailable, conflicted and brand-unsafe inventory before scoring. Ranking something that cannot be sold wastes everyone's time.</t>
        </is>
      </c>
      <c r="I21" s="108" t="inlineStr">
        <is>
          <t>Blocked</t>
        </is>
      </c>
      <c r="J21" s="108" t="n">
        <v>3</v>
      </c>
      <c r="K21" s="109" t="n"/>
      <c r="L21" s="109" t="n"/>
      <c r="M21" s="110" t="n"/>
      <c r="N21" s="81" t="n">
        <v>0</v>
      </c>
      <c r="O21" s="80" t="inlineStr">
        <is>
          <t>3S3-BE-02</t>
        </is>
      </c>
      <c r="P21" s="80" t="inlineStr">
        <is>
          <t>Match explorer never returns unavailable or category-conflicted inventory</t>
        </is>
      </c>
      <c r="Q21" s="82" t="inlineStr">
        <is>
          <t>Spec §22</t>
        </is>
      </c>
      <c r="R21" s="111" t="n"/>
    </row>
    <row r="22" ht="22.35" customHeight="1" s="75">
      <c r="A22" s="112" t="n">
        <v>18</v>
      </c>
      <c r="B22" s="113" t="inlineStr">
        <is>
          <t>3S3-FE-01</t>
        </is>
      </c>
      <c r="C22" s="85" t="n">
        <v>3</v>
      </c>
      <c r="D22" s="86" t="inlineStr">
        <is>
          <t>Sprint 3 · Sponsor matching</t>
        </is>
      </c>
      <c r="E22" s="121" t="inlineStr">
        <is>
          <t>FE</t>
        </is>
      </c>
      <c r="F22" s="122" t="inlineStr">
        <is>
          <t>Code</t>
        </is>
      </c>
      <c r="G22" s="84" t="inlineStr">
        <is>
          <t>Build the sponsor match explorer</t>
        </is>
      </c>
      <c r="H22" s="116" t="inlineStr">
        <is>
          <t>Ranked athletes, properties and inventory with match scores and readable reasons, plus shortlist saving.</t>
        </is>
      </c>
      <c r="I22" s="108" t="inlineStr">
        <is>
          <t>Blocked</t>
        </is>
      </c>
      <c r="J22" s="108" t="n">
        <v>5</v>
      </c>
      <c r="K22" s="109" t="n"/>
      <c r="L22" s="109" t="n"/>
      <c r="M22" s="110" t="n"/>
      <c r="N22" s="85" t="n">
        <v>0</v>
      </c>
      <c r="O22" s="84" t="inlineStr">
        <is>
          <t>3S3-BE-02</t>
        </is>
      </c>
      <c r="P22" s="84" t="inlineStr">
        <is>
          <t>Explorer ranks, explains and saves shortlists</t>
        </is>
      </c>
      <c r="Q22" s="86" t="inlineStr">
        <is>
          <t>Spec §16 P3-02</t>
        </is>
      </c>
      <c r="R22" s="111" t="n"/>
    </row>
    <row r="23" ht="15" customHeight="1" s="75">
      <c r="A23" s="104" t="n">
        <v>19</v>
      </c>
      <c r="B23" s="105" t="inlineStr">
        <is>
          <t>3S4-DATA-01</t>
        </is>
      </c>
      <c r="C23" s="81" t="n">
        <v>4</v>
      </c>
      <c r="D23" s="82" t="inlineStr">
        <is>
          <t>Sprint 4 · Forecasting &amp; pacing</t>
        </is>
      </c>
      <c r="E23" s="143" t="inlineStr">
        <is>
          <t>DATA</t>
        </is>
      </c>
      <c r="F23" s="120" t="inlineStr">
        <is>
          <t>Code</t>
        </is>
      </c>
      <c r="G23" s="80" t="inlineStr">
        <is>
          <t>Daily pacing job</t>
        </is>
      </c>
      <c r="H23" s="107" t="inlineStr">
        <is>
          <t>Compare elapsed campaign time against delivered metrics, every day.</t>
        </is>
      </c>
      <c r="I23" s="108" t="inlineStr">
        <is>
          <t>Blocked</t>
        </is>
      </c>
      <c r="J23" s="108" t="n">
        <v>3</v>
      </c>
      <c r="K23" s="109" t="n"/>
      <c r="L23" s="109" t="n"/>
      <c r="M23" s="110" t="n"/>
      <c r="N23" s="81" t="n">
        <v>0</v>
      </c>
      <c r="O23" s="80" t="inlineStr">
        <is>
          <t>3S1-DATA-02</t>
        </is>
      </c>
      <c r="P23" s="80" t="inlineStr">
        <is>
          <t>Pacing computes nightly for every active campaign</t>
        </is>
      </c>
      <c r="Q23" s="82" t="inlineStr">
        <is>
          <t>Spec §17.3</t>
        </is>
      </c>
      <c r="R23" s="111" t="n"/>
    </row>
    <row r="24" ht="23.85" customHeight="1" s="75">
      <c r="A24" s="112" t="n">
        <v>20</v>
      </c>
      <c r="B24" s="113" t="inlineStr">
        <is>
          <t>3S4-BE-01</t>
        </is>
      </c>
      <c r="C24" s="85" t="n">
        <v>4</v>
      </c>
      <c r="D24" s="86" t="inlineStr">
        <is>
          <t>Sprint 4 · Forecasting &amp; pacing</t>
        </is>
      </c>
      <c r="E24" s="137" t="inlineStr">
        <is>
          <t>BE</t>
        </is>
      </c>
      <c r="F24" s="122" t="inlineStr">
        <is>
          <t>Code</t>
        </is>
      </c>
      <c r="G24" s="84" t="inlineStr">
        <is>
          <t>Delivery forecast service</t>
        </is>
      </c>
      <c r="H24" s="116" t="inlineStr">
        <is>
          <t>Estimate final impressions and the probability of hitting the guarantee, and keep every historical forecast so the model can be judged later.</t>
        </is>
      </c>
      <c r="I24" s="108" t="inlineStr">
        <is>
          <t>Blocked</t>
        </is>
      </c>
      <c r="J24" s="108" t="n">
        <v>5</v>
      </c>
      <c r="K24" s="109" t="n"/>
      <c r="L24" s="109" t="n"/>
      <c r="M24" s="110" t="n"/>
      <c r="N24" s="85" t="n">
        <v>0</v>
      </c>
      <c r="O24" s="84" t="inlineStr">
        <is>
          <t>3S4-DATA-01</t>
        </is>
      </c>
      <c r="P24" s="84" t="inlineStr">
        <is>
          <t>Forecast refreshes automatically and persists historical forecasts</t>
        </is>
      </c>
      <c r="Q24" s="86" t="inlineStr">
        <is>
          <t>Spec §17.3, §22</t>
        </is>
      </c>
      <c r="R24" s="111" t="n"/>
    </row>
    <row r="25" ht="32.8" customHeight="1" s="75">
      <c r="A25" s="104" t="n">
        <v>21</v>
      </c>
      <c r="B25" s="105" t="inlineStr">
        <is>
          <t>3S4-BE-02</t>
        </is>
      </c>
      <c r="C25" s="81" t="n">
        <v>4</v>
      </c>
      <c r="D25" s="82" t="inlineStr">
        <is>
          <t>Sprint 4 · Forecasting &amp; pacing</t>
        </is>
      </c>
      <c r="E25" s="139" t="inlineStr">
        <is>
          <t>BE</t>
        </is>
      </c>
      <c r="F25" s="120" t="inlineStr">
        <is>
          <t>Code</t>
        </is>
      </c>
      <c r="G25" s="80" t="inlineStr">
        <is>
          <t>Risk thresholds and alerting</t>
        </is>
      </c>
      <c r="H25" s="107" t="inlineStr">
        <is>
          <t>Campaigns crossing a risk threshold raise an alert with a recommended action — accelerate content, add a deliverable, change channel, or reserve make-good inventory.</t>
        </is>
      </c>
      <c r="I25" s="108" t="inlineStr">
        <is>
          <t>Blocked</t>
        </is>
      </c>
      <c r="J25" s="108" t="n">
        <v>3</v>
      </c>
      <c r="K25" s="109" t="n"/>
      <c r="L25" s="109" t="n"/>
      <c r="M25" s="110" t="n"/>
      <c r="N25" s="81" t="n">
        <v>0</v>
      </c>
      <c r="O25" s="80" t="inlineStr">
        <is>
          <t>3S4-BE-01</t>
        </is>
      </c>
      <c r="P25" s="80" t="inlineStr">
        <is>
          <t>At-risk campaigns generate actionable alerts before campaign end, not after</t>
        </is>
      </c>
      <c r="Q25" s="82" t="inlineStr">
        <is>
          <t>Spec §17.3, §22</t>
        </is>
      </c>
      <c r="R25" s="111" t="n"/>
    </row>
    <row r="26" ht="23.85" customHeight="1" s="75">
      <c r="A26" s="112" t="n">
        <v>22</v>
      </c>
      <c r="B26" s="113" t="inlineStr">
        <is>
          <t>3S4-FE-01</t>
        </is>
      </c>
      <c r="C26" s="85" t="n">
        <v>4</v>
      </c>
      <c r="D26" s="86" t="inlineStr">
        <is>
          <t>Sprint 4 · Forecasting &amp; pacing</t>
        </is>
      </c>
      <c r="E26" s="121" t="inlineStr">
        <is>
          <t>FE</t>
        </is>
      </c>
      <c r="F26" s="122" t="inlineStr">
        <is>
          <t>Code</t>
        </is>
      </c>
      <c r="G26" s="84" t="inlineStr">
        <is>
          <t>Build the campaign forecast dashboard</t>
        </is>
      </c>
      <c r="H26" s="116" t="inlineStr">
        <is>
          <t>Projected final delivery, probability of guarantee, pacing chart, risk factors and recommended actions.</t>
        </is>
      </c>
      <c r="I26" s="108" t="inlineStr">
        <is>
          <t>Blocked</t>
        </is>
      </c>
      <c r="J26" s="108" t="n">
        <v>5</v>
      </c>
      <c r="K26" s="109" t="n"/>
      <c r="L26" s="109" t="n"/>
      <c r="M26" s="110" t="n"/>
      <c r="N26" s="85" t="n">
        <v>0</v>
      </c>
      <c r="O26" s="84" t="inlineStr">
        <is>
          <t>3S4-BE-01</t>
        </is>
      </c>
      <c r="P26" s="84" t="inlineStr">
        <is>
          <t>Dashboard shows pacing and risk for every active campaign</t>
        </is>
      </c>
      <c r="Q26" s="86" t="inlineStr">
        <is>
          <t>Spec §16 P3-03</t>
        </is>
      </c>
      <c r="R26" s="111" t="n"/>
    </row>
    <row r="27" ht="23.85" customHeight="1" s="75">
      <c r="A27" s="104" t="n">
        <v>23</v>
      </c>
      <c r="B27" s="105" t="inlineStr">
        <is>
          <t>3S5-BE-01</t>
        </is>
      </c>
      <c r="C27" s="81" t="n">
        <v>5</v>
      </c>
      <c r="D27" s="82" t="inlineStr">
        <is>
          <t>Sprint 5 · Make-good optimiser</t>
        </is>
      </c>
      <c r="E27" s="139" t="inlineStr">
        <is>
          <t>BE</t>
        </is>
      </c>
      <c r="F27" s="120" t="inlineStr">
        <is>
          <t>Code</t>
        </is>
      </c>
      <c r="G27" s="80" t="inlineStr">
        <is>
          <t>Make-good recommendation engine</t>
        </is>
      </c>
      <c r="H27" s="107" t="inlineStr">
        <is>
          <t>Given a shortfall, find substitute inventory of equivalent value that is actually available and does not create a category conflict.</t>
        </is>
      </c>
      <c r="I27" s="108" t="inlineStr">
        <is>
          <t>Blocked</t>
        </is>
      </c>
      <c r="J27" s="108" t="n">
        <v>5</v>
      </c>
      <c r="K27" s="109" t="n"/>
      <c r="L27" s="109" t="n"/>
      <c r="M27" s="110" t="n"/>
      <c r="N27" s="81" t="n">
        <v>0</v>
      </c>
      <c r="O27" s="80" t="inlineStr">
        <is>
          <t>3S4-BE-01</t>
        </is>
      </c>
      <c r="P27" s="80" t="inlineStr">
        <is>
          <t>Recommendations respect sponsor target, availability, exclusivity and estimated value equivalence</t>
        </is>
      </c>
      <c r="Q27" s="82" t="inlineStr">
        <is>
          <t>Spec §22</t>
        </is>
      </c>
      <c r="R27" s="111" t="n"/>
    </row>
    <row r="28" ht="23.85" customHeight="1" s="75">
      <c r="A28" s="112" t="n">
        <v>24</v>
      </c>
      <c r="B28" s="113" t="inlineStr">
        <is>
          <t>3S5-BE-02</t>
        </is>
      </c>
      <c r="C28" s="85" t="n">
        <v>5</v>
      </c>
      <c r="D28" s="86" t="inlineStr">
        <is>
          <t>Sprint 5 · Make-good optimiser</t>
        </is>
      </c>
      <c r="E28" s="137" t="inlineStr">
        <is>
          <t>BE</t>
        </is>
      </c>
      <c r="F28" s="122" t="inlineStr">
        <is>
          <t>Code</t>
        </is>
      </c>
      <c r="G28" s="84" t="inlineStr">
        <is>
          <t>Make-good approval workflow</t>
        </is>
      </c>
      <c r="H28" s="116" t="inlineStr">
        <is>
          <t>A make-good changes what a sponsor was sold, so it needs approval and an audit trail.</t>
        </is>
      </c>
      <c r="I28" s="108" t="inlineStr">
        <is>
          <t>Blocked</t>
        </is>
      </c>
      <c r="J28" s="108" t="n">
        <v>3</v>
      </c>
      <c r="K28" s="109" t="n"/>
      <c r="L28" s="109" t="n"/>
      <c r="M28" s="110" t="n"/>
      <c r="N28" s="85" t="n">
        <v>0</v>
      </c>
      <c r="O28" s="84" t="inlineStr">
        <is>
          <t>3S5-BE-01</t>
        </is>
      </c>
      <c r="P28" s="84" t="inlineStr">
        <is>
          <t>Make-good approval is recorded, audited and reflected in the campaign</t>
        </is>
      </c>
      <c r="Q28" s="86" t="inlineStr">
        <is>
          <t>Spec §18</t>
        </is>
      </c>
      <c r="R28" s="111" t="n"/>
    </row>
    <row r="29" ht="23.85" customHeight="1" s="75">
      <c r="A29" s="104" t="n">
        <v>25</v>
      </c>
      <c r="B29" s="105" t="inlineStr">
        <is>
          <t>3S5-FE-01</t>
        </is>
      </c>
      <c r="C29" s="81" t="n">
        <v>5</v>
      </c>
      <c r="D29" s="82" t="inlineStr">
        <is>
          <t>Sprint 5 · Make-good optimiser</t>
        </is>
      </c>
      <c r="E29" s="119" t="inlineStr">
        <is>
          <t>FE</t>
        </is>
      </c>
      <c r="F29" s="120" t="inlineStr">
        <is>
          <t>Code</t>
        </is>
      </c>
      <c r="G29" s="80" t="inlineStr">
        <is>
          <t>Build the make-good recommendation centre</t>
        </is>
      </c>
      <c r="H29" s="107" t="inlineStr">
        <is>
          <t>Shortfall amount, substitute options, equivalency score, cost impact and the approval action.</t>
        </is>
      </c>
      <c r="I29" s="108" t="inlineStr">
        <is>
          <t>Blocked</t>
        </is>
      </c>
      <c r="J29" s="108" t="n">
        <v>5</v>
      </c>
      <c r="K29" s="109" t="n"/>
      <c r="L29" s="109" t="n"/>
      <c r="M29" s="110" t="n"/>
      <c r="N29" s="81" t="n">
        <v>0</v>
      </c>
      <c r="O29" s="80" t="inlineStr">
        <is>
          <t>3S5-BE-01</t>
        </is>
      </c>
      <c r="P29" s="80" t="inlineStr">
        <is>
          <t>Centre surfaces shortfalls and lets a manager approve a substitution</t>
        </is>
      </c>
      <c r="Q29" s="82" t="inlineStr">
        <is>
          <t>Spec §16 P3-04</t>
        </is>
      </c>
      <c r="R29" s="111" t="n"/>
    </row>
    <row r="30" ht="23.85" customHeight="1" s="75">
      <c r="A30" s="112" t="n">
        <v>26</v>
      </c>
      <c r="B30" s="113" t="inlineStr">
        <is>
          <t>3S6-BE-01</t>
        </is>
      </c>
      <c r="C30" s="85" t="n">
        <v>6</v>
      </c>
      <c r="D30" s="86" t="inlineStr">
        <is>
          <t>Sprint 6 · Attribution framework</t>
        </is>
      </c>
      <c r="E30" s="137" t="inlineStr">
        <is>
          <t>BE</t>
        </is>
      </c>
      <c r="F30" s="122" t="inlineStr">
        <is>
          <t>Code</t>
        </is>
      </c>
      <c r="G30" s="84" t="inlineStr">
        <is>
          <t>Attribution adapter framework</t>
        </is>
      </c>
      <c r="H30" s="116" t="inlineStr">
        <is>
          <t>Attribution is pluggable, never universal. Each adapter declares its method, lookback window and match approach.</t>
        </is>
      </c>
      <c r="I30" s="108" t="inlineStr">
        <is>
          <t>Blocked</t>
        </is>
      </c>
      <c r="J30" s="108" t="n">
        <v>5</v>
      </c>
      <c r="K30" s="109" t="n"/>
      <c r="L30" s="109" t="n"/>
      <c r="M30" s="110" t="n"/>
      <c r="N30" s="85" t="n">
        <v>0</v>
      </c>
      <c r="O30" s="84" t="inlineStr">
        <is>
          <t>3S0-PMO-01</t>
        </is>
      </c>
      <c r="P30" s="84" t="inlineStr">
        <is>
          <t>A new attribution partner can be added as an adapter without changing the engine</t>
        </is>
      </c>
      <c r="Q30" s="86" t="inlineStr">
        <is>
          <t>Spec §17.4</t>
        </is>
      </c>
      <c r="R30" s="111" t="n"/>
    </row>
    <row r="31" ht="23.85" customHeight="1" s="75">
      <c r="A31" s="104" t="n">
        <v>27</v>
      </c>
      <c r="B31" s="105" t="inlineStr">
        <is>
          <t>3S6-BE-02</t>
        </is>
      </c>
      <c r="C31" s="81" t="n">
        <v>6</v>
      </c>
      <c r="D31" s="82" t="inlineStr">
        <is>
          <t>Sprint 6 · Attribution framework</t>
        </is>
      </c>
      <c r="E31" s="139" t="inlineStr">
        <is>
          <t>BE</t>
        </is>
      </c>
      <c r="F31" s="120" t="inlineStr">
        <is>
          <t>Code</t>
        </is>
      </c>
      <c r="G31" s="80" t="inlineStr">
        <is>
          <t>Normalised attribution event model</t>
        </is>
      </c>
      <c r="H31" s="107" t="inlineStr">
        <is>
          <t>Partner events normalise into one shape carrying source, method, window, confidence and the matched entities.</t>
        </is>
      </c>
      <c r="I31" s="108" t="inlineStr">
        <is>
          <t>Blocked</t>
        </is>
      </c>
      <c r="J31" s="108" t="n">
        <v>5</v>
      </c>
      <c r="K31" s="109" t="n"/>
      <c r="L31" s="109" t="n"/>
      <c r="M31" s="110" t="n"/>
      <c r="N31" s="81" t="n">
        <v>0</v>
      </c>
      <c r="O31" s="80" t="inlineStr">
        <is>
          <t>3S6-BE-01</t>
        </is>
      </c>
      <c r="P31" s="80" t="inlineStr">
        <is>
          <t>Attribution events identify source, method and confidence; modelled revenue is never labelled verified</t>
        </is>
      </c>
      <c r="Q31" s="82" t="inlineStr">
        <is>
          <t>Spec §19, §22</t>
        </is>
      </c>
      <c r="R31" s="111" t="n"/>
    </row>
    <row r="32" ht="23.85" customHeight="1" s="75">
      <c r="A32" s="112" t="n">
        <v>28</v>
      </c>
      <c r="B32" s="113" t="inlineStr">
        <is>
          <t>3S6-BE-03</t>
        </is>
      </c>
      <c r="C32" s="85" t="n">
        <v>6</v>
      </c>
      <c r="D32" s="86" t="inlineStr">
        <is>
          <t>Sprint 6 · Attribution framework</t>
        </is>
      </c>
      <c r="E32" s="137" t="inlineStr">
        <is>
          <t>BE</t>
        </is>
      </c>
      <c r="F32" s="122" t="inlineStr">
        <is>
          <t>Code</t>
        </is>
      </c>
      <c r="G32" s="84" t="inlineStr">
        <is>
          <t>Deterministic-first matching engine</t>
        </is>
      </c>
      <c r="H32" s="116" t="inlineStr">
        <is>
          <t>Try the exact match first — reward token, order ID, partner click ID. Only fall back to probabilistic matching, and mark it explicitly when you do.</t>
        </is>
      </c>
      <c r="I32" s="108" t="inlineStr">
        <is>
          <t>Blocked</t>
        </is>
      </c>
      <c r="J32" s="108" t="n">
        <v>5</v>
      </c>
      <c r="K32" s="109" t="n"/>
      <c r="L32" s="109" t="n"/>
      <c r="M32" s="110" t="n"/>
      <c r="N32" s="85" t="n">
        <v>0</v>
      </c>
      <c r="O32" s="84" t="inlineStr">
        <is>
          <t>3S6-BE-02</t>
        </is>
      </c>
      <c r="P32" s="84" t="inlineStr">
        <is>
          <t>Deterministic matches are attempted first; probabilistic matches carry an explicit method and confidence</t>
        </is>
      </c>
      <c r="Q32" s="86" t="inlineStr">
        <is>
          <t>Spec §17.4</t>
        </is>
      </c>
      <c r="R32" s="111" t="n"/>
    </row>
    <row r="33" ht="23.85" customHeight="1" s="75">
      <c r="A33" s="104" t="n">
        <v>29</v>
      </c>
      <c r="B33" s="105" t="inlineStr">
        <is>
          <t>3S6-BE-04</t>
        </is>
      </c>
      <c r="C33" s="81" t="n">
        <v>6</v>
      </c>
      <c r="D33" s="82" t="inlineStr">
        <is>
          <t>Sprint 6 · Attribution framework</t>
        </is>
      </c>
      <c r="E33" s="139" t="inlineStr">
        <is>
          <t>BE</t>
        </is>
      </c>
      <c r="F33" s="120" t="inlineStr">
        <is>
          <t>Code</t>
        </is>
      </c>
      <c r="G33" s="80" t="inlineStr">
        <is>
          <t>Reconciliation queue for unmatched events</t>
        </is>
      </c>
      <c r="H33" s="107" t="inlineStr">
        <is>
          <t>Events that cannot be matched stay visible rather than disappearing. Silent data loss is worse than visible gaps.</t>
        </is>
      </c>
      <c r="I33" s="108" t="inlineStr">
        <is>
          <t>Blocked</t>
        </is>
      </c>
      <c r="J33" s="108" t="n">
        <v>3</v>
      </c>
      <c r="K33" s="109" t="n"/>
      <c r="L33" s="109" t="n"/>
      <c r="M33" s="110" t="n"/>
      <c r="N33" s="81" t="n">
        <v>0</v>
      </c>
      <c r="O33" s="80" t="inlineStr">
        <is>
          <t>3S6-BE-03</t>
        </is>
      </c>
      <c r="P33" s="80" t="inlineStr">
        <is>
          <t>Unmatched and ambiguous events remain in a reviewable queue</t>
        </is>
      </c>
      <c r="Q33" s="82" t="inlineStr">
        <is>
          <t>Spec §17.4</t>
        </is>
      </c>
      <c r="R33" s="111" t="n"/>
    </row>
    <row r="34" ht="35.05" customHeight="1" s="75">
      <c r="A34" s="112" t="n">
        <v>30</v>
      </c>
      <c r="B34" s="113" t="inlineStr">
        <is>
          <t>3S6-FE-01</t>
        </is>
      </c>
      <c r="C34" s="85" t="n">
        <v>6</v>
      </c>
      <c r="D34" s="86" t="inlineStr">
        <is>
          <t>Sprint 6 · Attribution framework</t>
        </is>
      </c>
      <c r="E34" s="121" t="inlineStr">
        <is>
          <t>FE</t>
        </is>
      </c>
      <c r="F34" s="122" t="inlineStr">
        <is>
          <t>Code</t>
        </is>
      </c>
      <c r="G34" s="84" t="inlineStr">
        <is>
          <t>Build the attribution dashboard</t>
        </is>
      </c>
      <c r="H34" s="116" t="inlineStr">
        <is>
          <t>Attributed transactions, revenue, method, window, confidence and unmatched events — with the four classes visually distinct.</t>
        </is>
      </c>
      <c r="I34" s="108" t="inlineStr">
        <is>
          <t>Blocked</t>
        </is>
      </c>
      <c r="J34" s="108" t="n">
        <v>5</v>
      </c>
      <c r="K34" s="109" t="n"/>
      <c r="L34" s="109" t="n"/>
      <c r="M34" s="110" t="n"/>
      <c r="N34" s="85" t="n">
        <v>0</v>
      </c>
      <c r="O34" s="84" t="inlineStr">
        <is>
          <t>3S6-BE-02</t>
        </is>
      </c>
      <c r="P34" s="84" t="inlineStr">
        <is>
          <t>Dashboard distinguishes verified redemptions, verified transactions, modelled attribution and estimated media value</t>
        </is>
      </c>
      <c r="Q34" s="86" t="inlineStr">
        <is>
          <t>Spec §16 P3-05</t>
        </is>
      </c>
      <c r="R34" s="111" t="n"/>
    </row>
    <row r="35" ht="22.35" customHeight="1" s="75">
      <c r="A35" s="104" t="n">
        <v>31</v>
      </c>
      <c r="B35" s="105" t="inlineStr">
        <is>
          <t>3S7-FE-01</t>
        </is>
      </c>
      <c r="C35" s="81" t="n">
        <v>7</v>
      </c>
      <c r="D35" s="82" t="inlineStr">
        <is>
          <t>Sprint 7 · Intelligence dashboards</t>
        </is>
      </c>
      <c r="E35" s="119" t="inlineStr">
        <is>
          <t>FE</t>
        </is>
      </c>
      <c r="F35" s="120" t="inlineStr">
        <is>
          <t>Code</t>
        </is>
      </c>
      <c r="G35" s="80" t="inlineStr">
        <is>
          <t>Build the sponsor intelligence hub</t>
        </is>
      </c>
      <c r="H35" s="107" t="inlineStr">
        <is>
          <t>Cross-campaign insights, audience segments, best-performing formats and properties, renewal recommendations.</t>
        </is>
      </c>
      <c r="I35" s="108" t="inlineStr">
        <is>
          <t>Blocked</t>
        </is>
      </c>
      <c r="J35" s="108" t="n">
        <v>5</v>
      </c>
      <c r="K35" s="109" t="n"/>
      <c r="L35" s="109" t="n"/>
      <c r="M35" s="110" t="n"/>
      <c r="N35" s="81" t="n">
        <v>0</v>
      </c>
      <c r="O35" s="80" t="inlineStr">
        <is>
          <t>3S1-DATA-02</t>
        </is>
      </c>
      <c r="P35" s="80" t="inlineStr">
        <is>
          <t>Hub renders cross-campaign intelligence for a sponsor</t>
        </is>
      </c>
      <c r="Q35" s="82" t="inlineStr">
        <is>
          <t>Spec §16 P3-06</t>
        </is>
      </c>
      <c r="R35" s="111" t="n"/>
    </row>
    <row r="36" ht="23.85" customHeight="1" s="75">
      <c r="A36" s="112" t="n">
        <v>32</v>
      </c>
      <c r="B36" s="113" t="inlineStr">
        <is>
          <t>3S7-FE-02</t>
        </is>
      </c>
      <c r="C36" s="85" t="n">
        <v>7</v>
      </c>
      <c r="D36" s="86" t="inlineStr">
        <is>
          <t>Sprint 7 · Intelligence dashboards</t>
        </is>
      </c>
      <c r="E36" s="121" t="inlineStr">
        <is>
          <t>FE</t>
        </is>
      </c>
      <c r="F36" s="122" t="inlineStr">
        <is>
          <t>Code</t>
        </is>
      </c>
      <c r="G36" s="84" t="inlineStr">
        <is>
          <t>Build the property intelligence hub</t>
        </is>
      </c>
      <c r="H36" s="116" t="inlineStr">
        <is>
          <t>Rate recommendations, revenue opportunity, sell-through, sponsor-category fit and a quality score.</t>
        </is>
      </c>
      <c r="I36" s="108" t="inlineStr">
        <is>
          <t>Blocked</t>
        </is>
      </c>
      <c r="J36" s="108" t="n">
        <v>5</v>
      </c>
      <c r="K36" s="109" t="n"/>
      <c r="L36" s="109" t="n"/>
      <c r="M36" s="110" t="n"/>
      <c r="N36" s="85" t="n">
        <v>0</v>
      </c>
      <c r="O36" s="84" t="inlineStr">
        <is>
          <t>3S2-BE-02</t>
        </is>
      </c>
      <c r="P36" s="84" t="inlineStr">
        <is>
          <t>Hub renders rate and opportunity intelligence for a property</t>
        </is>
      </c>
      <c r="Q36" s="86" t="inlineStr">
        <is>
          <t>Spec §16 P3-07</t>
        </is>
      </c>
      <c r="R36" s="111" t="n"/>
    </row>
    <row r="37" ht="23.85" customHeight="1" s="75">
      <c r="A37" s="104" t="n">
        <v>33</v>
      </c>
      <c r="B37" s="105" t="inlineStr">
        <is>
          <t>3S7-BE-01</t>
        </is>
      </c>
      <c r="C37" s="81" t="n">
        <v>7</v>
      </c>
      <c r="D37" s="82" t="inlineStr">
        <is>
          <t>Sprint 7 · Intelligence dashboards</t>
        </is>
      </c>
      <c r="E37" s="139" t="inlineStr">
        <is>
          <t>BE</t>
        </is>
      </c>
      <c r="F37" s="120" t="inlineStr">
        <is>
          <t>Code</t>
        </is>
      </c>
      <c r="G37" s="80" t="inlineStr">
        <is>
          <t>Scenario planning service</t>
        </is>
      </c>
      <c r="H37" s="107" t="inlineStr">
        <is>
          <t>What-if: change budget, CPM, audience and inventory mix, and compare expected delivery and revenue.</t>
        </is>
      </c>
      <c r="I37" s="108" t="inlineStr">
        <is>
          <t>Blocked</t>
        </is>
      </c>
      <c r="J37" s="108" t="n">
        <v>5</v>
      </c>
      <c r="K37" s="109" t="n"/>
      <c r="L37" s="109" t="n"/>
      <c r="M37" s="110" t="n"/>
      <c r="N37" s="81" t="n">
        <v>0</v>
      </c>
      <c r="O37" s="80" t="inlineStr">
        <is>
          <t>3S4-BE-01</t>
        </is>
      </c>
      <c r="P37" s="80" t="inlineStr">
        <is>
          <t>A scenario can be created, calculated and compared against another</t>
        </is>
      </c>
      <c r="Q37" s="82" t="inlineStr">
        <is>
          <t>Spec §18</t>
        </is>
      </c>
      <c r="R37" s="111" t="n"/>
    </row>
    <row r="38" ht="22.35" customHeight="1" s="75">
      <c r="A38" s="112" t="n">
        <v>34</v>
      </c>
      <c r="B38" s="113" t="inlineStr">
        <is>
          <t>3S7-FE-03</t>
        </is>
      </c>
      <c r="C38" s="85" t="n">
        <v>7</v>
      </c>
      <c r="D38" s="86" t="inlineStr">
        <is>
          <t>Sprint 7 · Intelligence dashboards</t>
        </is>
      </c>
      <c r="E38" s="121" t="inlineStr">
        <is>
          <t>FE</t>
        </is>
      </c>
      <c r="F38" s="122" t="inlineStr">
        <is>
          <t>Code</t>
        </is>
      </c>
      <c r="G38" s="84" t="inlineStr">
        <is>
          <t>Build the scenario planner</t>
        </is>
      </c>
      <c r="H38" s="116" t="inlineStr">
        <is>
          <t>The sales-conversation screen: adjust the inputs live while a sponsor watches.</t>
        </is>
      </c>
      <c r="I38" s="108" t="inlineStr">
        <is>
          <t>Blocked</t>
        </is>
      </c>
      <c r="J38" s="108" t="n">
        <v>5</v>
      </c>
      <c r="K38" s="109" t="n"/>
      <c r="L38" s="109" t="n"/>
      <c r="M38" s="110" t="n"/>
      <c r="N38" s="85" t="n">
        <v>0</v>
      </c>
      <c r="O38" s="84" t="inlineStr">
        <is>
          <t>3S7-BE-01</t>
        </is>
      </c>
      <c r="P38" s="84" t="inlineStr">
        <is>
          <t>Planner calculates and compares scenarios interactively</t>
        </is>
      </c>
      <c r="Q38" s="86" t="inlineStr">
        <is>
          <t>Spec §16 P3-08</t>
        </is>
      </c>
      <c r="R38" s="111" t="n"/>
    </row>
    <row r="39" ht="23.85" customHeight="1" s="75">
      <c r="A39" s="104" t="n">
        <v>35</v>
      </c>
      <c r="B39" s="105" t="inlineStr">
        <is>
          <t>3S7-INT-01</t>
        </is>
      </c>
      <c r="C39" s="81" t="n">
        <v>7</v>
      </c>
      <c r="D39" s="82" t="inlineStr">
        <is>
          <t>Sprint 7 · Intelligence dashboards</t>
        </is>
      </c>
      <c r="E39" s="138" t="inlineStr">
        <is>
          <t>INT</t>
        </is>
      </c>
      <c r="F39" s="120" t="inlineStr">
        <is>
          <t>Code</t>
        </is>
      </c>
      <c r="G39" s="80" t="inlineStr">
        <is>
          <t>Push intelligence into Zoho</t>
        </is>
      </c>
      <c r="H39" s="107" t="inlineStr">
        <is>
          <t>Renewal scores, sponsor health and recommended next action flow back to the CRM where the sales team already works.</t>
        </is>
      </c>
      <c r="I39" s="108" t="inlineStr">
        <is>
          <t>Blocked</t>
        </is>
      </c>
      <c r="J39" s="108" t="n">
        <v>3</v>
      </c>
      <c r="K39" s="109" t="n"/>
      <c r="L39" s="109" t="n"/>
      <c r="M39" s="110" t="n"/>
      <c r="N39" s="81" t="n">
        <v>0</v>
      </c>
      <c r="O39" s="80" t="inlineStr">
        <is>
          <t>3S7-FE-01</t>
        </is>
      </c>
      <c r="P39" s="80" t="inlineStr">
        <is>
          <t>Zoho shows renewal score and recommended next action on the sponsor record</t>
        </is>
      </c>
      <c r="Q39" s="82" t="inlineStr">
        <is>
          <t>Spec §20</t>
        </is>
      </c>
      <c r="R39" s="111" t="n"/>
    </row>
    <row r="40" ht="23.85" customHeight="1" s="75">
      <c r="A40" s="112" t="n">
        <v>36</v>
      </c>
      <c r="B40" s="113" t="inlineStr">
        <is>
          <t>3S8-DATA-01</t>
        </is>
      </c>
      <c r="C40" s="85" t="n">
        <v>8</v>
      </c>
      <c r="D40" s="86" t="inlineStr">
        <is>
          <t>Sprint 8 · Anomaly detection &amp; model admin</t>
        </is>
      </c>
      <c r="E40" s="129" t="inlineStr">
        <is>
          <t>DATA</t>
        </is>
      </c>
      <c r="F40" s="122" t="inlineStr">
        <is>
          <t>Code</t>
        </is>
      </c>
      <c r="G40" s="84" t="inlineStr">
        <is>
          <t>Anomaly detection rules</t>
        </is>
      </c>
      <c r="H40" s="116" t="inlineStr">
        <is>
          <t>Improbable spikes, duplicate events, bot-like behaviour, suspicious redemption patterns and manual-entry inconsistencies.</t>
        </is>
      </c>
      <c r="I40" s="108" t="inlineStr">
        <is>
          <t>Blocked</t>
        </is>
      </c>
      <c r="J40" s="108" t="n">
        <v>5</v>
      </c>
      <c r="K40" s="109" t="n"/>
      <c r="L40" s="109" t="n"/>
      <c r="M40" s="110" t="n"/>
      <c r="N40" s="85" t="n">
        <v>0</v>
      </c>
      <c r="O40" s="84" t="inlineStr">
        <is>
          <t>3S1-DATA-02</t>
        </is>
      </c>
      <c r="P40" s="84" t="inlineStr">
        <is>
          <t>Anomaly console identifies seeded duplicate, bot and redemption test patterns</t>
        </is>
      </c>
      <c r="Q40" s="86" t="inlineStr">
        <is>
          <t>Spec §15, §22</t>
        </is>
      </c>
      <c r="R40" s="111" t="n"/>
    </row>
    <row r="41" ht="22.35" customHeight="1" s="75">
      <c r="A41" s="104" t="n">
        <v>37</v>
      </c>
      <c r="B41" s="105" t="inlineStr">
        <is>
          <t>3S8-FE-01</t>
        </is>
      </c>
      <c r="C41" s="81" t="n">
        <v>8</v>
      </c>
      <c r="D41" s="82" t="inlineStr">
        <is>
          <t>Sprint 8 · Anomaly detection &amp; model admin</t>
        </is>
      </c>
      <c r="E41" s="119" t="inlineStr">
        <is>
          <t>FE</t>
        </is>
      </c>
      <c r="F41" s="120" t="inlineStr">
        <is>
          <t>Code</t>
        </is>
      </c>
      <c r="G41" s="80" t="inlineStr">
        <is>
          <t>Build the data quality and anomaly console</t>
        </is>
      </c>
      <c r="H41" s="107" t="inlineStr">
        <is>
          <t>Flagged streams, suspicious redemptions, data-quality issues and the reviewer's disposition.</t>
        </is>
      </c>
      <c r="I41" s="108" t="inlineStr">
        <is>
          <t>Blocked</t>
        </is>
      </c>
      <c r="J41" s="108" t="n">
        <v>5</v>
      </c>
      <c r="K41" s="109" t="n"/>
      <c r="L41" s="109" t="n"/>
      <c r="M41" s="110" t="n"/>
      <c r="N41" s="81" t="n">
        <v>0</v>
      </c>
      <c r="O41" s="80" t="inlineStr">
        <is>
          <t>3S8-DATA-01</t>
        </is>
      </c>
      <c r="P41" s="80" t="inlineStr">
        <is>
          <t>Reviewer can triage and resolve every flagged anomaly</t>
        </is>
      </c>
      <c r="Q41" s="82" t="inlineStr">
        <is>
          <t>Spec §16 P3-09</t>
        </is>
      </c>
      <c r="R41" s="111" t="n"/>
    </row>
    <row r="42" ht="23.85" customHeight="1" s="75">
      <c r="A42" s="112" t="n">
        <v>38</v>
      </c>
      <c r="B42" s="113" t="inlineStr">
        <is>
          <t>3S8-BE-01</t>
        </is>
      </c>
      <c r="C42" s="85" t="n">
        <v>8</v>
      </c>
      <c r="D42" s="86" t="inlineStr">
        <is>
          <t>Sprint 8 · Anomaly detection &amp; model admin</t>
        </is>
      </c>
      <c r="E42" s="137" t="inlineStr">
        <is>
          <t>BE</t>
        </is>
      </c>
      <c r="F42" s="122" t="inlineStr">
        <is>
          <t>Code</t>
        </is>
      </c>
      <c r="G42" s="84" t="inlineStr">
        <is>
          <t>Model registry and activation</t>
        </is>
      </c>
      <c r="H42" s="116" t="inlineStr">
        <is>
          <t>Versions activate, roll back and compare without a code deployment. Pricing that requires a release to change is pricing nobody will trust.</t>
        </is>
      </c>
      <c r="I42" s="108" t="inlineStr">
        <is>
          <t>Blocked</t>
        </is>
      </c>
      <c r="J42" s="108" t="n">
        <v>5</v>
      </c>
      <c r="K42" s="109" t="n"/>
      <c r="L42" s="109" t="n"/>
      <c r="M42" s="110" t="n"/>
      <c r="N42" s="85" t="n">
        <v>0</v>
      </c>
      <c r="O42" s="84" t="inlineStr">
        <is>
          <t>3S0-PMO-02</t>
        </is>
      </c>
      <c r="P42" s="84" t="inlineStr">
        <is>
          <t>A model version can be activated, rolled back and compared without deploying code</t>
        </is>
      </c>
      <c r="Q42" s="86" t="inlineStr">
        <is>
          <t>Spec §22</t>
        </is>
      </c>
      <c r="R42" s="111" t="n"/>
    </row>
    <row r="43" ht="23.85" customHeight="1" s="75">
      <c r="A43" s="104" t="n">
        <v>39</v>
      </c>
      <c r="B43" s="105" t="inlineStr">
        <is>
          <t>3S8-FE-02</t>
        </is>
      </c>
      <c r="C43" s="81" t="n">
        <v>8</v>
      </c>
      <c r="D43" s="82" t="inlineStr">
        <is>
          <t>Sprint 8 · Anomaly detection &amp; model admin</t>
        </is>
      </c>
      <c r="E43" s="119" t="inlineStr">
        <is>
          <t>FE</t>
        </is>
      </c>
      <c r="F43" s="120" t="inlineStr">
        <is>
          <t>Code</t>
        </is>
      </c>
      <c r="G43" s="80" t="inlineStr">
        <is>
          <t>Build the model and rule administration screen</t>
        </is>
      </c>
      <c r="H43" s="107" t="inlineStr">
        <is>
          <t>Pricing factors, model versions, thresholds, benchmarks, rollouts and feature flags.</t>
        </is>
      </c>
      <c r="I43" s="108" t="inlineStr">
        <is>
          <t>Blocked</t>
        </is>
      </c>
      <c r="J43" s="108" t="n">
        <v>5</v>
      </c>
      <c r="K43" s="109" t="n"/>
      <c r="L43" s="109" t="n"/>
      <c r="M43" s="110" t="n"/>
      <c r="N43" s="81" t="n">
        <v>0</v>
      </c>
      <c r="O43" s="80" t="inlineStr">
        <is>
          <t>3S8-BE-01</t>
        </is>
      </c>
      <c r="P43" s="80" t="inlineStr">
        <is>
          <t>Admin can manage model versions and thresholds from the UI</t>
        </is>
      </c>
      <c r="Q43" s="82" t="inlineStr">
        <is>
          <t>Spec §16 P3-10</t>
        </is>
      </c>
      <c r="R43" s="111" t="n"/>
    </row>
    <row r="44" ht="23.85" customHeight="1" s="75">
      <c r="A44" s="112" t="n">
        <v>40</v>
      </c>
      <c r="B44" s="113" t="inlineStr">
        <is>
          <t>3S8-OPS-01</t>
        </is>
      </c>
      <c r="C44" s="85" t="n">
        <v>8</v>
      </c>
      <c r="D44" s="86" t="inlineStr">
        <is>
          <t>Sprint 8 · Anomaly detection &amp; model admin</t>
        </is>
      </c>
      <c r="E44" s="123" t="inlineStr">
        <is>
          <t>OPS</t>
        </is>
      </c>
      <c r="F44" s="122" t="inlineStr">
        <is>
          <t>Code</t>
        </is>
      </c>
      <c r="G44" s="84" t="inlineStr">
        <is>
          <t>Per-tenant feature flags for intelligence</t>
        </is>
      </c>
      <c r="H44" s="116" t="inlineStr">
        <is>
          <t>Every intelligence feature must be disableable per tenant. Not every customer should see a forecast.</t>
        </is>
      </c>
      <c r="I44" s="108" t="inlineStr">
        <is>
          <t>Blocked</t>
        </is>
      </c>
      <c r="J44" s="108" t="n">
        <v>3</v>
      </c>
      <c r="K44" s="109" t="n"/>
      <c r="L44" s="109" t="n"/>
      <c r="M44" s="110" t="n"/>
      <c r="N44" s="85" t="n">
        <v>0</v>
      </c>
      <c r="O44" s="84" t="inlineStr">
        <is>
          <t>3S8-BE-01</t>
        </is>
      </c>
      <c r="P44" s="84" t="inlineStr">
        <is>
          <t>All intelligence features can be disabled per tenant through feature flags</t>
        </is>
      </c>
      <c r="Q44" s="86" t="inlineStr">
        <is>
          <t>Spec §22</t>
        </is>
      </c>
      <c r="R44" s="111" t="n"/>
    </row>
    <row r="45" ht="23.85" customHeight="1" s="75">
      <c r="A45" s="104" t="n">
        <v>41</v>
      </c>
      <c r="B45" s="105" t="inlineStr">
        <is>
          <t>3S9-QA-01</t>
        </is>
      </c>
      <c r="C45" s="81" t="n">
        <v>9</v>
      </c>
      <c r="D45" s="82" t="inlineStr">
        <is>
          <t>Sprint 9 · Backtesting &amp; rollout</t>
        </is>
      </c>
      <c r="E45" s="135" t="inlineStr">
        <is>
          <t>QA</t>
        </is>
      </c>
      <c r="F45" s="120" t="inlineStr">
        <is>
          <t>Code</t>
        </is>
      </c>
      <c r="G45" s="80" t="inlineStr">
        <is>
          <t>Backtest the pricing and forecast models</t>
        </is>
      </c>
      <c r="H45" s="107" t="inlineStr">
        <is>
          <t>Run the models against historical campaigns and check whether they would actually have been right. This is what separates intelligence from decoration.</t>
        </is>
      </c>
      <c r="I45" s="108" t="inlineStr">
        <is>
          <t>Blocked</t>
        </is>
      </c>
      <c r="J45" s="108" t="n">
        <v>5</v>
      </c>
      <c r="K45" s="109" t="n"/>
      <c r="L45" s="109" t="n"/>
      <c r="M45" s="110" t="n"/>
      <c r="N45" s="81" t="n">
        <v>0</v>
      </c>
      <c r="O45" s="80" t="inlineStr">
        <is>
          <t>3S8-BE-01</t>
        </is>
      </c>
      <c r="P45" s="80" t="inlineStr">
        <is>
          <t>Backtest results documented with accuracy and confidence calibration per model</t>
        </is>
      </c>
      <c r="Q45" s="82" t="inlineStr">
        <is>
          <t>Spec §21</t>
        </is>
      </c>
      <c r="R45" s="111" t="n"/>
    </row>
    <row r="46" ht="23.85" customHeight="1" s="75">
      <c r="A46" s="112" t="n">
        <v>42</v>
      </c>
      <c r="B46" s="113" t="inlineStr">
        <is>
          <t>3S9-QA-02</t>
        </is>
      </c>
      <c r="C46" s="85" t="n">
        <v>9</v>
      </c>
      <c r="D46" s="86" t="inlineStr">
        <is>
          <t>Sprint 9 · Backtesting &amp; rollout</t>
        </is>
      </c>
      <c r="E46" s="134" t="inlineStr">
        <is>
          <t>QA</t>
        </is>
      </c>
      <c r="F46" s="122" t="inlineStr">
        <is>
          <t>Code</t>
        </is>
      </c>
      <c r="G46" s="84" t="inlineStr">
        <is>
          <t>Benchmark and reconciliation validation</t>
        </is>
      </c>
      <c r="H46" s="116" t="inlineStr">
        <is>
          <t>Confirm benchmarks are statistically meaningful and warehouse totals still tie out.</t>
        </is>
      </c>
      <c r="I46" s="108" t="inlineStr">
        <is>
          <t>Blocked</t>
        </is>
      </c>
      <c r="J46" s="108" t="n">
        <v>3</v>
      </c>
      <c r="K46" s="109" t="n"/>
      <c r="L46" s="109" t="n"/>
      <c r="M46" s="110" t="n"/>
      <c r="N46" s="85" t="n">
        <v>0</v>
      </c>
      <c r="O46" s="84" t="inlineStr">
        <is>
          <t>3S1-DATA-03</t>
        </is>
      </c>
      <c r="P46" s="84" t="inlineStr">
        <is>
          <t>Benchmarks validated for sample size; reconciliation within tolerance</t>
        </is>
      </c>
      <c r="Q46" s="86" t="inlineStr">
        <is>
          <t>Spec §22</t>
        </is>
      </c>
      <c r="R46" s="111" t="n"/>
    </row>
    <row r="47" ht="23.85" customHeight="1" s="75">
      <c r="A47" s="104" t="n">
        <v>43</v>
      </c>
      <c r="B47" s="105" t="inlineStr">
        <is>
          <t>3S9-PMO-01</t>
        </is>
      </c>
      <c r="C47" s="81" t="n">
        <v>9</v>
      </c>
      <c r="D47" s="82" t="inlineStr">
        <is>
          <t>Sprint 9 · Backtesting &amp; rollout</t>
        </is>
      </c>
      <c r="E47" s="104" t="inlineStr">
        <is>
          <t>PMO</t>
        </is>
      </c>
      <c r="F47" s="106" t="inlineStr">
        <is>
          <t>Document</t>
        </is>
      </c>
      <c r="G47" s="80" t="inlineStr">
        <is>
          <t>Phase 3 UAT and staged rollout</t>
        </is>
      </c>
      <c r="H47" s="107" t="inlineStr">
        <is>
          <t>Roll out per tenant behind flags, starting with BTG's own data, before any external property sees a recommendation.</t>
        </is>
      </c>
      <c r="I47" s="108" t="inlineStr">
        <is>
          <t>Blocked</t>
        </is>
      </c>
      <c r="J47" s="108" t="n">
        <v>5</v>
      </c>
      <c r="K47" s="109" t="n"/>
      <c r="L47" s="109" t="n"/>
      <c r="M47" s="110" t="n"/>
      <c r="N47" s="81" t="n">
        <v>0</v>
      </c>
      <c r="O47" s="80" t="inlineStr">
        <is>
          <t>3S9-QA-01</t>
        </is>
      </c>
      <c r="P47" s="80" t="inlineStr">
        <is>
          <t>All 12 Phase 3 acceptance criteria demonstrated and signed off</t>
        </is>
      </c>
      <c r="Q47" s="82" t="inlineStr">
        <is>
          <t>Spec §22</t>
        </is>
      </c>
      <c r="R47" s="111" t="n"/>
    </row>
    <row r="48" ht="23.85" customHeight="1" s="75">
      <c r="A48" s="112" t="n">
        <v>44</v>
      </c>
      <c r="B48" s="113" t="inlineStr">
        <is>
          <t>3S9-OPS-01</t>
        </is>
      </c>
      <c r="C48" s="85" t="n">
        <v>9</v>
      </c>
      <c r="D48" s="86" t="inlineStr">
        <is>
          <t>Sprint 9 · Backtesting &amp; rollout</t>
        </is>
      </c>
      <c r="E48" s="123" t="inlineStr">
        <is>
          <t>OPS</t>
        </is>
      </c>
      <c r="F48" s="124" t="inlineStr">
        <is>
          <t>Vendor console</t>
        </is>
      </c>
      <c r="G48" s="84" t="inlineStr">
        <is>
          <t>Model and pipeline monitoring</t>
        </is>
      </c>
      <c r="H48" s="116" t="inlineStr">
        <is>
          <t>Job failures, model drift, pipeline lag and data freshness all need alerts. A silently stale forecast is worse than none.</t>
        </is>
      </c>
      <c r="I48" s="108" t="inlineStr">
        <is>
          <t>Blocked</t>
        </is>
      </c>
      <c r="J48" s="108" t="n">
        <v>3</v>
      </c>
      <c r="K48" s="109" t="n"/>
      <c r="L48" s="109" t="n"/>
      <c r="M48" s="110" t="n"/>
      <c r="N48" s="85" t="n">
        <v>0</v>
      </c>
      <c r="O48" s="84" t="inlineStr">
        <is>
          <t>3S9-QA-01</t>
        </is>
      </c>
      <c r="P48" s="84" t="inlineStr">
        <is>
          <t>Monitoring and alerting live for every scheduled job and model service</t>
        </is>
      </c>
      <c r="Q48" s="86" t="inlineStr">
        <is>
          <t>Spec §20, §38</t>
        </is>
      </c>
      <c r="R48" s="111" t="n"/>
    </row>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2026-09-14T00:37:26Z</dcterms:modified>
  <cp:revision>0</cp:revision>
</cp:coreProperties>
</file>