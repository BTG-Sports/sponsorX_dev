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olish" sheetId="4" state="visible" r:id="rId4"/>
    <sheet name="Phase 1" sheetId="5" state="visible" r:id="rId5"/>
    <sheet name="Phase 2" sheetId="6" state="visible" r:id="rId6"/>
    <sheet name="Phase 3" sheetId="7" state="visible" r:id="rId7"/>
    <sheet name="Phase 4" sheetId="8" state="visible" r:id="rId8"/>
    <sheet name="Phase 5" sheetId="9" state="visible" r:id="rId9"/>
    <sheet name="Phase 6" sheetId="10" state="visible" r:id="rId10"/>
    <sheet name="Legal" sheetId="11" state="visible" r:id="rId11"/>
    <sheet name="Legend" sheetId="12" state="visible" r:id="rId12"/>
  </sheets>
  <definedNames>
    <definedName name="_xlnm._FilterDatabase" localSheetId="3" hidden="1">'Polish'!$A$4:$R$57</definedName>
    <definedName name="_xlnm._FilterDatabase" localSheetId="4" hidden="1">'Phase 1'!$A$4:$R$330</definedName>
    <definedName name="_xlnm._FilterDatabase" localSheetId="5" hidden="1">'Phase 2'!$A$4:$R$144</definedName>
    <definedName name="_xlnm._FilterDatabase" localSheetId="6" hidden="1">'Phase 3'!$A$4:$R$66</definedName>
    <definedName name="_xlnm._FilterDatabase" localSheetId="7" hidden="1">'Phase 4'!$A$4:$R$23</definedName>
    <definedName name="_xlnm._FilterDatabase" localSheetId="8" hidden="1">'Phase 5'!$A$4:$R$6</definedName>
    <definedName name="_xlnm._FilterDatabase" localSheetId="9" hidden="1">'Phase 6'!$A$4:$R$54</definedName>
    <definedName name="_xlnm._FilterDatabase" localSheetId="10"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4">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xf numFmtId="165" fontId="8" fillId="4" borderId="1" applyAlignment="1" pivotButton="0" quotePrefix="0" xfId="0">
      <alignment horizontal="center"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6"/>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Six phases (the blueprint's four; the INFINEX game split out on 2026-10-16 and became Phase 6 on 2026-10-27, when the Certified Recruiting partnership took Phase 5), 356 tasks. Each phase has its own sheet. Every task says where the work physically happens.</t>
        </is>
      </c>
    </row>
    <row r="3"/>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SponsorX's side as built (all Done). Every open task moved on 2026-10-20 to the game phase (Phase 6 since 2026-10-27): the game is parked</t>
        </is>
      </c>
      <c r="C8" s="85" t="n">
        <v>19</v>
      </c>
      <c r="D8" s="85" t="n">
        <v>62</v>
      </c>
      <c r="E8" s="86" t="inlineStr">
        <is>
          <t>18–22 weeks</t>
        </is>
      </c>
      <c r="F8" s="86" t="inlineStr">
        <is>
          <t>$90K–$150K</t>
        </is>
      </c>
      <c r="G8" s="84" t="inlineStr">
        <is>
          <t>Stable SponsorX APIs, campaign/reward engine, identity/session model, metrics pipeline</t>
        </is>
      </c>
    </row>
    <row r="9" ht="15" customHeight="1" s="75">
      <c r="A9" s="88" t="inlineStr">
        <is>
          <t>Phase 5</t>
        </is>
      </c>
      <c r="B9" s="84" t="inlineStr">
        <is>
          <t>Certified Recruiting partnership: SponsorX and certified-recruiting.com link to each other (the site is already built on GoDaddy; BTG already links to it)</t>
        </is>
      </c>
      <c r="C9" s="85" t="n">
        <v>2</v>
      </c>
      <c r="D9" s="85" t="n">
        <v>2</v>
      </c>
      <c r="E9" s="86" t="inlineStr">
        <is>
          <t>—</t>
        </is>
      </c>
      <c r="F9" s="86" t="inlineStr">
        <is>
          <t>—</t>
        </is>
      </c>
      <c r="G9" s="84" t="inlineStr">
        <is>
          <t>certified-recruiting.com, live</t>
        </is>
      </c>
    </row>
    <row r="10" ht="15" customHeight="1" s="75">
      <c r="A10" s="88" t="inlineStr">
        <is>
          <t>Phase 6</t>
        </is>
      </c>
      <c r="B10" s="84" t="inlineStr">
        <is>
          <t>INFINEX game integration: the in-game connector, the staging world test, the pilot world, calibrated virtual pricing, and player accounts (email, Google, Apple, authenticator) with a live connection</t>
        </is>
      </c>
      <c r="C10" s="85" t="n">
        <v>50</v>
      </c>
      <c r="D10" s="85" t="n">
        <v>198</v>
      </c>
      <c r="E10" s="86" t="inlineStr">
        <is>
          <t>after the game's staging world exists</t>
        </is>
      </c>
      <c r="F10" s="86" t="inlineStr">
        <is>
          <t>—</t>
        </is>
      </c>
      <c r="G10" s="84" t="inlineStr">
        <is>
          <t>The INFINEX game (not started 2026-10-16), Phase 4's endpoints</t>
        </is>
      </c>
    </row>
    <row r="11" s="75">
      <c r="A11" s="89" t="inlineStr">
        <is>
          <t>TOTAL</t>
        </is>
      </c>
      <c r="B11" s="89" t="inlineStr">
        <is>
          <t>Full SponsorX platform</t>
        </is>
      </c>
      <c r="C11" s="89">
        <f>SUM(C5:C10)</f>
        <v/>
      </c>
      <c r="D11" s="89">
        <f>SUM(D5:D10)</f>
        <v/>
      </c>
      <c r="E11" s="89" t="inlineStr">
        <is>
          <t>66–82 weeks</t>
        </is>
      </c>
      <c r="F11" s="89" t="inlineStr">
        <is>
          <t>$350K–$535K</t>
        </is>
      </c>
      <c r="G11" s="89" t="n"/>
    </row>
    <row r="12" s="75"/>
    <row r="13" ht="15" customHeight="1" s="75">
      <c r="A13" s="90" t="inlineStr">
        <is>
          <t>WHERE THE WORK HAPPENS</t>
        </is>
      </c>
    </row>
    <row r="14" ht="27.75" customHeight="1" s="75">
      <c r="A14" s="91" t="inlineStr">
        <is>
          <t>Why this column exists</t>
        </is>
      </c>
      <c r="B14" s="92" t="inlineStr">
        <is>
          <t>A task that says 'create the Zoho module' and a task that says 'author the Zoho mapping document' look identical in a list — but one is click-work in an admin UI and the other is a written spec. Every task now states which.</t>
        </is>
      </c>
    </row>
    <row r="15" ht="15" customHeight="1" s="75">
      <c r="A15" s="91" t="inlineStr">
        <is>
          <t>Document</t>
        </is>
      </c>
      <c r="B15" s="92" t="inlineStr">
        <is>
          <t>A written decision or specification. No system is touched — the output is a document people agree on.</t>
        </is>
      </c>
    </row>
    <row r="16" ht="15" customHeight="1" s="75">
      <c r="A16" s="91" t="inlineStr">
        <is>
          <t>Zoho dashboard</t>
        </is>
      </c>
      <c r="B16" s="92" t="inlineStr">
        <is>
          <t>Configuration clicked through the Zoho CRM admin UI (Setup → Modules and Fields, API credentials, users).</t>
        </is>
      </c>
    </row>
    <row r="17" ht="15" customHeight="1" s="75">
      <c r="A17" s="91" t="inlineStr">
        <is>
          <t>Vendor console</t>
        </is>
      </c>
      <c r="B17" s="92" t="inlineStr">
        <is>
          <t>Configuration in a vendor's own UI — Railway, Cloudflare, Clerk, the payment or email provider.</t>
        </is>
      </c>
    </row>
    <row r="18" ht="15" customHeight="1" s="75">
      <c r="A18" s="91" t="inlineStr">
        <is>
          <t>Code</t>
        </is>
      </c>
      <c r="B18" s="92" t="inlineStr">
        <is>
          <t>Work in the repository: schema, domain logic, routes, worker jobs, UI, tests, CI.</t>
        </is>
      </c>
    </row>
    <row r="19" ht="15" customHeight="1" s="75">
      <c r="A19" s="91" t="inlineStr">
        <is>
          <t>Code + console</t>
        </is>
      </c>
      <c r="B19" s="92" t="inlineStr">
        <is>
          <t>Both: something configured at the vendor AND wired in the codebase.</t>
        </is>
      </c>
    </row>
    <row r="20" ht="15" customHeight="1" s="75">
      <c r="A20" s="91" t="inlineStr">
        <is>
          <t>Design tool</t>
        </is>
      </c>
      <c r="B20" s="92" t="inlineStr">
        <is>
          <t>Visual design work producing artwork, diagrams or screen designs.</t>
        </is>
      </c>
    </row>
    <row r="21" ht="15" customHeight="1" s="75">
      <c r="A21" s="91" t="inlineStr">
        <is>
          <t>Document + code</t>
        </is>
      </c>
      <c r="B21" s="92" t="inlineStr">
        <is>
          <t>A written policy that must then be enforced in the codebase.</t>
        </is>
      </c>
    </row>
    <row r="22" ht="15" customHeight="1" s="75">
      <c r="A22" s="91" t="inlineStr">
        <is>
          <t>External · counsel</t>
        </is>
      </c>
      <c r="B22" s="92" t="inlineStr">
        <is>
          <t>Performed by a lawyer, not the team. Longest lead times in the programme — start these early.</t>
        </is>
      </c>
    </row>
    <row r="23" s="75"/>
    <row r="24" ht="15" customHeight="1" s="75">
      <c r="A24" s="90" t="inlineStr">
        <is>
          <t>HOW TO READ THIS WORKBOOK</t>
        </is>
      </c>
    </row>
    <row r="25" ht="15" customHeight="1" s="75">
      <c r="A25" s="91" t="inlineStr">
        <is>
          <t>One sheet per phase</t>
        </is>
      </c>
      <c r="B25" s="92" t="inlineStr">
        <is>
          <t>Phase 1–5, identical 18 columns, so they behave the same way.</t>
        </is>
      </c>
    </row>
    <row r="26" ht="27.75" customHeight="1" s="75">
      <c r="A26" s="91" t="inlineStr">
        <is>
          <t>Task IDs</t>
        </is>
      </c>
      <c r="B26" s="92" t="inlineStr">
        <is>
          <t>Phase 1: P{stage}-{CAT}-{nn}, e.g. P4-BE-03. Phases 2–6: {phase}S{sprint}-{CAT}-{nn}, e.g. 2S5-BE-04 = Phase 2, Sprint 5, Backend, task 04. IDs never change — cite them in branches and commits.</t>
        </is>
      </c>
    </row>
    <row r="27" ht="15" customHeight="1" s="75">
      <c r="A27" s="91" t="inlineStr">
        <is>
          <t>Order</t>
        </is>
      </c>
      <c r="B27" s="92" t="inlineStr">
        <is>
          <t>A dependency-respecting sort key, recomputed whenever tasks are added. It can shift; the ID cannot.</t>
        </is>
      </c>
    </row>
    <row r="28" ht="15" customHeight="1" s="75">
      <c r="A28" s="91" t="inlineStr">
        <is>
          <t>Status</t>
        </is>
      </c>
      <c r="B28" s="92" t="inlineStr">
        <is>
          <t>Phase 1 is live. Every Phase 2–4 task starts Blocked because Phase 1 must finish first. Phase 5 (Certified Recruiting) is live. Phase 6 waits for the INFINEX game.</t>
        </is>
      </c>
    </row>
    <row r="29" ht="15" customHeight="1" s="75">
      <c r="A29" s="91" t="inlineStr">
        <is>
          <t>Weight</t>
        </is>
      </c>
      <c r="B29" s="92" t="inlineStr">
        <is>
          <t>S=1 · M=3 · L=5 person-days. Estimates for one person, not calendar commitments.</t>
        </is>
      </c>
    </row>
    <row r="30" s="75"/>
    <row r="31" ht="15" customHeight="1" s="75">
      <c r="A31" s="90" t="inlineStr">
        <is>
          <t>PHASE OVERLAP</t>
        </is>
      </c>
    </row>
    <row r="32" ht="27.75" customHeight="1" s="75">
      <c r="A32" s="91" t="inlineStr">
        <is>
          <t>Permitted</t>
        </is>
      </c>
      <c r="B32" s="92" t="inlineStr">
        <is>
          <t>Begin Phase 3 warehouse and event modelling during the final 4–6 weeks of Phase 2. Begin the Phase 4 API contract and placement taxonomy during the final 4 weeks of Phase 3.</t>
        </is>
      </c>
    </row>
    <row r="33" ht="27.75" customHeight="1" s="75">
      <c r="A33" s="91" t="inlineStr">
        <is>
          <t>Forbidden</t>
        </is>
      </c>
      <c r="B33"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 (Phase 6, 6S2-QA-01).</t>
        </is>
      </c>
    </row>
    <row r="34" s="75"/>
    <row r="35" ht="15" customHeight="1" s="75">
      <c r="A35" s="90" t="inlineStr">
        <is>
          <t>SCOPE REALITY</t>
        </is>
      </c>
    </row>
    <row r="36" ht="27.75" customHeight="1" s="75">
      <c r="A36" s="91" t="inlineStr">
        <is>
          <t>Team size</t>
        </is>
      </c>
      <c r="B36" s="92" t="inlineStr">
        <is>
          <t>The blueprint staffs Phase 1 at 4.5–7.5 FTE and Phases 2–4 higher. The team is two people. Phase 1 alone is ~44 weeks at that size. Scope, not stack, is the binding constraint.</t>
        </is>
      </c>
    </row>
    <row r="37" s="75"/>
  </sheetData>
  <mergeCells count="19">
    <mergeCell ref="B14:G14"/>
    <mergeCell ref="B17:G17"/>
    <mergeCell ref="B29:G29"/>
    <mergeCell ref="B19:G19"/>
    <mergeCell ref="B28:G28"/>
    <mergeCell ref="B15:G15"/>
    <mergeCell ref="B33:G33"/>
    <mergeCell ref="B20:G20"/>
    <mergeCell ref="A1:G1"/>
    <mergeCell ref="B36:G36"/>
    <mergeCell ref="B32:G32"/>
    <mergeCell ref="B26:G26"/>
    <mergeCell ref="B25:G25"/>
    <mergeCell ref="B16:G16"/>
    <mergeCell ref="B22:G22"/>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6"/>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six phase sheets. Update Status on a phase sheet and this follows. Counts cover the 556 delivery tasks only — the 9 legal/counsel tasks moved to the Legal sheet on 2026-09-15 and are tracked there (565 total). 'External · counsel' therefore reads 0 here.</t>
        </is>
      </c>
    </row>
    <row r="3"/>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2'!$I$5:$I$144,"Ready")</f>
        <v/>
      </c>
      <c r="C6" s="85">
        <f>COUNTIF('Phase 2'!$I$5:$I$144,"In progress")</f>
        <v/>
      </c>
      <c r="D6" s="85">
        <f>COUNTIF('Phase 2'!$I$5:$I$144,"Code review")</f>
        <v/>
      </c>
      <c r="E6" s="85">
        <f>COUNTIF('Phase 2'!$I$5:$I$144,"Blocked")</f>
        <v/>
      </c>
      <c r="F6" s="85">
        <f>COUNTIF('Phase 2'!$I$5:$I$144,"Done")</f>
        <v/>
      </c>
      <c r="G6" s="85">
        <f>COUNTA('Phase 2'!$B$5:$B$144)</f>
        <v/>
      </c>
      <c r="H6" s="85">
        <f>SUMIF('Phase 2'!$I$5:$I$144,"&lt;&gt;Done",'Phase 2'!$J$5:$J$144)</f>
        <v/>
      </c>
    </row>
    <row r="7" ht="15" customHeight="1" s="75">
      <c r="A7" s="95" t="inlineStr">
        <is>
          <t>Phase 3</t>
        </is>
      </c>
      <c r="B7" s="81">
        <f>COUNTIF('Phase 3'!$I$5:$I$66,"Ready")</f>
        <v/>
      </c>
      <c r="C7" s="81">
        <f>COUNTIF('Phase 3'!$I$5:$I$66,"In progress")</f>
        <v/>
      </c>
      <c r="D7" s="81">
        <f>COUNTIF('Phase 3'!$I$5:$I$66,"Code review")</f>
        <v/>
      </c>
      <c r="E7" s="81">
        <f>COUNTIF('Phase 3'!$I$5:$I$66,"Blocked")</f>
        <v/>
      </c>
      <c r="F7" s="81">
        <f>COUNTIF('Phase 3'!$I$5:$I$66,"Done")</f>
        <v/>
      </c>
      <c r="G7" s="81">
        <f>COUNTA('Phase 3'!$B$5:$B$66)</f>
        <v/>
      </c>
      <c r="H7" s="81">
        <f>SUMIF('Phase 3'!$I$5:$I$66,"&lt;&gt;Done",'Phase 3'!$J$5:$J$66)</f>
        <v/>
      </c>
    </row>
    <row r="8" ht="15" customHeight="1" s="75">
      <c r="A8" s="96" t="inlineStr">
        <is>
          <t>Phase 4</t>
        </is>
      </c>
      <c r="B8" s="85">
        <f>COUNTIF('Phase 4'!$I$5:$I$51,"Ready")</f>
        <v/>
      </c>
      <c r="C8" s="85">
        <f>COUNTIF('Phase 4'!$I$5:$I$51,"In progress")</f>
        <v/>
      </c>
      <c r="D8" s="85">
        <f>COUNTIF('Phase 4'!$I$5:$I$51,"Code review")</f>
        <v/>
      </c>
      <c r="E8" s="85">
        <f>COUNTIF('Phase 4'!$I$5:$I$51,"Blocked")</f>
        <v/>
      </c>
      <c r="F8" s="85">
        <f>COUNTIF('Phase 4'!$I$5:$I$51,"Done")</f>
        <v/>
      </c>
      <c r="G8" s="85">
        <f>COUNTA('Phase 4'!$B$5:$B$51)</f>
        <v/>
      </c>
      <c r="H8" s="85">
        <f>SUMIF('Phase 4'!$I$5:$I$51,"&lt;&gt;Done",'Phase 4'!$J$5:$J$51)</f>
        <v/>
      </c>
    </row>
    <row r="9" ht="15" customHeight="1" s="75">
      <c r="A9" s="96" t="inlineStr">
        <is>
          <t>Phase 5</t>
        </is>
      </c>
      <c r="B9" s="85">
        <f>COUNTIF('Phase 5'!$I$5:$I$100,"Ready")</f>
        <v/>
      </c>
      <c r="C9" s="85">
        <f>COUNTIF('Phase 5'!$I$5:$I$100,"In progress")</f>
        <v/>
      </c>
      <c r="D9" s="85">
        <f>COUNTIF('Phase 5'!$I$5:$I$100,"Code review")</f>
        <v/>
      </c>
      <c r="E9" s="85">
        <f>COUNTIF('Phase 5'!$I$5:$I$100,"Blocked")</f>
        <v/>
      </c>
      <c r="F9" s="85">
        <f>COUNTIF('Phase 5'!$I$5:$I$100,"Done")</f>
        <v/>
      </c>
      <c r="G9" s="85">
        <f>COUNTA('Phase 5'!$B$5:$B$100)</f>
        <v/>
      </c>
      <c r="H9" s="85">
        <f>SUMIF('Phase 5'!$I$5:$I$100,"&lt;&gt;Done",'Phase 5'!$J$5:$J$100)</f>
        <v/>
      </c>
    </row>
    <row r="10">
      <c r="A10" s="94" t="inlineStr">
        <is>
          <t>Phase 6</t>
        </is>
      </c>
      <c r="B10" s="85">
        <f>COUNTIF('Phase 6'!$I$5:$I$100,"Ready")</f>
        <v/>
      </c>
      <c r="C10" s="85">
        <f>COUNTIF('Phase 6'!$I$5:$I$100,"In progress")</f>
        <v/>
      </c>
      <c r="D10" s="85">
        <f>COUNTIF('Phase 6'!$I$5:$I$100,"Code review")</f>
        <v/>
      </c>
      <c r="E10" s="85">
        <f>COUNTIF('Phase 6'!$I$5:$I$100,"Blocked")</f>
        <v/>
      </c>
      <c r="F10" s="85">
        <f>COUNTIF('Phase 6'!$I$5:$I$100,"Done")</f>
        <v/>
      </c>
      <c r="G10" s="85">
        <f>COUNTA('Phase 6'!$B$5:$B$100)</f>
        <v/>
      </c>
      <c r="H10" s="85">
        <f>SUMIF('Phase 6'!$I$5:$I$100,"&lt;&gt;Done",'Phase 6'!$J$5:$J$100)</f>
        <v/>
      </c>
    </row>
    <row r="11" ht="15" customHeight="1" s="75">
      <c r="A11" s="89" t="inlineStr">
        <is>
          <t>TOTAL</t>
        </is>
      </c>
      <c r="B11" s="89">
        <f>SUM(B5:B10)</f>
        <v/>
      </c>
      <c r="C11" s="89">
        <f>SUM(C5:C10)</f>
        <v/>
      </c>
      <c r="D11" s="89">
        <f>SUM(D5:D10)</f>
        <v/>
      </c>
      <c r="E11" s="89">
        <f>SUM(E5:E10)</f>
        <v/>
      </c>
      <c r="F11" s="89">
        <f>SUM(F5:F10)</f>
        <v/>
      </c>
      <c r="G11" s="89">
        <f>SUM(G5:G10)</f>
        <v/>
      </c>
      <c r="H11" s="89">
        <f>SUM(H5:H10)</f>
        <v/>
      </c>
    </row>
    <row r="12" ht="21.75" customHeight="1" s="75">
      <c r="A12" s="90" t="inlineStr">
        <is>
          <t>BY WHERE THE WORK HAPPENS</t>
        </is>
      </c>
    </row>
    <row r="13" ht="15" customHeight="1" s="75">
      <c r="A13" s="78" t="n"/>
      <c r="B13" s="78" t="inlineStr">
        <is>
          <t>Phase 1</t>
        </is>
      </c>
      <c r="C13" s="78" t="inlineStr">
        <is>
          <t>Phase 2</t>
        </is>
      </c>
      <c r="D13" s="78" t="inlineStr">
        <is>
          <t>Phase 3</t>
        </is>
      </c>
      <c r="E13" s="78" t="inlineStr">
        <is>
          <t>Phase 4</t>
        </is>
      </c>
      <c r="F13" s="78" t="inlineStr">
        <is>
          <t>Phase 5</t>
        </is>
      </c>
      <c r="G13" s="78" t="inlineStr">
        <is>
          <t>Phase 6</t>
        </is>
      </c>
      <c r="H13" s="78" t="inlineStr">
        <is>
          <t>Total</t>
        </is>
      </c>
    </row>
    <row r="14" ht="15" customHeight="1" s="75">
      <c r="A14" s="97" t="inlineStr">
        <is>
          <t>Document</t>
        </is>
      </c>
      <c r="B14" s="81">
        <f>COUNTIF('Phase 1'!$F$5:$F$400,"Document")</f>
        <v/>
      </c>
      <c r="C14" s="81">
        <f>COUNTIF('Phase 2'!$F$5:$F$144,"Document")</f>
        <v/>
      </c>
      <c r="D14" s="81">
        <f>COUNTIF('Phase 3'!$F$5:$F$66,"Document")</f>
        <v/>
      </c>
      <c r="E14" s="81">
        <f>COUNTIF('Phase 4'!$F$5:$F$51,"Document")</f>
        <v/>
      </c>
      <c r="F14" s="81">
        <f>COUNTIF('Phase 5'!$F$5:$F$100,"Document")</f>
        <v/>
      </c>
      <c r="G14" s="81">
        <f>COUNTIF('Phase 6'!$F$5:$F$100,"Document")</f>
        <v/>
      </c>
      <c r="H14" s="81">
        <f>SUM(B14:G14)</f>
        <v/>
      </c>
    </row>
    <row r="15" ht="15" customHeight="1" s="75">
      <c r="A15" s="98" t="inlineStr">
        <is>
          <t>Zoho dashboard</t>
        </is>
      </c>
      <c r="B15" s="81">
        <f>COUNTIF('Phase 1'!$F$5:$F$400,"Zoho dashboard")</f>
        <v/>
      </c>
      <c r="C15" s="81">
        <f>COUNTIF('Phase 2'!$F$5:$F$144,"Zoho dashboard")</f>
        <v/>
      </c>
      <c r="D15" s="81">
        <f>COUNTIF('Phase 3'!$F$5:$F$66,"Zoho dashboard")</f>
        <v/>
      </c>
      <c r="E15" s="81">
        <f>COUNTIF('Phase 4'!$F$5:$F$51,"Zoho dashboard")</f>
        <v/>
      </c>
      <c r="F15" s="81">
        <f>COUNTIF('Phase 5'!$F$5:$F$100,"Zoho dashboard")</f>
        <v/>
      </c>
      <c r="G15" s="81">
        <f>COUNTIF('Phase 6'!$F$5:$F$100,"Zoho dashboard")</f>
        <v/>
      </c>
      <c r="H15" s="81">
        <f>SUM(B15:G15)</f>
        <v/>
      </c>
    </row>
    <row r="16" ht="15" customHeight="1" s="75">
      <c r="A16" s="99" t="inlineStr">
        <is>
          <t>Vendor console</t>
        </is>
      </c>
      <c r="B16" s="81">
        <f>COUNTIF('Phase 1'!$F$5:$F$400,"Vendor console")</f>
        <v/>
      </c>
      <c r="C16" s="81">
        <f>COUNTIF('Phase 2'!$F$5:$F$144,"Vendor console")</f>
        <v/>
      </c>
      <c r="D16" s="81">
        <f>COUNTIF('Phase 3'!$F$5:$F$66,"Vendor console")</f>
        <v/>
      </c>
      <c r="E16" s="81">
        <f>COUNTIF('Phase 4'!$F$5:$F$51,"Vendor console")</f>
        <v/>
      </c>
      <c r="F16" s="81">
        <f>COUNTIF('Phase 5'!$F$5:$F$100,"Vendor console")</f>
        <v/>
      </c>
      <c r="G16" s="81">
        <f>COUNTIF('Phase 6'!$F$5:$F$100,"Vendor console")</f>
        <v/>
      </c>
      <c r="H16" s="81">
        <f>SUM(B16:G16)</f>
        <v/>
      </c>
    </row>
    <row r="17" ht="15" customHeight="1" s="75">
      <c r="A17" s="100" t="inlineStr">
        <is>
          <t>Code</t>
        </is>
      </c>
      <c r="B17" s="81">
        <f>COUNTIF('Phase 1'!$F$5:$F$400,"Code")</f>
        <v/>
      </c>
      <c r="C17" s="81">
        <f>COUNTIF('Phase 2'!$F$5:$F$144,"Code")</f>
        <v/>
      </c>
      <c r="D17" s="81">
        <f>COUNTIF('Phase 3'!$F$5:$F$66,"Code")</f>
        <v/>
      </c>
      <c r="E17" s="81">
        <f>COUNTIF('Phase 4'!$F$5:$F$51,"Code")</f>
        <v/>
      </c>
      <c r="F17" s="81">
        <f>COUNTIF('Phase 5'!$F$5:$F$100,"Code")</f>
        <v/>
      </c>
      <c r="G17" s="81">
        <f>COUNTIF('Phase 6'!$F$5:$F$100,"Code")</f>
        <v/>
      </c>
      <c r="H17" s="81">
        <f>SUM(B17:G17)</f>
        <v/>
      </c>
    </row>
    <row r="18" ht="15" customHeight="1" s="75">
      <c r="A18" s="99" t="inlineStr">
        <is>
          <t>Code + console</t>
        </is>
      </c>
      <c r="B18" s="81">
        <f>COUNTIF('Phase 1'!$F$5:$F$400,"Code + console")</f>
        <v/>
      </c>
      <c r="C18" s="81">
        <f>COUNTIF('Phase 2'!$F$5:$F$144,"Code + console")</f>
        <v/>
      </c>
      <c r="D18" s="81">
        <f>COUNTIF('Phase 3'!$F$5:$F$66,"Code + console")</f>
        <v/>
      </c>
      <c r="E18" s="81">
        <f>COUNTIF('Phase 4'!$F$5:$F$51,"Code + console")</f>
        <v/>
      </c>
      <c r="F18" s="81">
        <f>COUNTIF('Phase 5'!$F$5:$F$100,"Code + console")</f>
        <v/>
      </c>
      <c r="G18" s="81">
        <f>COUNTIF('Phase 6'!$F$5:$F$100,"Code + console")</f>
        <v/>
      </c>
      <c r="H18" s="81">
        <f>SUM(B18:G18)</f>
        <v/>
      </c>
    </row>
    <row r="19" ht="15" customHeight="1" s="75">
      <c r="A19" s="101" t="inlineStr">
        <is>
          <t>Design tool</t>
        </is>
      </c>
      <c r="B19" s="81">
        <f>COUNTIF('Phase 1'!$F$5:$F$400,"Design tool")</f>
        <v/>
      </c>
      <c r="C19" s="81">
        <f>COUNTIF('Phase 2'!$F$5:$F$144,"Design tool")</f>
        <v/>
      </c>
      <c r="D19" s="81">
        <f>COUNTIF('Phase 3'!$F$5:$F$66,"Design tool")</f>
        <v/>
      </c>
      <c r="E19" s="81">
        <f>COUNTIF('Phase 4'!$F$5:$F$51,"Design tool")</f>
        <v/>
      </c>
      <c r="F19" s="81">
        <f>COUNTIF('Phase 5'!$F$5:$F$100,"Design tool")</f>
        <v/>
      </c>
      <c r="G19" s="81">
        <f>COUNTIF('Phase 6'!$F$5:$F$100,"Design tool")</f>
        <v/>
      </c>
      <c r="H19" s="81">
        <f>SUM(B19:G19)</f>
        <v/>
      </c>
    </row>
    <row r="20" ht="15" customHeight="1" s="75">
      <c r="A20" s="97" t="inlineStr">
        <is>
          <t>Document + code</t>
        </is>
      </c>
      <c r="B20" s="81">
        <f>COUNTIF('Phase 1'!$F$5:$F$400,"Document + code")</f>
        <v/>
      </c>
      <c r="C20" s="81">
        <f>COUNTIF('Phase 2'!$F$5:$F$144,"Document + code")</f>
        <v/>
      </c>
      <c r="D20" s="81">
        <f>COUNTIF('Phase 3'!$F$5:$F$66,"Document + code")</f>
        <v/>
      </c>
      <c r="E20" s="81">
        <f>COUNTIF('Phase 4'!$F$5:$F$51,"Document + code")</f>
        <v/>
      </c>
      <c r="F20" s="81">
        <f>COUNTIF('Phase 5'!$F$5:$F$100,"Document + code")</f>
        <v/>
      </c>
      <c r="G20" s="81">
        <f>COUNTIF('Phase 6'!$F$5:$F$100,"Document + code")</f>
        <v/>
      </c>
      <c r="H20" s="81">
        <f>SUM(B20:G20)</f>
        <v/>
      </c>
    </row>
    <row r="21">
      <c r="A21" s="102" t="inlineStr">
        <is>
          <t>External · counsel</t>
        </is>
      </c>
      <c r="B21" s="81">
        <f>COUNTIF('Phase 1'!$F$5:$F$400,"External · counsel")</f>
        <v/>
      </c>
      <c r="C21" s="81">
        <f>COUNTIF('Phase 2'!$F$5:$F$144,"External · counsel")</f>
        <v/>
      </c>
      <c r="D21" s="81">
        <f>COUNTIF('Phase 3'!$F$5:$F$66,"External · counsel")</f>
        <v/>
      </c>
      <c r="E21" s="81">
        <f>COUNTIF('Phase 4'!$F$5:$F$51,"External · counsel")</f>
        <v/>
      </c>
      <c r="F21" s="81">
        <f>COUNTIF('Phase 5'!$F$5:$F$100,"External · counsel")</f>
        <v/>
      </c>
      <c r="G21" s="81">
        <f>COUNTIF('Phase 6'!$F$5:$F$100,"External · counsel")</f>
        <v/>
      </c>
      <c r="H21" s="81">
        <f>SUM(B21:G21)</f>
        <v/>
      </c>
    </row>
    <row r="22"/>
    <row r="23">
      <c r="A23" s="90" t="inlineStr">
        <is>
          <t>POLISH · URGENT, BEFORE LAUNCH</t>
        </is>
      </c>
    </row>
    <row r="24">
      <c r="B24" s="78" t="inlineStr">
        <is>
          <t>Ready</t>
        </is>
      </c>
      <c r="C24" s="78" t="inlineStr">
        <is>
          <t>In progress</t>
        </is>
      </c>
      <c r="D24" s="78" t="inlineStr">
        <is>
          <t>Code review</t>
        </is>
      </c>
      <c r="E24" s="78" t="inlineStr">
        <is>
          <t>Blocked</t>
        </is>
      </c>
      <c r="F24" s="78" t="inlineStr">
        <is>
          <t>Done</t>
        </is>
      </c>
      <c r="G24" s="78" t="inlineStr">
        <is>
          <t>Total</t>
        </is>
      </c>
      <c r="H24" s="78" t="inlineStr">
        <is>
          <t>Days left</t>
        </is>
      </c>
    </row>
    <row r="25">
      <c r="A25" s="93" t="inlineStr">
        <is>
          <t>Polish</t>
        </is>
      </c>
      <c r="B25" s="81">
        <f>COUNTIF('Polish'!$I$5:$I$200,"Ready")</f>
        <v/>
      </c>
      <c r="C25" s="81">
        <f>COUNTIF('Polish'!$I$5:$I$200,"In progress")</f>
        <v/>
      </c>
      <c r="D25" s="81">
        <f>COUNTIF('Polish'!$I$5:$I$200,"Code review")</f>
        <v/>
      </c>
      <c r="E25" s="81">
        <f>COUNTIF('Polish'!$I$5:$I$200,"Blocked")</f>
        <v/>
      </c>
      <c r="F25" s="81">
        <f>COUNTIF('Polish'!$I$5:$I$200,"Done")</f>
        <v/>
      </c>
      <c r="G25" s="81">
        <f>COUNTA('Polish'!$B$5:$B$200)</f>
        <v/>
      </c>
      <c r="H25" s="81">
        <f>SUMIF('Polish'!$I$5:$I$200,"&lt;&gt;Done",'Polish'!$J$5:$J$200)</f>
        <v/>
      </c>
    </row>
    <row r="26">
      <c r="A26" s="74" t="inlineStr">
        <is>
          <t>Kept apart from the phase totals above: these fixes cut across phases. Plan in documentation/polish.md.</t>
        </is>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42"/>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3"/>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6"/>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row r="29">
      <c r="A29" s="74" t="inlineStr">
        <is>
          <t>2026-10-05</t>
        </is>
      </c>
      <c r="B29" s="74" t="n">
        <v>25</v>
      </c>
      <c r="C29" s="74" t="n">
        <v>47</v>
      </c>
      <c r="D29" s="74" t="n">
        <v>23</v>
      </c>
      <c r="E29" s="74" t="n">
        <v>29</v>
      </c>
      <c r="F29" s="74" t="n">
        <v>27</v>
      </c>
      <c r="G29" s="74" t="n">
        <v>19</v>
      </c>
      <c r="H29" s="74" t="n">
        <v>20</v>
      </c>
      <c r="I29" s="74" t="n">
        <v>20</v>
      </c>
      <c r="J29" s="74" t="n">
        <v>18</v>
      </c>
      <c r="K29" s="74" t="n">
        <v>37</v>
      </c>
      <c r="L29" s="74" t="n">
        <v>265</v>
      </c>
      <c r="M29" s="74" t="n">
        <v>47</v>
      </c>
    </row>
    <row r="30">
      <c r="A30" s="74" t="inlineStr">
        <is>
          <t>2026-10-07</t>
        </is>
      </c>
      <c r="B30" s="74" t="n">
        <v>25</v>
      </c>
      <c r="C30" s="74" t="n">
        <v>47</v>
      </c>
      <c r="D30" s="74" t="n">
        <v>23</v>
      </c>
      <c r="E30" s="74" t="n">
        <v>29</v>
      </c>
      <c r="F30" s="74" t="n">
        <v>27</v>
      </c>
      <c r="G30" s="74" t="n">
        <v>19</v>
      </c>
      <c r="H30" s="74" t="n">
        <v>20</v>
      </c>
      <c r="I30" s="74" t="n">
        <v>20</v>
      </c>
      <c r="J30" s="74" t="n">
        <v>18</v>
      </c>
      <c r="K30" s="74" t="n">
        <v>37</v>
      </c>
      <c r="L30" s="74" t="n">
        <v>265</v>
      </c>
      <c r="M30" s="74" t="n">
        <v>58.5</v>
      </c>
    </row>
    <row r="31">
      <c r="A31" s="74" t="inlineStr">
        <is>
          <t>2026-10-08</t>
        </is>
      </c>
      <c r="B31" s="74" t="n">
        <v>26</v>
      </c>
      <c r="C31" s="74" t="n">
        <v>56</v>
      </c>
      <c r="D31" s="74" t="n">
        <v>25</v>
      </c>
      <c r="E31" s="74" t="n">
        <v>29</v>
      </c>
      <c r="F31" s="74" t="n">
        <v>27</v>
      </c>
      <c r="G31" s="74" t="n">
        <v>19</v>
      </c>
      <c r="H31" s="74" t="n">
        <v>20</v>
      </c>
      <c r="I31" s="74" t="n">
        <v>20</v>
      </c>
      <c r="J31" s="74" t="n">
        <v>19</v>
      </c>
      <c r="K31" s="74" t="n">
        <v>37</v>
      </c>
      <c r="L31" s="74" t="n">
        <v>278</v>
      </c>
      <c r="M31" s="74" t="n">
        <v>37</v>
      </c>
    </row>
    <row r="32">
      <c r="A32" s="74" t="inlineStr">
        <is>
          <t>2026-10-09</t>
        </is>
      </c>
      <c r="B32" s="74" t="n">
        <v>27</v>
      </c>
      <c r="C32" s="74" t="n">
        <v>56</v>
      </c>
      <c r="D32" s="74" t="n">
        <v>25</v>
      </c>
      <c r="E32" s="74" t="n">
        <v>29</v>
      </c>
      <c r="F32" s="74" t="n">
        <v>27</v>
      </c>
      <c r="G32" s="74" t="n">
        <v>19</v>
      </c>
      <c r="H32" s="74" t="n">
        <v>20</v>
      </c>
      <c r="I32" s="74" t="n">
        <v>20</v>
      </c>
      <c r="J32" s="74" t="n">
        <v>20</v>
      </c>
      <c r="K32" s="74" t="n">
        <v>37</v>
      </c>
      <c r="L32" s="74" t="n">
        <v>280</v>
      </c>
      <c r="M32" s="74" t="n">
        <v>33</v>
      </c>
    </row>
    <row r="33">
      <c r="A33" s="74" t="inlineStr">
        <is>
          <t>2026-10-12</t>
        </is>
      </c>
      <c r="B33" s="74" t="n">
        <v>27</v>
      </c>
      <c r="C33" s="74" t="n">
        <v>56</v>
      </c>
      <c r="D33" s="74" t="n">
        <v>25</v>
      </c>
      <c r="E33" s="74" t="n">
        <v>29</v>
      </c>
      <c r="F33" s="74" t="n">
        <v>27</v>
      </c>
      <c r="G33" s="74" t="n">
        <v>19</v>
      </c>
      <c r="H33" s="74" t="n">
        <v>20</v>
      </c>
      <c r="I33" s="74" t="n">
        <v>20</v>
      </c>
      <c r="J33" s="74" t="n">
        <v>20</v>
      </c>
      <c r="K33" s="74" t="n">
        <v>37</v>
      </c>
      <c r="L33" s="74" t="n">
        <v>280</v>
      </c>
      <c r="M33" s="74" t="n">
        <v>40</v>
      </c>
    </row>
    <row r="34">
      <c r="A34" s="74" t="inlineStr">
        <is>
          <t>2026-10-13</t>
        </is>
      </c>
      <c r="B34" s="74" t="n">
        <v>27</v>
      </c>
      <c r="C34" s="74" t="n">
        <v>56</v>
      </c>
      <c r="D34" s="74" t="n">
        <v>25</v>
      </c>
      <c r="E34" s="74" t="n">
        <v>29</v>
      </c>
      <c r="F34" s="74" t="n">
        <v>27</v>
      </c>
      <c r="G34" s="74" t="n">
        <v>19</v>
      </c>
      <c r="H34" s="74" t="n">
        <v>20</v>
      </c>
      <c r="I34" s="74" t="n">
        <v>20</v>
      </c>
      <c r="J34" s="74" t="n">
        <v>20</v>
      </c>
      <c r="K34" s="74" t="n">
        <v>37</v>
      </c>
      <c r="L34" s="74" t="n">
        <v>280</v>
      </c>
      <c r="M34" s="74" t="n">
        <v>40</v>
      </c>
    </row>
    <row r="35">
      <c r="A35" s="74" t="inlineStr">
        <is>
          <t>2026-10-14</t>
        </is>
      </c>
      <c r="B35" s="74" t="n">
        <v>27</v>
      </c>
      <c r="C35" s="74" t="n">
        <v>58</v>
      </c>
      <c r="D35" s="74" t="n">
        <v>25</v>
      </c>
      <c r="E35" s="74" t="n">
        <v>29</v>
      </c>
      <c r="F35" s="74" t="n">
        <v>27</v>
      </c>
      <c r="G35" s="74" t="n">
        <v>19</v>
      </c>
      <c r="H35" s="74" t="n">
        <v>20</v>
      </c>
      <c r="I35" s="74" t="n">
        <v>20</v>
      </c>
      <c r="J35" s="74" t="n">
        <v>20</v>
      </c>
      <c r="K35" s="74" t="n">
        <v>37</v>
      </c>
      <c r="L35" s="74" t="n">
        <v>282</v>
      </c>
      <c r="M35" s="74" t="n">
        <v>40</v>
      </c>
    </row>
    <row r="36">
      <c r="A36" s="74" t="inlineStr">
        <is>
          <t>2026-10-15</t>
        </is>
      </c>
      <c r="B36" s="74" t="n">
        <v>27</v>
      </c>
      <c r="C36" s="74" t="n">
        <v>62</v>
      </c>
      <c r="D36" s="74" t="n">
        <v>25</v>
      </c>
      <c r="E36" s="74" t="n">
        <v>29</v>
      </c>
      <c r="F36" s="74" t="n">
        <v>27</v>
      </c>
      <c r="G36" s="74" t="n">
        <v>19</v>
      </c>
      <c r="H36" s="74" t="n">
        <v>20</v>
      </c>
      <c r="I36" s="74" t="n">
        <v>20</v>
      </c>
      <c r="J36" s="74" t="n">
        <v>20</v>
      </c>
      <c r="K36" s="74" t="n">
        <v>37</v>
      </c>
      <c r="L36" s="74" t="n">
        <v>286</v>
      </c>
      <c r="M36" s="74" t="n">
        <v>40</v>
      </c>
    </row>
    <row r="37">
      <c r="A37" s="74" t="inlineStr">
        <is>
          <t>2026-10-19</t>
        </is>
      </c>
      <c r="B37" s="74" t="n">
        <v>28</v>
      </c>
      <c r="C37" s="74" t="n">
        <v>62</v>
      </c>
      <c r="D37" s="74" t="n">
        <v>25</v>
      </c>
      <c r="E37" s="74" t="n">
        <v>29</v>
      </c>
      <c r="F37" s="74" t="n">
        <v>27</v>
      </c>
      <c r="G37" s="74" t="n">
        <v>19</v>
      </c>
      <c r="H37" s="74" t="n">
        <v>20</v>
      </c>
      <c r="I37" s="74" t="n">
        <v>20</v>
      </c>
      <c r="J37" s="74" t="n">
        <v>24</v>
      </c>
      <c r="K37" s="74" t="n">
        <v>38</v>
      </c>
      <c r="L37" s="74" t="n">
        <v>292</v>
      </c>
      <c r="M37" s="74" t="n">
        <v>16</v>
      </c>
    </row>
    <row r="38">
      <c r="A38" s="74" t="inlineStr">
        <is>
          <t>2026-10-20</t>
        </is>
      </c>
      <c r="B38" s="74" t="n">
        <v>28</v>
      </c>
      <c r="C38" s="74" t="n">
        <v>62</v>
      </c>
      <c r="D38" s="74" t="n">
        <v>25</v>
      </c>
      <c r="E38" s="74" t="n">
        <v>29</v>
      </c>
      <c r="F38" s="74" t="n">
        <v>27</v>
      </c>
      <c r="G38" s="74" t="n">
        <v>19</v>
      </c>
      <c r="H38" s="74" t="n">
        <v>20</v>
      </c>
      <c r="I38" s="74" t="n">
        <v>20</v>
      </c>
      <c r="J38" s="74" t="n">
        <v>26</v>
      </c>
      <c r="K38" s="74" t="n">
        <v>38</v>
      </c>
      <c r="L38" s="74" t="n">
        <v>294</v>
      </c>
      <c r="M38" s="74" t="n">
        <v>21</v>
      </c>
    </row>
    <row r="39">
      <c r="A39" s="74" t="inlineStr">
        <is>
          <t>2026-10-22</t>
        </is>
      </c>
      <c r="B39" s="74" t="n">
        <v>28</v>
      </c>
      <c r="C39" s="74" t="n">
        <v>62</v>
      </c>
      <c r="D39" s="74" t="n">
        <v>25</v>
      </c>
      <c r="E39" s="74" t="n">
        <v>29</v>
      </c>
      <c r="F39" s="74" t="n">
        <v>27</v>
      </c>
      <c r="G39" s="74" t="n">
        <v>19</v>
      </c>
      <c r="H39" s="74" t="n">
        <v>20</v>
      </c>
      <c r="I39" s="74" t="n">
        <v>20</v>
      </c>
      <c r="J39" s="74" t="n">
        <v>30</v>
      </c>
      <c r="K39" s="74" t="n">
        <v>38</v>
      </c>
      <c r="L39" s="74" t="n">
        <v>298</v>
      </c>
      <c r="M39" s="74" t="n">
        <v>23.5</v>
      </c>
    </row>
    <row r="40" s="75">
      <c r="A40" s="74" t="inlineStr">
        <is>
          <t>2026-10-23</t>
        </is>
      </c>
      <c r="B40" s="74" t="n">
        <v>28</v>
      </c>
      <c r="C40" s="74" t="n">
        <v>62</v>
      </c>
      <c r="D40" s="74" t="n">
        <v>25</v>
      </c>
      <c r="E40" s="74" t="n">
        <v>29</v>
      </c>
      <c r="F40" s="74" t="n">
        <v>27</v>
      </c>
      <c r="G40" s="74" t="n">
        <v>19</v>
      </c>
      <c r="H40" s="74" t="n">
        <v>20</v>
      </c>
      <c r="I40" s="74" t="n">
        <v>20</v>
      </c>
      <c r="J40" s="74" t="n">
        <v>36</v>
      </c>
      <c r="K40" s="74" t="n">
        <v>38</v>
      </c>
      <c r="L40" s="74" t="n">
        <v>304</v>
      </c>
      <c r="M40" s="74" t="n">
        <v>16.5</v>
      </c>
    </row>
    <row r="41">
      <c r="A41" s="74" t="inlineStr">
        <is>
          <t>2026-10-26</t>
        </is>
      </c>
      <c r="B41" s="74" t="n">
        <v>28</v>
      </c>
      <c r="C41" s="74" t="n">
        <v>62</v>
      </c>
      <c r="D41" s="74" t="n">
        <v>25</v>
      </c>
      <c r="E41" s="74" t="n">
        <v>29</v>
      </c>
      <c r="F41" s="74" t="n">
        <v>27</v>
      </c>
      <c r="G41" s="74" t="n">
        <v>19</v>
      </c>
      <c r="H41" s="74" t="n">
        <v>20</v>
      </c>
      <c r="I41" s="74" t="n">
        <v>20</v>
      </c>
      <c r="J41" s="74" t="n">
        <v>39</v>
      </c>
      <c r="K41" s="74" t="n">
        <v>38</v>
      </c>
      <c r="L41" s="74" t="n">
        <v>307</v>
      </c>
      <c r="M41" s="74" t="n">
        <v>17.5</v>
      </c>
    </row>
    <row r="42">
      <c r="A42" s="74" t="inlineStr">
        <is>
          <t>2026-10-28</t>
        </is>
      </c>
      <c r="B42" s="74" t="n">
        <v>28</v>
      </c>
      <c r="C42" s="74" t="n">
        <v>62</v>
      </c>
      <c r="D42" s="74" t="n">
        <v>25</v>
      </c>
      <c r="E42" s="74" t="n">
        <v>29</v>
      </c>
      <c r="F42" s="74" t="n">
        <v>27</v>
      </c>
      <c r="G42" s="74" t="n">
        <v>19</v>
      </c>
      <c r="H42" s="74" t="n">
        <v>20</v>
      </c>
      <c r="I42" s="74" t="n">
        <v>20</v>
      </c>
      <c r="J42" s="74" t="n">
        <v>45</v>
      </c>
      <c r="K42" s="74" t="n">
        <v>38</v>
      </c>
      <c r="L42" s="74" t="n">
        <v>313</v>
      </c>
      <c r="M42" s="74" t="n">
        <v>23.5</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tabColor rgb="00C00000"/>
    <outlinePr summaryBelow="1" summaryRight="1"/>
    <pageSetUpPr fitToPage="0"/>
  </sheetPr>
  <dimension ref="A1:R57"/>
  <sheetViews>
    <sheetView workbookViewId="0">
      <selection activeCell="A1"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Polish · Fix before launch (URGENT)</t>
        </is>
      </c>
    </row>
    <row r="2" ht="15" customHeight="1" s="75">
      <c r="A2" s="77" t="inlineStr">
        <is>
          <t>53 tasks across 36 user-experience flaws found 2026-10-28 · do these before cleaning up any other task on the board · do POL-BE-04 first (hurting sponsors now, while Stripe is paused) · plan: documentation/polish.md</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POL-BE-01</t>
        </is>
      </c>
      <c r="C5" s="81" t="n">
        <v>1</v>
      </c>
      <c r="D5" s="82" t="inlineStr">
        <is>
          <t>A · Money, minors, consent</t>
        </is>
      </c>
      <c r="E5" s="138" t="inlineStr">
        <is>
          <t>BE</t>
        </is>
      </c>
      <c r="F5" s="120" t="inlineStr">
        <is>
          <t>Code</t>
        </is>
      </c>
      <c r="G5" s="80" t="inlineStr">
        <is>
          <t>Payouts stop going to the old guardian</t>
        </is>
      </c>
      <c r="H5" s="107" t="inlineStr">
        <is>
          <t>After a guardian handoff or coming of age, the old payout account stops receiving money (PayoutAccount is unique per athlete, so it is reused today). Payouts wait for the new holder's own account; both are told.</t>
        </is>
      </c>
      <c r="I5" s="108" t="inlineStr">
        <is>
          <t>Done</t>
        </is>
      </c>
      <c r="J5" s="108" t="n">
        <v>2</v>
      </c>
      <c r="K5" s="109" t="n">
        <v>46323</v>
      </c>
      <c r="L5" s="109" t="n">
        <v>46323</v>
      </c>
      <c r="M5" s="110" t="inlineStr">
        <is>
          <t>rcfworks</t>
        </is>
      </c>
      <c r="N5" s="81" t="n">
        <v>1</v>
      </c>
      <c r="O5" s="80" t="n"/>
      <c r="P5" s="80" t="inlineStr">
        <is>
          <t>No payout reaches the old account after a handoff or coming of age; new holder asked to set up; tests</t>
        </is>
      </c>
      <c r="Q5" s="82" t="inlineStr">
        <is>
          <t>polish.md #1</t>
        </is>
      </c>
      <c r="R5" s="111" t="inlineStr">
        <is>
          <t>Raised 2026-10-28 from the UX review. Rule decided 2026-10-28: anything not yet paid out follows the athlete to the new holder.</t>
        </is>
      </c>
    </row>
    <row r="6" ht="32.8" customHeight="1" s="75">
      <c r="A6" s="104" t="n">
        <v>2</v>
      </c>
      <c r="B6" s="105" t="inlineStr">
        <is>
          <t>POL-FE-01</t>
        </is>
      </c>
      <c r="C6" s="81" t="n">
        <v>1</v>
      </c>
      <c r="D6" s="82" t="inlineStr">
        <is>
          <t>A · Money, minors, consent</t>
        </is>
      </c>
      <c r="E6" s="138" t="inlineStr">
        <is>
          <t>FE</t>
        </is>
      </c>
      <c r="F6" s="120" t="inlineStr">
        <is>
          <t>Code</t>
        </is>
      </c>
      <c r="G6" s="80" t="inlineStr">
        <is>
          <t>New guardian or adult athlete sets up payouts</t>
        </is>
      </c>
      <c r="H6" s="107" t="inlineStr">
        <is>
          <t>After a handoff or coming of age, the payouts screen asks the new holder to set up their own account and shows payouts waiting.</t>
        </is>
      </c>
      <c r="I6" s="108" t="inlineStr">
        <is>
          <t>Ready</t>
        </is>
      </c>
      <c r="J6" s="108" t="n">
        <v>1</v>
      </c>
      <c r="K6" s="109" t="n"/>
      <c r="L6" s="109" t="n"/>
      <c r="M6" s="110" t="inlineStr">
        <is>
          <t>HeckerCreatives</t>
        </is>
      </c>
      <c r="N6" s="81" t="n">
        <v>0</v>
      </c>
      <c r="O6" s="80" t="inlineStr">
        <is>
          <t>POL-BE-01</t>
        </is>
      </c>
      <c r="P6" s="80" t="inlineStr">
        <is>
          <t>New holder sees the prompt and waiting payouts; old holder no longer sees the account</t>
        </is>
      </c>
      <c r="Q6" s="82" t="inlineStr">
        <is>
          <t>polish.md #1</t>
        </is>
      </c>
      <c r="R6" s="111" t="inlineStr">
        <is>
          <t>Raised 2026-10-28 from the UX review.</t>
        </is>
      </c>
    </row>
    <row r="7" ht="32.8" customHeight="1" s="75">
      <c r="A7" s="104" t="n">
        <v>3</v>
      </c>
      <c r="B7" s="105" t="inlineStr">
        <is>
          <t>POL-BE-02</t>
        </is>
      </c>
      <c r="C7" s="81" t="n">
        <v>1</v>
      </c>
      <c r="D7" s="82" t="inlineStr">
        <is>
          <t>A · Money, minors, consent</t>
        </is>
      </c>
      <c r="E7" s="138" t="inlineStr">
        <is>
          <t>BE</t>
        </is>
      </c>
      <c r="F7" s="120" t="inlineStr">
        <is>
          <t>Code</t>
        </is>
      </c>
      <c r="G7" s="80" t="inlineStr">
        <is>
          <t>A minor's date-of-birth change and coming-of-age takeover are held</t>
        </is>
      </c>
      <c r="H7" s="107" t="inlineStr">
        <is>
          <t>While a minor, a DOB change is held for the guardian and BTG instead of applying at once. A coming-of-age takeover is always held for BTG, even when the ID reads clear.</t>
        </is>
      </c>
      <c r="I7" s="108" t="inlineStr">
        <is>
          <t>Done</t>
        </is>
      </c>
      <c r="J7" s="108" t="n">
        <v>2</v>
      </c>
      <c r="K7" s="109" t="n">
        <v>46323</v>
      </c>
      <c r="L7" s="109" t="n">
        <v>46323</v>
      </c>
      <c r="M7" s="110" t="inlineStr">
        <is>
          <t>rcfworks</t>
        </is>
      </c>
      <c r="N7" s="81" t="n">
        <v>1</v>
      </c>
      <c r="O7" s="80" t="n"/>
      <c r="P7" s="80" t="inlineStr">
        <is>
          <t>Minor's DOB change waits for approval; coming of age never removes a guardian without BTG; tests</t>
        </is>
      </c>
      <c r="Q7" s="82" t="inlineStr">
        <is>
          <t>polish.md #2</t>
        </is>
      </c>
      <c r="R7" s="111" t="inlineStr">
        <is>
          <t>Raised 2026-10-28 from the UX review. Decided 2026-10-28: BTG alone approves a change that would make a minor an adult; takeover automatic only when the ID reads clear.</t>
        </is>
      </c>
    </row>
    <row r="8" ht="32.8" customHeight="1" s="75">
      <c r="A8" s="104" t="n">
        <v>4</v>
      </c>
      <c r="B8" s="105" t="inlineStr">
        <is>
          <t>POL-FE-02</t>
        </is>
      </c>
      <c r="C8" s="81" t="n">
        <v>1</v>
      </c>
      <c r="D8" s="82" t="inlineStr">
        <is>
          <t>A · Money, minors, consent</t>
        </is>
      </c>
      <c r="E8" s="138" t="inlineStr">
        <is>
          <t>FE</t>
        </is>
      </c>
      <c r="F8" s="120" t="inlineStr">
        <is>
          <t>Code</t>
        </is>
      </c>
      <c r="G8" s="80" t="inlineStr">
        <is>
          <t>DOB change shows 'waiting for approval'</t>
        </is>
      </c>
      <c r="H8" s="107" t="inlineStr">
        <is>
          <t>Profile edit shows a minor's DOB change as waiting; guardian and BTG see Approve / Decline.</t>
        </is>
      </c>
      <c r="I8" s="108" t="inlineStr">
        <is>
          <t>Ready</t>
        </is>
      </c>
      <c r="J8" s="108" t="n">
        <v>1</v>
      </c>
      <c r="K8" s="109" t="n"/>
      <c r="L8" s="109" t="n"/>
      <c r="M8" s="110" t="inlineStr">
        <is>
          <t>HeckerCreatives</t>
        </is>
      </c>
      <c r="N8" s="81" t="n">
        <v>0</v>
      </c>
      <c r="O8" s="80" t="inlineStr">
        <is>
          <t>POL-BE-02</t>
        </is>
      </c>
      <c r="P8" s="80" t="inlineStr">
        <is>
          <t>Minor sees waiting state; guardian and BTG can approve or decline</t>
        </is>
      </c>
      <c r="Q8" s="82" t="inlineStr">
        <is>
          <t>polish.md #2</t>
        </is>
      </c>
      <c r="R8" s="111" t="inlineStr">
        <is>
          <t>Raised 2026-10-28 from the UX review.</t>
        </is>
      </c>
    </row>
    <row r="9" ht="32.8" customHeight="1" s="75">
      <c r="A9" s="104" t="n">
        <v>5</v>
      </c>
      <c r="B9" s="105" t="inlineStr">
        <is>
          <t>POL-BE-03</t>
        </is>
      </c>
      <c r="C9" s="81" t="n">
        <v>1</v>
      </c>
      <c r="D9" s="82" t="inlineStr">
        <is>
          <t>A · Money, minors, consent</t>
        </is>
      </c>
      <c r="E9" s="138" t="inlineStr">
        <is>
          <t>BE</t>
        </is>
      </c>
      <c r="F9" s="120" t="inlineStr">
        <is>
          <t>Code</t>
        </is>
      </c>
      <c r="G9" s="80" t="inlineStr">
        <is>
          <t>A team can't raise its share without the athlete's yes</t>
        </is>
      </c>
      <c r="H9" s="107" t="inlineStr">
        <is>
          <t>Any share raise (directly added athletes included, not just invited) needs the athlete's agreement, the guardian's for a minor. Lowering applies at once. Both emailed.</t>
        </is>
      </c>
      <c r="I9" s="108" t="inlineStr">
        <is>
          <t>Done</t>
        </is>
      </c>
      <c r="J9" s="108" t="n">
        <v>2</v>
      </c>
      <c r="K9" s="109" t="n">
        <v>46324</v>
      </c>
      <c r="L9" s="109" t="n">
        <v>46324</v>
      </c>
      <c r="M9" s="110" t="inlineStr">
        <is>
          <t>rcfworks</t>
        </is>
      </c>
      <c r="N9" s="81" t="n">
        <v>1</v>
      </c>
      <c r="O9" s="80" t="n"/>
      <c r="P9" s="80" t="inlineStr">
        <is>
          <t>No share goes up without the athlete's or guardian's yes; tests for direct, invited and minor</t>
        </is>
      </c>
      <c r="Q9" s="82" t="inlineStr">
        <is>
          <t>polish.md #3</t>
        </is>
      </c>
      <c r="R9" s="111" t="inlineStr">
        <is>
          <t>Raised 2026-10-28 from the UX review. Decided 2026-10-29: the share typed at Add athlete needs the athlete's yes too; BTG's standard share applies until then. PR #322.</t>
        </is>
      </c>
    </row>
    <row r="10" ht="32.8" customHeight="1" s="75">
      <c r="A10" s="104" t="n">
        <v>6</v>
      </c>
      <c r="B10" s="105" t="inlineStr">
        <is>
          <t>POL-FE-03</t>
        </is>
      </c>
      <c r="C10" s="81" t="n">
        <v>1</v>
      </c>
      <c r="D10" s="82" t="inlineStr">
        <is>
          <t>A · Money, minors, consent</t>
        </is>
      </c>
      <c r="E10" s="138" t="inlineStr">
        <is>
          <t>FE</t>
        </is>
      </c>
      <c r="F10" s="120" t="inlineStr">
        <is>
          <t>Code</t>
        </is>
      </c>
      <c r="G10" s="80" t="inlineStr">
        <is>
          <t>Accept or decline a team share change</t>
        </is>
      </c>
      <c r="H10" s="107" t="inlineStr">
        <is>
          <t>Athlete or guardian screen showing old and new share with Accept / Decline; team sees 'waiting for the athlete'.</t>
        </is>
      </c>
      <c r="I10" s="108" t="inlineStr">
        <is>
          <t>Ready</t>
        </is>
      </c>
      <c r="J10" s="108" t="n">
        <v>1</v>
      </c>
      <c r="K10" s="109" t="n"/>
      <c r="L10" s="109" t="n"/>
      <c r="M10" s="110" t="inlineStr">
        <is>
          <t>HeckerCreatives</t>
        </is>
      </c>
      <c r="N10" s="81" t="n">
        <v>0</v>
      </c>
      <c r="O10" s="80" t="inlineStr">
        <is>
          <t>POL-BE-03</t>
        </is>
      </c>
      <c r="P10" s="80" t="inlineStr">
        <is>
          <t>Athlete or guardian can accept or decline; team sees the pending state</t>
        </is>
      </c>
      <c r="Q10" s="82" t="inlineStr">
        <is>
          <t>polish.md #3</t>
        </is>
      </c>
      <c r="R10" s="111" t="inlineStr">
        <is>
          <t>Raised 2026-10-28 from the UX review.</t>
        </is>
      </c>
    </row>
    <row r="11" ht="32.8" customHeight="1" s="75">
      <c r="A11" s="104" t="n">
        <v>7</v>
      </c>
      <c r="B11" s="105" t="inlineStr">
        <is>
          <t>POL-BE-04</t>
        </is>
      </c>
      <c r="C11" s="81" t="n">
        <v>1</v>
      </c>
      <c r="D11" s="82" t="inlineStr">
        <is>
          <t>A · Money, minors, consent</t>
        </is>
      </c>
      <c r="E11" s="138" t="inlineStr">
        <is>
          <t>BE</t>
        </is>
      </c>
      <c r="F11" s="120" t="inlineStr">
        <is>
          <t>Code</t>
        </is>
      </c>
      <c r="G11" s="80" t="inlineStr">
        <is>
          <t>No reminders or cancellations while payment is off</t>
        </is>
      </c>
      <c r="H11" s="107" t="inlineStr">
        <is>
          <t>sweepUnpaidOrders and the reminders skip orders while the payment provider is off; the countdown starts when payment opens. Hurting sponsors now, while Stripe is paused.</t>
        </is>
      </c>
      <c r="I11" s="108" t="inlineStr">
        <is>
          <t>Done</t>
        </is>
      </c>
      <c r="J11" s="108" t="n">
        <v>1</v>
      </c>
      <c r="K11" s="109" t="n">
        <v>46323</v>
      </c>
      <c r="L11" s="109" t="n">
        <v>46323</v>
      </c>
      <c r="M11" s="110" t="inlineStr">
        <is>
          <t>rcfworks</t>
        </is>
      </c>
      <c r="N11" s="81" t="n">
        <v>1</v>
      </c>
      <c r="O11" s="80" t="n"/>
      <c r="P11" s="80" t="inlineStr">
        <is>
          <t>With payment off no reminder and no cancellation; with it on unchanged; tests</t>
        </is>
      </c>
      <c r="Q11" s="82" t="inlineStr">
        <is>
          <t>polish.md #4</t>
        </is>
      </c>
      <c r="R11" s="111" t="inlineStr">
        <is>
          <t>Raised 2026-10-28 from the UX review.</t>
        </is>
      </c>
    </row>
    <row r="12" ht="32.8" customHeight="1" s="75">
      <c r="A12" s="104" t="n">
        <v>8</v>
      </c>
      <c r="B12" s="105" t="inlineStr">
        <is>
          <t>POL-FE-04</t>
        </is>
      </c>
      <c r="C12" s="81" t="n">
        <v>1</v>
      </c>
      <c r="D12" s="82" t="inlineStr">
        <is>
          <t>A · Money, minors, consent</t>
        </is>
      </c>
      <c r="E12" s="138" t="inlineStr">
        <is>
          <t>FE</t>
        </is>
      </c>
      <c r="F12" s="120" t="inlineStr">
        <is>
          <t>Code</t>
        </is>
      </c>
      <c r="G12" s="80" t="inlineStr">
        <is>
          <t>Checkout says payment opens later</t>
        </is>
      </c>
      <c r="H12" s="107" t="inlineStr">
        <is>
          <t>Checkout and order page say plainly that payment is not open yet and the order is held, not cancelled.</t>
        </is>
      </c>
      <c r="I12" s="108" t="inlineStr">
        <is>
          <t>Ready</t>
        </is>
      </c>
      <c r="J12" s="108" t="n">
        <v>0.5</v>
      </c>
      <c r="K12" s="109" t="n"/>
      <c r="L12" s="109" t="n"/>
      <c r="M12" s="110" t="inlineStr">
        <is>
          <t>HeckerCreatives</t>
        </is>
      </c>
      <c r="N12" s="81" t="n">
        <v>0</v>
      </c>
      <c r="O12" s="80" t="inlineStr">
        <is>
          <t>POL-BE-04</t>
        </is>
      </c>
      <c r="P12" s="80" t="inlineStr">
        <is>
          <t>Sponsor sees the order is held until payment opens</t>
        </is>
      </c>
      <c r="Q12" s="82" t="inlineStr">
        <is>
          <t>polish.md #4</t>
        </is>
      </c>
      <c r="R12" s="111" t="inlineStr">
        <is>
          <t>Raised 2026-10-28 from the UX review.</t>
        </is>
      </c>
    </row>
    <row r="13" ht="32.8" customHeight="1" s="75">
      <c r="A13" s="104" t="n">
        <v>9</v>
      </c>
      <c r="B13" s="105" t="inlineStr">
        <is>
          <t>POL-BE-05</t>
        </is>
      </c>
      <c r="C13" s="81" t="n">
        <v>1</v>
      </c>
      <c r="D13" s="82" t="inlineStr">
        <is>
          <t>A · Money, minors, consent</t>
        </is>
      </c>
      <c r="E13" s="138" t="inlineStr">
        <is>
          <t>BE</t>
        </is>
      </c>
      <c r="F13" s="120" t="inlineStr">
        <is>
          <t>Code</t>
        </is>
      </c>
      <c r="G13" s="80" t="inlineStr">
        <is>
          <t>Order quote with fees before placing</t>
        </is>
      </c>
      <c r="H13" s="107" t="inlineStr">
        <is>
          <t>A quote endpoint returns subtotal, fees and total before the order is placed (skip if one already exists).</t>
        </is>
      </c>
      <c r="I13" s="108" t="inlineStr">
        <is>
          <t>Done</t>
        </is>
      </c>
      <c r="J13" s="108" t="n">
        <v>1</v>
      </c>
      <c r="K13" s="109" t="n">
        <v>46324</v>
      </c>
      <c r="L13" s="109" t="n">
        <v>46324</v>
      </c>
      <c r="M13" s="110" t="inlineStr">
        <is>
          <t>rcfworks</t>
        </is>
      </c>
      <c r="N13" s="81" t="n">
        <v>1</v>
      </c>
      <c r="O13" s="80" t="n"/>
      <c r="P13" s="80" t="inlineStr">
        <is>
          <t>Quote total equals the charged total; tests</t>
        </is>
      </c>
      <c r="Q13" s="82" t="inlineStr">
        <is>
          <t>polish.md #5</t>
        </is>
      </c>
      <c r="R13" s="111" t="inlineStr">
        <is>
          <t>Raised 2026-10-28 from the UX review. PR #324: the cart, the held checkout and placing carry a quote (subtotal, fees, total); placing refuses a changed total.</t>
        </is>
      </c>
    </row>
    <row r="14" ht="32.8" customHeight="1" s="75">
      <c r="A14" s="104" t="n">
        <v>10</v>
      </c>
      <c r="B14" s="105" t="inlineStr">
        <is>
          <t>POL-FE-05</t>
        </is>
      </c>
      <c r="C14" s="81" t="n">
        <v>1</v>
      </c>
      <c r="D14" s="82" t="inlineStr">
        <is>
          <t>A · Money, minors, consent</t>
        </is>
      </c>
      <c r="E14" s="138" t="inlineStr">
        <is>
          <t>FE</t>
        </is>
      </c>
      <c r="F14" s="120" t="inlineStr">
        <is>
          <t>Code</t>
        </is>
      </c>
      <c r="G14" s="80" t="inlineStr">
        <is>
          <t>Checkout shows the full total before committing</t>
        </is>
      </c>
      <c r="H14" s="107" t="inlineStr">
        <is>
          <t>Replace 'Fees: added when the order is placed' and 'Total so far' with the real total next to the button that commits.</t>
        </is>
      </c>
      <c r="I14" s="108" t="inlineStr">
        <is>
          <t>Ready</t>
        </is>
      </c>
      <c r="J14" s="108" t="n">
        <v>0.5</v>
      </c>
      <c r="K14" s="109" t="n"/>
      <c r="L14" s="109" t="n"/>
      <c r="M14" s="110" t="inlineStr">
        <is>
          <t>HeckerCreatives</t>
        </is>
      </c>
      <c r="N14" s="81" t="n">
        <v>0</v>
      </c>
      <c r="O14" s="80" t="inlineStr">
        <is>
          <t>POL-BE-05</t>
        </is>
      </c>
      <c r="P14" s="80" t="inlineStr">
        <is>
          <t>Total shown before placing equals the total charged</t>
        </is>
      </c>
      <c r="Q14" s="82" t="inlineStr">
        <is>
          <t>polish.md #5</t>
        </is>
      </c>
      <c r="R14" s="111" t="inlineStr">
        <is>
          <t>Raised 2026-10-28 from the UX review.</t>
        </is>
      </c>
    </row>
    <row r="15" ht="32.8" customHeight="1" s="75">
      <c r="A15" s="104" t="n">
        <v>11</v>
      </c>
      <c r="B15" s="105" t="inlineStr">
        <is>
          <t>POL-BE-06</t>
        </is>
      </c>
      <c r="C15" s="81" t="n">
        <v>1</v>
      </c>
      <c r="D15" s="82" t="inlineStr">
        <is>
          <t>A · Money, minors, consent</t>
        </is>
      </c>
      <c r="E15" s="138" t="inlineStr">
        <is>
          <t>BE</t>
        </is>
      </c>
      <c r="F15" s="120" t="inlineStr">
        <is>
          <t>Code</t>
        </is>
      </c>
      <c r="G15" s="80" t="inlineStr">
        <is>
          <t>Duplicate payment creates a refund to send</t>
        </is>
      </c>
      <c r="H15" s="107" t="inlineStr">
        <is>
          <t>A duplicate payment adds a row to Refunds to send and flags the order; BTG can mark it refunded.</t>
        </is>
      </c>
      <c r="I15" s="108" t="inlineStr">
        <is>
          <t>Done</t>
        </is>
      </c>
      <c r="J15" s="108" t="n">
        <v>1</v>
      </c>
      <c r="K15" s="109" t="n">
        <v>46324</v>
      </c>
      <c r="L15" s="109" t="n">
        <v>46324</v>
      </c>
      <c r="M15" s="110" t="inlineStr">
        <is>
          <t>rcfworks</t>
        </is>
      </c>
      <c r="N15" s="81" t="n">
        <v>1</v>
      </c>
      <c r="O15" s="80" t="n"/>
      <c r="P15" s="80" t="inlineStr">
        <is>
          <t>Duplicate shows in Refunds to send and on the order; tests</t>
        </is>
      </c>
      <c r="Q15" s="82" t="inlineStr">
        <is>
          <t>polish.md #6</t>
        </is>
      </c>
      <c r="R15" s="111" t="inlineStr">
        <is>
          <t>Raised 2026-10-28 from the UX review. PR #325: a card payment confirmed for an order already paid (PAID_TWICE) or refunded (PAID_AFTER_REFUND) is its own refund row; refunds of extra payments never shorten the order's own.</t>
        </is>
      </c>
    </row>
    <row r="16" ht="32.8" customHeight="1" s="75">
      <c r="A16" s="104" t="n">
        <v>12</v>
      </c>
      <c r="B16" s="105" t="inlineStr">
        <is>
          <t>POL-FE-06</t>
        </is>
      </c>
      <c r="C16" s="81" t="n">
        <v>1</v>
      </c>
      <c r="D16" s="82" t="inlineStr">
        <is>
          <t>A · Money, minors, consent</t>
        </is>
      </c>
      <c r="E16" s="138" t="inlineStr">
        <is>
          <t>FE</t>
        </is>
      </c>
      <c r="F16" s="120" t="inlineStr">
        <is>
          <t>Code</t>
        </is>
      </c>
      <c r="G16" s="80" t="inlineStr">
        <is>
          <t>Order page shows a duplicate payment</t>
        </is>
      </c>
      <c r="H16" s="107" t="inlineStr">
        <is>
          <t>Order page shows the duplicate and its refund status; BTG gets a Mark refunded button.</t>
        </is>
      </c>
      <c r="I16" s="108" t="inlineStr">
        <is>
          <t>Ready</t>
        </is>
      </c>
      <c r="J16" s="108" t="n">
        <v>0.5</v>
      </c>
      <c r="K16" s="109" t="n"/>
      <c r="L16" s="109" t="n"/>
      <c r="M16" s="110" t="inlineStr">
        <is>
          <t>HeckerCreatives</t>
        </is>
      </c>
      <c r="N16" s="81" t="n">
        <v>0</v>
      </c>
      <c r="O16" s="80" t="inlineStr">
        <is>
          <t>POL-BE-06</t>
        </is>
      </c>
      <c r="P16" s="80" t="inlineStr">
        <is>
          <t>Sponsor and BTG see the duplicate and refund status</t>
        </is>
      </c>
      <c r="Q16" s="82" t="inlineStr">
        <is>
          <t>polish.md #6</t>
        </is>
      </c>
      <c r="R16" s="111" t="inlineStr">
        <is>
          <t>Raised 2026-10-28 from the UX review.</t>
        </is>
      </c>
    </row>
    <row r="17" ht="32.8" customHeight="1" s="75">
      <c r="A17" s="104" t="n">
        <v>13</v>
      </c>
      <c r="B17" s="105" t="inlineStr">
        <is>
          <t>POL-BE-07</t>
        </is>
      </c>
      <c r="C17" s="81" t="n">
        <v>1</v>
      </c>
      <c r="D17" s="82" t="inlineStr">
        <is>
          <t>A · Money, minors, consent</t>
        </is>
      </c>
      <c r="E17" s="138" t="inlineStr">
        <is>
          <t>BE</t>
        </is>
      </c>
      <c r="F17" s="120" t="inlineStr">
        <is>
          <t>Code</t>
        </is>
      </c>
      <c r="G17" s="80" t="inlineStr">
        <is>
          <t>Staff redeem needs a venue code, with undo</t>
        </is>
      </c>
      <c r="H17" s="107" t="inlineStr">
        <is>
          <t>Redeem requires a staff PIN per reward or event; a redeem can be undone within a few minutes.</t>
        </is>
      </c>
      <c r="I17" s="108" t="inlineStr">
        <is>
          <t>Done</t>
        </is>
      </c>
      <c r="J17" s="108" t="n">
        <v>2</v>
      </c>
      <c r="K17" s="109" t="n">
        <v>46324</v>
      </c>
      <c r="L17" s="109" t="n">
        <v>46324</v>
      </c>
      <c r="M17" s="110" t="inlineStr">
        <is>
          <t>rcfworks</t>
        </is>
      </c>
      <c r="N17" s="81" t="n">
        <v>1</v>
      </c>
      <c r="O17" s="80" t="n"/>
      <c r="P17" s="80" t="inlineStr">
        <is>
          <t>No redeem without the venue code; undo works in the window; tests</t>
        </is>
      </c>
      <c r="Q17" s="82" t="inlineStr">
        <is>
          <t>polish.md #7</t>
        </is>
      </c>
      <c r="R17" s="111" t="inlineStr">
        <is>
          <t>Raised 2026-10-28 from the UX review. PR #328: six-digit staff code per reward (BTG and sponsor admins), 5 wrong lock 15 min, undo within 5 min; behind REWARD_STAFF_CODE_REQUIRED (off) until POL-FE-07.</t>
        </is>
      </c>
    </row>
    <row r="18" ht="32.8" customHeight="1" s="75">
      <c r="A18" s="104" t="n">
        <v>14</v>
      </c>
      <c r="B18" s="105" t="inlineStr">
        <is>
          <t>POL-FE-07</t>
        </is>
      </c>
      <c r="C18" s="81" t="n">
        <v>1</v>
      </c>
      <c r="D18" s="82" t="inlineStr">
        <is>
          <t>A · Money, minors, consent</t>
        </is>
      </c>
      <c r="E18" s="138" t="inlineStr">
        <is>
          <t>FE</t>
        </is>
      </c>
      <c r="F18" s="120" t="inlineStr">
        <is>
          <t>Code</t>
        </is>
      </c>
      <c r="G18" s="80" t="inlineStr">
        <is>
          <t>Fan page asks for the staff code</t>
        </is>
      </c>
      <c r="H18" s="107" t="inlineStr">
        <is>
          <t>'Staff: redeem now' asks for the code and confirms; shows Undo for a few minutes.</t>
        </is>
      </c>
      <c r="I18" s="108" t="inlineStr">
        <is>
          <t>Ready</t>
        </is>
      </c>
      <c r="J18" s="108" t="n">
        <v>1</v>
      </c>
      <c r="K18" s="109" t="n"/>
      <c r="L18" s="109" t="n"/>
      <c r="M18" s="110" t="inlineStr">
        <is>
          <t>HeckerCreatives</t>
        </is>
      </c>
      <c r="N18" s="81" t="n">
        <v>0</v>
      </c>
      <c r="O18" s="80" t="inlineStr">
        <is>
          <t>POL-BE-07</t>
        </is>
      </c>
      <c r="P18" s="80" t="inlineStr">
        <is>
          <t>Redeem needs the code and a confirmation; undo shown</t>
        </is>
      </c>
      <c r="Q18" s="82" t="inlineStr">
        <is>
          <t>polish.md #7</t>
        </is>
      </c>
      <c r="R18" s="111" t="inlineStr">
        <is>
          <t>Raised 2026-10-28 from the UX review.</t>
        </is>
      </c>
    </row>
    <row r="19" ht="32.8" customHeight="1" s="75">
      <c r="A19" s="104" t="n">
        <v>15</v>
      </c>
      <c r="B19" s="105" t="inlineStr">
        <is>
          <t>POL-BE-08</t>
        </is>
      </c>
      <c r="C19" s="81" t="n">
        <v>1</v>
      </c>
      <c r="D19" s="82" t="inlineStr">
        <is>
          <t>A · Money, minors, consent</t>
        </is>
      </c>
      <c r="E19" s="138" t="inlineStr">
        <is>
          <t>BE</t>
        </is>
      </c>
      <c r="F19" s="120" t="inlineStr">
        <is>
          <t>Code</t>
        </is>
      </c>
      <c r="G19" s="80" t="inlineStr">
        <is>
          <t>Each fan gets their own claim on a shared code</t>
        </is>
      </c>
      <c r="H19" s="107" t="inlineStr">
        <is>
          <t>Claims are per fan, not per code, up to the reward's limit; later fans' emails are collected.</t>
        </is>
      </c>
      <c r="I19" s="108" t="inlineStr">
        <is>
          <t>Done</t>
        </is>
      </c>
      <c r="J19" s="108" t="n">
        <v>2</v>
      </c>
      <c r="K19" s="109" t="n">
        <v>46324</v>
      </c>
      <c r="L19" s="109" t="n">
        <v>46324</v>
      </c>
      <c r="M19" s="110" t="inlineStr">
        <is>
          <t>rcfworks</t>
        </is>
      </c>
      <c r="N19" s="81" t="n">
        <v>1</v>
      </c>
      <c r="O19" s="80" t="n"/>
      <c r="P19" s="80" t="inlineStr">
        <is>
          <t>Two fans on one code each get their own claim; tests</t>
        </is>
      </c>
      <c r="Q19" s="82" t="inlineStr">
        <is>
          <t>polish.md #8</t>
        </is>
      </c>
      <c r="R19" s="111" t="inlineStr">
        <is>
          <t>Raised 2026-10-28 from the UX review. PR #329: a fan claiming through a shared code gets their own code (claim, hold, email, redeem on it); same address gets its code back; behind REWARD_FAN_CODES (off) until POL-FE-08.</t>
        </is>
      </c>
    </row>
    <row r="20" ht="32.8" customHeight="1" s="75">
      <c r="A20" s="104" t="n">
        <v>16</v>
      </c>
      <c r="B20" s="105" t="inlineStr">
        <is>
          <t>POL-FE-08</t>
        </is>
      </c>
      <c r="C20" s="81" t="n">
        <v>1</v>
      </c>
      <c r="D20" s="82" t="inlineStr">
        <is>
          <t>A · Money, minors, consent</t>
        </is>
      </c>
      <c r="E20" s="138" t="inlineStr">
        <is>
          <t>FE</t>
        </is>
      </c>
      <c r="F20" s="120" t="inlineStr">
        <is>
          <t>Code</t>
        </is>
      </c>
      <c r="G20" s="80" t="inlineStr">
        <is>
          <t>Fan page shows the fan's own claim</t>
        </is>
      </c>
      <c r="H20" s="107" t="inlineStr">
        <is>
          <t>The page shows this fan's claim, or 'all claimed', never another fan's hold.</t>
        </is>
      </c>
      <c r="I20" s="108" t="inlineStr">
        <is>
          <t>Ready</t>
        </is>
      </c>
      <c r="J20" s="108" t="n">
        <v>0.5</v>
      </c>
      <c r="K20" s="109" t="n"/>
      <c r="L20" s="109" t="n"/>
      <c r="M20" s="110" t="inlineStr">
        <is>
          <t>HeckerCreatives</t>
        </is>
      </c>
      <c r="N20" s="81" t="n">
        <v>0</v>
      </c>
      <c r="O20" s="80" t="inlineStr">
        <is>
          <t>POL-BE-08</t>
        </is>
      </c>
      <c r="P20" s="80" t="inlineStr">
        <is>
          <t>Each fan sees only their own claim</t>
        </is>
      </c>
      <c r="Q20" s="82" t="inlineStr">
        <is>
          <t>polish.md #8</t>
        </is>
      </c>
      <c r="R20" s="111" t="inlineStr">
        <is>
          <t>Raised 2026-10-28 from the UX review.</t>
        </is>
      </c>
    </row>
    <row r="21" ht="32.8" customHeight="1" s="75">
      <c r="A21" s="104" t="n">
        <v>17</v>
      </c>
      <c r="B21" s="105" t="inlineStr">
        <is>
          <t>POL-BE-09</t>
        </is>
      </c>
      <c r="C21" s="81" t="n">
        <v>2</v>
      </c>
      <c r="D21" s="82" t="inlineStr">
        <is>
          <t>B · Waiting or stuck</t>
        </is>
      </c>
      <c r="E21" s="138" t="inlineStr">
        <is>
          <t>BE</t>
        </is>
      </c>
      <c r="F21" s="120" t="inlineStr">
        <is>
          <t>Code</t>
        </is>
      </c>
      <c r="G21" s="80" t="inlineStr">
        <is>
          <t>A minor's invitation emails go to the guardian</t>
        </is>
      </c>
      <c r="H21" s="107" t="inlineStr">
        <is>
          <t>Invitation, reminder and expiry emails for a minor go to the guardian (copy to the minor); today they go only to the minor (notify-invitation.mts).</t>
        </is>
      </c>
      <c r="I21" s="108" t="inlineStr">
        <is>
          <t>Done</t>
        </is>
      </c>
      <c r="J21" s="108" t="n">
        <v>1</v>
      </c>
      <c r="K21" s="109" t="n">
        <v>46324</v>
      </c>
      <c r="L21" s="109" t="n">
        <v>46324</v>
      </c>
      <c r="M21" s="110" t="inlineStr">
        <is>
          <t>rcfworks</t>
        </is>
      </c>
      <c r="N21" s="81" t="n">
        <v>0</v>
      </c>
      <c r="O21" s="80" t="n"/>
      <c r="P21" s="80" t="inlineStr">
        <is>
          <t>Guardian gets every email for a minor's invitation; tests</t>
        </is>
      </c>
      <c r="Q21" s="82" t="inlineStr">
        <is>
          <t>polish.md #9</t>
        </is>
      </c>
      <c r="R21" s="111" t="inlineStr">
        <is>
          <t>Raised 2026-10-28 from the UX review. PR #331: invitation, reminder and expiry emails go to the guardian while the guardian decides, copy to the minor.</t>
        </is>
      </c>
    </row>
    <row r="22" ht="32.8" customHeight="1" s="75">
      <c r="A22" s="104" t="n">
        <v>18</v>
      </c>
      <c r="B22" s="105" t="inlineStr">
        <is>
          <t>POL-BE-10</t>
        </is>
      </c>
      <c r="C22" s="81" t="n">
        <v>2</v>
      </c>
      <c r="D22" s="82" t="inlineStr">
        <is>
          <t>B · Waiting or stuck</t>
        </is>
      </c>
      <c r="E22" s="138" t="inlineStr">
        <is>
          <t>BE</t>
        </is>
      </c>
      <c r="F22" s="120" t="inlineStr">
        <is>
          <t>Code</t>
        </is>
      </c>
      <c r="G22" s="80" t="inlineStr">
        <is>
          <t>Guardian handoff reminders and escalation</t>
        </is>
      </c>
      <c r="H22" s="107" t="inlineStr">
        <is>
          <t>Remind the current guardian after 3 days; escalate to BTG after 7, who can decide with the documents.</t>
        </is>
      </c>
      <c r="I22" s="108" t="inlineStr">
        <is>
          <t>Done</t>
        </is>
      </c>
      <c r="J22" s="108" t="n">
        <v>2</v>
      </c>
      <c r="K22" s="109" t="n">
        <v>46324</v>
      </c>
      <c r="L22" s="109" t="n">
        <v>46324</v>
      </c>
      <c r="M22" s="110" t="inlineStr">
        <is>
          <t>rcfworks</t>
        </is>
      </c>
      <c r="N22" s="81" t="n">
        <v>1</v>
      </c>
      <c r="O22" s="80" t="n"/>
      <c r="P22" s="80" t="inlineStr">
        <is>
          <t>Reminders and escalation on schedule; BTG decides an escalated handoff; tests</t>
        </is>
      </c>
      <c r="Q22" s="82" t="inlineStr">
        <is>
          <t>polish.md #10</t>
        </is>
      </c>
      <c r="R22" s="111" t="inlineStr">
        <is>
          <t>Raised 2026-10-28 from the UX review. PR #333: reminder at 3 days, BTG may decide at 7; the guardian can still answer, first answer decides.</t>
        </is>
      </c>
    </row>
    <row r="23" ht="32.8" customHeight="1" s="75">
      <c r="A23" s="104" t="n">
        <v>19</v>
      </c>
      <c r="B23" s="105" t="inlineStr">
        <is>
          <t>POL-FE-10</t>
        </is>
      </c>
      <c r="C23" s="81" t="n">
        <v>2</v>
      </c>
      <c r="D23" s="82" t="inlineStr">
        <is>
          <t>B · Waiting or stuck</t>
        </is>
      </c>
      <c r="E23" s="138" t="inlineStr">
        <is>
          <t>FE</t>
        </is>
      </c>
      <c r="F23" s="120" t="inlineStr">
        <is>
          <t>Code</t>
        </is>
      </c>
      <c r="G23" s="80" t="inlineStr">
        <is>
          <t>Handoff desk shows age and BTG decide</t>
        </is>
      </c>
      <c r="H23" s="107" t="inlineStr">
        <is>
          <t>Handoff desk shows how long each has waited and a Decide button on escalated ones.</t>
        </is>
      </c>
      <c r="I23" s="108" t="inlineStr">
        <is>
          <t>Ready</t>
        </is>
      </c>
      <c r="J23" s="108" t="n">
        <v>0.5</v>
      </c>
      <c r="K23" s="109" t="n"/>
      <c r="L23" s="109" t="n"/>
      <c r="M23" s="110" t="inlineStr">
        <is>
          <t>HeckerCreatives</t>
        </is>
      </c>
      <c r="N23" s="81" t="n">
        <v>0</v>
      </c>
      <c r="O23" s="80" t="inlineStr">
        <is>
          <t>POL-BE-10</t>
        </is>
      </c>
      <c r="P23" s="80" t="inlineStr">
        <is>
          <t>BTG sees age and can decide escalated handoffs</t>
        </is>
      </c>
      <c r="Q23" s="82" t="inlineStr">
        <is>
          <t>polish.md #10</t>
        </is>
      </c>
      <c r="R23" s="111" t="inlineStr">
        <is>
          <t>Raised 2026-10-28 from the UX review.</t>
        </is>
      </c>
    </row>
    <row r="24" ht="32.8" customHeight="1" s="75">
      <c r="A24" s="104" t="n">
        <v>20</v>
      </c>
      <c r="B24" s="105" t="inlineStr">
        <is>
          <t>POL-BE-11</t>
        </is>
      </c>
      <c r="C24" s="81" t="n">
        <v>2</v>
      </c>
      <c r="D24" s="82" t="inlineStr">
        <is>
          <t>B · Waiting or stuck</t>
        </is>
      </c>
      <c r="E24" s="138" t="inlineStr">
        <is>
          <t>BE</t>
        </is>
      </c>
      <c r="F24" s="120" t="inlineStr">
        <is>
          <t>Code</t>
        </is>
      </c>
      <c r="G24" s="80" t="inlineStr">
        <is>
          <t>Account closure settles live deals first</t>
        </is>
      </c>
      <c r="H24" s="107" t="inlineStr">
        <is>
          <t>With live deals, closing is held for BTG, which settles each deal and tells the sponsor. A minor's closure needs the guardian. Earned money pays to the account on file without a login.</t>
        </is>
      </c>
      <c r="I24" s="108" t="inlineStr">
        <is>
          <t>Done</t>
        </is>
      </c>
      <c r="J24" s="108" t="n">
        <v>2</v>
      </c>
      <c r="K24" s="109" t="n">
        <v>46324</v>
      </c>
      <c r="L24" s="109" t="n">
        <v>46324</v>
      </c>
      <c r="M24" s="110" t="inlineStr">
        <is>
          <t>rcfworks</t>
        </is>
      </c>
      <c r="N24" s="81" t="n">
        <v>1</v>
      </c>
      <c r="O24" s="80" t="n"/>
      <c r="P24" s="80" t="inlineStr">
        <is>
          <t>No closure leaves a live deal unsettled or unannounced; a minor can't close alone; earned money still pays; tests</t>
        </is>
      </c>
      <c r="Q24" s="82" t="inlineStr">
        <is>
          <t>polish.md #11</t>
        </is>
      </c>
      <c r="R24" s="111" t="inlineStr">
        <is>
          <t>Raised 2026-10-28 from the UX review. Decided 2026-10-29: money with no payout account, and a guardian still acting for a minor, also hold the closure for BTG. PR #335: closing with a live deal, money and no payout account, or a minor in the guardian's care is held for BTG; a minor's account is closed by the guardian; earned money requested as the system.</t>
        </is>
      </c>
    </row>
    <row r="25" ht="32.8" customHeight="1" s="75">
      <c r="A25" s="104" t="n">
        <v>21</v>
      </c>
      <c r="B25" s="105" t="inlineStr">
        <is>
          <t>POL-FE-11</t>
        </is>
      </c>
      <c r="C25" s="81" t="n">
        <v>2</v>
      </c>
      <c r="D25" s="82" t="inlineStr">
        <is>
          <t>B · Waiting or stuck</t>
        </is>
      </c>
      <c r="E25" s="138" t="inlineStr">
        <is>
          <t>FE</t>
        </is>
      </c>
      <c r="F25" s="120" t="inlineStr">
        <is>
          <t>Code</t>
        </is>
      </c>
      <c r="G25" s="80" t="inlineStr">
        <is>
          <t>Closing screen lists live deals</t>
        </is>
      </c>
      <c r="H25" s="107" t="inlineStr">
        <is>
          <t>Before confirming, list the live deals and what happens to each; fix the payout promise wording.</t>
        </is>
      </c>
      <c r="I25" s="108" t="inlineStr">
        <is>
          <t>Ready</t>
        </is>
      </c>
      <c r="J25" s="108" t="n">
        <v>0.5</v>
      </c>
      <c r="K25" s="109" t="n"/>
      <c r="L25" s="109" t="n"/>
      <c r="M25" s="110" t="inlineStr">
        <is>
          <t>HeckerCreatives</t>
        </is>
      </c>
      <c r="N25" s="81" t="n">
        <v>0</v>
      </c>
      <c r="O25" s="80" t="inlineStr">
        <is>
          <t>POL-BE-11</t>
        </is>
      </c>
      <c r="P25" s="80" t="inlineStr">
        <is>
          <t>Closing screen shows live deals and accurate payout wording</t>
        </is>
      </c>
      <c r="Q25" s="82" t="inlineStr">
        <is>
          <t>polish.md #11</t>
        </is>
      </c>
      <c r="R25" s="111" t="inlineStr">
        <is>
          <t>Raised 2026-10-28 from the UX review.</t>
        </is>
      </c>
    </row>
    <row r="26" ht="32.8" customHeight="1" s="75">
      <c r="A26" s="104" t="n">
        <v>22</v>
      </c>
      <c r="B26" s="105" t="inlineStr">
        <is>
          <t>POL-BE-12</t>
        </is>
      </c>
      <c r="C26" s="81" t="n">
        <v>2</v>
      </c>
      <c r="D26" s="82" t="inlineStr">
        <is>
          <t>B · Waiting or stuck</t>
        </is>
      </c>
      <c r="E26" s="138" t="inlineStr">
        <is>
          <t>BE</t>
        </is>
      </c>
      <c r="F26" s="120" t="inlineStr">
        <is>
          <t>Code</t>
        </is>
      </c>
      <c r="G26" s="80" t="inlineStr">
        <is>
          <t>Held payouts email BTG and are counted</t>
        </is>
      </c>
      <c r="H26" s="107" t="inlineStr">
        <is>
          <t>A held payout emails BTG Finance with the reason and is included in the dashboard counts.</t>
        </is>
      </c>
      <c r="I26" s="108" t="inlineStr">
        <is>
          <t>Code review</t>
        </is>
      </c>
      <c r="J26" s="108" t="n">
        <v>1</v>
      </c>
      <c r="K26" s="109" t="n">
        <v>46324</v>
      </c>
      <c r="L26" s="109" t="n"/>
      <c r="M26" s="110" t="inlineStr">
        <is>
          <t>rcfworks</t>
        </is>
      </c>
      <c r="N26" s="81" t="n">
        <v>1</v>
      </c>
      <c r="O26" s="80" t="n"/>
      <c r="P26" s="80" t="inlineStr">
        <is>
          <t>Every held payout emails and is counted; tests</t>
        </is>
      </c>
      <c r="Q26" s="82" t="inlineStr">
        <is>
          <t>polish.md #12</t>
        </is>
      </c>
      <c r="R26" s="111" t="inlineStr">
        <is>
          <t>Raised 2026-10-28 from the UX review.</t>
        </is>
      </c>
    </row>
    <row r="27" ht="23.85" customHeight="1" s="75">
      <c r="A27" s="104" t="n">
        <v>23</v>
      </c>
      <c r="B27" s="105" t="inlineStr">
        <is>
          <t>POL-FE-12</t>
        </is>
      </c>
      <c r="C27" s="81" t="n">
        <v>2</v>
      </c>
      <c r="D27" s="82" t="inlineStr">
        <is>
          <t>B · Waiting or stuck</t>
        </is>
      </c>
      <c r="E27" s="138" t="inlineStr">
        <is>
          <t>FE</t>
        </is>
      </c>
      <c r="F27" s="120" t="inlineStr">
        <is>
          <t>Code</t>
        </is>
      </c>
      <c r="G27" s="80" t="inlineStr">
        <is>
          <t>Held payouts on the BTG dashboard</t>
        </is>
      </c>
      <c r="H27" s="107" t="inlineStr">
        <is>
          <t>Dashboard tile for held payouts, linked to the queue.</t>
        </is>
      </c>
      <c r="I27" s="108" t="inlineStr">
        <is>
          <t>Ready</t>
        </is>
      </c>
      <c r="J27" s="108" t="n">
        <v>0.5</v>
      </c>
      <c r="K27" s="109" t="n"/>
      <c r="L27" s="109" t="n"/>
      <c r="M27" s="110" t="inlineStr">
        <is>
          <t>HeckerCreatives</t>
        </is>
      </c>
      <c r="N27" s="81" t="n">
        <v>0</v>
      </c>
      <c r="O27" s="80" t="inlineStr">
        <is>
          <t>POL-BE-12</t>
        </is>
      </c>
      <c r="P27" s="80" t="inlineStr">
        <is>
          <t>Tile shows the count and opens the queue</t>
        </is>
      </c>
      <c r="Q27" s="82" t="inlineStr">
        <is>
          <t>polish.md #12</t>
        </is>
      </c>
      <c r="R27" s="111" t="inlineStr">
        <is>
          <t>Raised 2026-10-28 from the UX review.</t>
        </is>
      </c>
    </row>
    <row r="28" ht="23.85" customHeight="1" s="75">
      <c r="A28" s="104" t="n">
        <v>24</v>
      </c>
      <c r="B28" s="105" t="inlineStr">
        <is>
          <t>POL-FE-13</t>
        </is>
      </c>
      <c r="C28" s="81" t="n">
        <v>2</v>
      </c>
      <c r="D28" s="82" t="inlineStr">
        <is>
          <t>B · Waiting or stuck</t>
        </is>
      </c>
      <c r="E28" s="138" t="inlineStr">
        <is>
          <t>FE</t>
        </is>
      </c>
      <c r="F28" s="120" t="inlineStr">
        <is>
          <t>Code</t>
        </is>
      </c>
      <c r="G28" s="80" t="inlineStr">
        <is>
          <t>Sponsor invoices screen</t>
        </is>
      </c>
      <c r="H28" s="107" t="inlineStr">
        <is>
          <t>'Invoices to pay' and Billing open an invoices screen (GET /campaigns/{id}/invoices already exists) listing each invoice, status and a pay link.</t>
        </is>
      </c>
      <c r="I28" s="108" t="inlineStr">
        <is>
          <t>Ready</t>
        </is>
      </c>
      <c r="J28" s="108" t="n">
        <v>1.5</v>
      </c>
      <c r="K28" s="109" t="n"/>
      <c r="L28" s="109" t="n"/>
      <c r="M28" s="110" t="inlineStr">
        <is>
          <t>HeckerCreatives</t>
        </is>
      </c>
      <c r="N28" s="81" t="n">
        <v>0</v>
      </c>
      <c r="O28" s="80" t="n"/>
      <c r="P28" s="80" t="inlineStr">
        <is>
          <t>Sponsor can open, see and pay every invoice</t>
        </is>
      </c>
      <c r="Q28" s="82" t="inlineStr">
        <is>
          <t>polish.md #13</t>
        </is>
      </c>
      <c r="R28" s="111" t="inlineStr">
        <is>
          <t>Raised 2026-10-28 from the UX review.</t>
        </is>
      </c>
    </row>
    <row r="29" ht="23.85" customHeight="1" s="75">
      <c r="A29" s="104" t="n">
        <v>25</v>
      </c>
      <c r="B29" s="105" t="inlineStr">
        <is>
          <t>POL-BE-14</t>
        </is>
      </c>
      <c r="C29" s="81" t="n">
        <v>2</v>
      </c>
      <c r="D29" s="82" t="inlineStr">
        <is>
          <t>B · Waiting or stuck</t>
        </is>
      </c>
      <c r="E29" s="138" t="inlineStr">
        <is>
          <t>BE</t>
        </is>
      </c>
      <c r="F29" s="120" t="inlineStr">
        <is>
          <t>Code</t>
        </is>
      </c>
      <c r="G29" s="80" t="inlineStr">
        <is>
          <t>Held make-goods email BTG and are counted</t>
        </is>
      </c>
      <c r="H29" s="107" t="inlineStr">
        <is>
          <t>A held make-good emails BTG and is included in the dashboard counts (POL-BE-15).</t>
        </is>
      </c>
      <c r="I29" s="108" t="inlineStr">
        <is>
          <t>Ready</t>
        </is>
      </c>
      <c r="J29" s="108" t="n">
        <v>0.5</v>
      </c>
      <c r="K29" s="109" t="n"/>
      <c r="L29" s="109" t="n"/>
      <c r="M29" s="110" t="inlineStr">
        <is>
          <t>rcfworks</t>
        </is>
      </c>
      <c r="N29" s="81" t="n">
        <v>0</v>
      </c>
      <c r="O29" s="80" t="n"/>
      <c r="P29" s="80" t="inlineStr">
        <is>
          <t>Every held make-good emails and is counted; tests</t>
        </is>
      </c>
      <c r="Q29" s="82" t="inlineStr">
        <is>
          <t>polish.md #14</t>
        </is>
      </c>
      <c r="R29" s="111" t="inlineStr">
        <is>
          <t>Raised 2026-10-28 from the UX review.</t>
        </is>
      </c>
    </row>
    <row r="30" ht="23.85" customHeight="1" s="75">
      <c r="A30" s="104" t="n">
        <v>26</v>
      </c>
      <c r="B30" s="105" t="inlineStr">
        <is>
          <t>POL-BE-15</t>
        </is>
      </c>
      <c r="C30" s="81" t="n">
        <v>2</v>
      </c>
      <c r="D30" s="82" t="inlineStr">
        <is>
          <t>B · Waiting or stuck</t>
        </is>
      </c>
      <c r="E30" s="138" t="inlineStr">
        <is>
          <t>BE</t>
        </is>
      </c>
      <c r="F30" s="120" t="inlineStr">
        <is>
          <t>Code</t>
        </is>
      </c>
      <c r="G30" s="80" t="inlineStr">
        <is>
          <t>One counts endpoint for every BTG queue</t>
        </is>
      </c>
      <c r="H30" s="107" t="inlineStr">
        <is>
          <t>Counts for sign-ups, organisations, sponsor requests, handoffs, held listings and orders, delivery issues, payouts and make-goods, plus the existing four, with the oldest item's age.</t>
        </is>
      </c>
      <c r="I30" s="108" t="inlineStr">
        <is>
          <t>Ready</t>
        </is>
      </c>
      <c r="J30" s="108" t="n">
        <v>1.5</v>
      </c>
      <c r="K30" s="109" t="n"/>
      <c r="L30" s="109" t="n"/>
      <c r="M30" s="110" t="inlineStr">
        <is>
          <t>rcfworks</t>
        </is>
      </c>
      <c r="N30" s="81" t="n">
        <v>1</v>
      </c>
      <c r="O30" s="80" t="n"/>
      <c r="P30" s="80" t="inlineStr">
        <is>
          <t>Every queue that waits on BTG has a count; roles and tenants enforced; tests</t>
        </is>
      </c>
      <c r="Q30" s="82" t="inlineStr">
        <is>
          <t>polish.md #15</t>
        </is>
      </c>
      <c r="R30" s="111" t="inlineStr">
        <is>
          <t>Raised 2026-10-28 from the UX review.</t>
        </is>
      </c>
    </row>
    <row r="31" ht="23.85" customHeight="1" s="75">
      <c r="A31" s="104" t="n">
        <v>27</v>
      </c>
      <c r="B31" s="105" t="inlineStr">
        <is>
          <t>POL-FE-15</t>
        </is>
      </c>
      <c r="C31" s="81" t="n">
        <v>2</v>
      </c>
      <c r="D31" s="82" t="inlineStr">
        <is>
          <t>B · Waiting or stuck</t>
        </is>
      </c>
      <c r="E31" s="138" t="inlineStr">
        <is>
          <t>FE</t>
        </is>
      </c>
      <c r="F31" s="120" t="inlineStr">
        <is>
          <t>Code</t>
        </is>
      </c>
      <c r="G31" s="80" t="inlineStr">
        <is>
          <t>BTG dashboard shows every queue</t>
        </is>
      </c>
      <c r="H31" s="107" t="inlineStr">
        <is>
          <t>One tile per queue with its count and oldest age, linked to the queue.</t>
        </is>
      </c>
      <c r="I31" s="108" t="inlineStr">
        <is>
          <t>Ready</t>
        </is>
      </c>
      <c r="J31" s="108" t="n">
        <v>1</v>
      </c>
      <c r="K31" s="109" t="n"/>
      <c r="L31" s="109" t="n"/>
      <c r="M31" s="110" t="inlineStr">
        <is>
          <t>HeckerCreatives</t>
        </is>
      </c>
      <c r="N31" s="81" t="n">
        <v>0</v>
      </c>
      <c r="O31" s="80" t="inlineStr">
        <is>
          <t>POL-BE-15</t>
        </is>
      </c>
      <c r="P31" s="80" t="inlineStr">
        <is>
          <t>Every BTG queue has a tile linked to it</t>
        </is>
      </c>
      <c r="Q31" s="82" t="inlineStr">
        <is>
          <t>polish.md #15</t>
        </is>
      </c>
      <c r="R31" s="111" t="inlineStr">
        <is>
          <t>Raised 2026-10-28 from the UX review.</t>
        </is>
      </c>
    </row>
    <row r="32" ht="22.35" customHeight="1" s="75">
      <c r="A32" s="104" t="n">
        <v>28</v>
      </c>
      <c r="B32" s="105" t="inlineStr">
        <is>
          <t>POL-FE-16</t>
        </is>
      </c>
      <c r="C32" s="81" t="n">
        <v>3</v>
      </c>
      <c r="D32" s="82" t="inlineStr">
        <is>
          <t>C · Confusing or extra work</t>
        </is>
      </c>
      <c r="E32" s="138" t="inlineStr">
        <is>
          <t>FE</t>
        </is>
      </c>
      <c r="F32" s="120" t="inlineStr">
        <is>
          <t>Code</t>
        </is>
      </c>
      <c r="G32" s="80" t="inlineStr">
        <is>
          <t>Change guardian email at /join</t>
        </is>
      </c>
      <c r="H32" s="107" t="inlineStr">
        <is>
          <t>Add 'Change guardian email' on the /join status page (the API already allows it).</t>
        </is>
      </c>
      <c r="I32" s="108" t="inlineStr">
        <is>
          <t>Ready</t>
        </is>
      </c>
      <c r="J32" s="108" t="n">
        <v>0.5</v>
      </c>
      <c r="K32" s="109" t="n"/>
      <c r="L32" s="109" t="n"/>
      <c r="M32" s="110" t="inlineStr">
        <is>
          <t>HeckerCreatives</t>
        </is>
      </c>
      <c r="N32" s="81" t="n">
        <v>0</v>
      </c>
      <c r="O32" s="80" t="n"/>
      <c r="P32" s="80" t="inlineStr">
        <is>
          <t>A mistyped guardian email can be fixed and the invite resent</t>
        </is>
      </c>
      <c r="Q32" s="82" t="inlineStr">
        <is>
          <t>polish.md #16</t>
        </is>
      </c>
      <c r="R32" s="111" t="inlineStr">
        <is>
          <t>Raised 2026-10-28 from the UX review.</t>
        </is>
      </c>
    </row>
    <row r="33" ht="23.85" customHeight="1" s="75">
      <c r="A33" s="104" t="n">
        <v>29</v>
      </c>
      <c r="B33" s="105" t="inlineStr">
        <is>
          <t>POL-BE-17</t>
        </is>
      </c>
      <c r="C33" s="81" t="n">
        <v>3</v>
      </c>
      <c r="D33" s="82" t="inlineStr">
        <is>
          <t>C · Confusing or extra work</t>
        </is>
      </c>
      <c r="E33" s="138" t="inlineStr">
        <is>
          <t>BE</t>
        </is>
      </c>
      <c r="F33" s="120" t="inlineStr">
        <is>
          <t>Code</t>
        </is>
      </c>
      <c r="G33" s="80" t="inlineStr">
        <is>
          <t>Withdraw a sponsor request</t>
        </is>
      </c>
      <c r="H33" s="107" t="inlineStr">
        <is>
          <t>Add withdraw for a sent request if missing; confirm PATCH /briefs covers edit while editable.</t>
        </is>
      </c>
      <c r="I33" s="108" t="inlineStr">
        <is>
          <t>Ready</t>
        </is>
      </c>
      <c r="J33" s="108" t="n">
        <v>0.5</v>
      </c>
      <c r="K33" s="109" t="n"/>
      <c r="L33" s="109" t="n"/>
      <c r="M33" s="110" t="inlineStr">
        <is>
          <t>rcfworks</t>
        </is>
      </c>
      <c r="N33" s="81" t="n">
        <v>1</v>
      </c>
      <c r="O33" s="80" t="n"/>
      <c r="P33" s="80" t="inlineStr">
        <is>
          <t>Sponsor can withdraw; edit allowed only while editable; tests</t>
        </is>
      </c>
      <c r="Q33" s="82" t="inlineStr">
        <is>
          <t>polish.md #17</t>
        </is>
      </c>
      <c r="R33" s="111" t="inlineStr">
        <is>
          <t>Raised 2026-10-28 from the UX review.</t>
        </is>
      </c>
    </row>
    <row r="34" ht="23.85" customHeight="1" s="75">
      <c r="A34" s="104" t="n">
        <v>30</v>
      </c>
      <c r="B34" s="105" t="inlineStr">
        <is>
          <t>POL-FE-17</t>
        </is>
      </c>
      <c r="C34" s="81" t="n">
        <v>3</v>
      </c>
      <c r="D34" s="82" t="inlineStr">
        <is>
          <t>C · Confusing or extra work</t>
        </is>
      </c>
      <c r="E34" s="138" t="inlineStr">
        <is>
          <t>FE</t>
        </is>
      </c>
      <c r="F34" s="120" t="inlineStr">
        <is>
          <t>Code</t>
        </is>
      </c>
      <c r="G34" s="80" t="inlineStr">
        <is>
          <t>Sponsor request detail with Edit and Withdraw</t>
        </is>
      </c>
      <c r="H34" s="107" t="inlineStr">
        <is>
          <t>The request opens to a detail page with Edit (while editable) and Withdraw.</t>
        </is>
      </c>
      <c r="I34" s="108" t="inlineStr">
        <is>
          <t>Ready</t>
        </is>
      </c>
      <c r="J34" s="108" t="n">
        <v>1</v>
      </c>
      <c r="K34" s="109" t="n"/>
      <c r="L34" s="109" t="n"/>
      <c r="M34" s="110" t="inlineStr">
        <is>
          <t>HeckerCreatives</t>
        </is>
      </c>
      <c r="N34" s="81" t="n">
        <v>0</v>
      </c>
      <c r="O34" s="80" t="inlineStr">
        <is>
          <t>POL-BE-17</t>
        </is>
      </c>
      <c r="P34" s="80" t="inlineStr">
        <is>
          <t>Sponsor can open, edit and withdraw a request</t>
        </is>
      </c>
      <c r="Q34" s="82" t="inlineStr">
        <is>
          <t>polish.md #17</t>
        </is>
      </c>
      <c r="R34" s="111" t="inlineStr">
        <is>
          <t>Raised 2026-10-28 from the UX review.</t>
        </is>
      </c>
    </row>
    <row r="35" ht="23.85" customHeight="1" s="75">
      <c r="A35" s="104" t="n">
        <v>31</v>
      </c>
      <c r="B35" s="105" t="inlineStr">
        <is>
          <t>POL-BE-18</t>
        </is>
      </c>
      <c r="C35" s="81" t="n">
        <v>3</v>
      </c>
      <c r="D35" s="82" t="inlineStr">
        <is>
          <t>C · Confusing or extra work</t>
        </is>
      </c>
      <c r="E35" s="138" t="inlineStr">
        <is>
          <t>BE</t>
        </is>
      </c>
      <c r="F35" s="120" t="inlineStr">
        <is>
          <t>Code</t>
        </is>
      </c>
      <c r="G35" s="80" t="inlineStr">
        <is>
          <t>Resend and change the request confirmation email</t>
        </is>
      </c>
      <c r="H35" s="107" t="inlineStr">
        <is>
          <t>Endpoints to resend the confirmation email and change the address, rate limited (if missing).</t>
        </is>
      </c>
      <c r="I35" s="108" t="inlineStr">
        <is>
          <t>Ready</t>
        </is>
      </c>
      <c r="J35" s="108" t="n">
        <v>0.5</v>
      </c>
      <c r="K35" s="109" t="n"/>
      <c r="L35" s="109" t="n"/>
      <c r="M35" s="110" t="inlineStr">
        <is>
          <t>rcfworks</t>
        </is>
      </c>
      <c r="N35" s="81" t="n">
        <v>1</v>
      </c>
      <c r="O35" s="80" t="n"/>
      <c r="P35" s="80" t="inlineStr">
        <is>
          <t>Resend and change work, rate limited; tests</t>
        </is>
      </c>
      <c r="Q35" s="82" t="inlineStr">
        <is>
          <t>polish.md #18</t>
        </is>
      </c>
      <c r="R35" s="111" t="inlineStr">
        <is>
          <t>Raised 2026-10-28 from the UX review.</t>
        </is>
      </c>
    </row>
    <row r="36" ht="23.85" customHeight="1" s="75">
      <c r="A36" s="104" t="n">
        <v>32</v>
      </c>
      <c r="B36" s="105" t="inlineStr">
        <is>
          <t>POL-FE-18</t>
        </is>
      </c>
      <c r="C36" s="81" t="n">
        <v>3</v>
      </c>
      <c r="D36" s="82" t="inlineStr">
        <is>
          <t>C · Confusing or extra work</t>
        </is>
      </c>
      <c r="E36" s="138" t="inlineStr">
        <is>
          <t>FE</t>
        </is>
      </c>
      <c r="F36" s="120" t="inlineStr">
        <is>
          <t>Code</t>
        </is>
      </c>
      <c r="G36" s="80" t="inlineStr">
        <is>
          <t>Resend email and Change email on the request status</t>
        </is>
      </c>
      <c r="H36" s="107" t="inlineStr">
        <is>
          <t>Buttons on the sponsor request status page.</t>
        </is>
      </c>
      <c r="I36" s="108" t="inlineStr">
        <is>
          <t>Ready</t>
        </is>
      </c>
      <c r="J36" s="108" t="n">
        <v>0.5</v>
      </c>
      <c r="K36" s="109" t="n"/>
      <c r="L36" s="109" t="n"/>
      <c r="M36" s="110" t="inlineStr">
        <is>
          <t>HeckerCreatives</t>
        </is>
      </c>
      <c r="N36" s="81" t="n">
        <v>0</v>
      </c>
      <c r="O36" s="80" t="inlineStr">
        <is>
          <t>POL-BE-18</t>
        </is>
      </c>
      <c r="P36" s="80" t="inlineStr">
        <is>
          <t>Sponsor can resend or fix the address</t>
        </is>
      </c>
      <c r="Q36" s="82" t="inlineStr">
        <is>
          <t>polish.md #18</t>
        </is>
      </c>
      <c r="R36" s="111" t="inlineStr">
        <is>
          <t>Raised 2026-10-28 from the UX review.</t>
        </is>
      </c>
    </row>
    <row r="37" ht="23.85" customHeight="1" s="75">
      <c r="A37" s="104" t="n">
        <v>33</v>
      </c>
      <c r="B37" s="105" t="inlineStr">
        <is>
          <t>POL-BE-19</t>
        </is>
      </c>
      <c r="C37" s="81" t="n">
        <v>3</v>
      </c>
      <c r="D37" s="82" t="inlineStr">
        <is>
          <t>C · Confusing or extra work</t>
        </is>
      </c>
      <c r="E37" s="138" t="inlineStr">
        <is>
          <t>BE</t>
        </is>
      </c>
      <c r="F37" s="120" t="inlineStr">
        <is>
          <t>Code</t>
        </is>
      </c>
      <c r="G37" s="80" t="inlineStr">
        <is>
          <t>Sponsor admin invites teammates</t>
        </is>
      </c>
      <c r="H37" s="107" t="inlineStr">
        <is>
          <t>Invite by email and set roles within the sponsor's own organisation (if the API lacks it).</t>
        </is>
      </c>
      <c r="I37" s="108" t="inlineStr">
        <is>
          <t>Ready</t>
        </is>
      </c>
      <c r="J37" s="108" t="n">
        <v>1.5</v>
      </c>
      <c r="K37" s="109" t="n"/>
      <c r="L37" s="109" t="n"/>
      <c r="M37" s="110" t="inlineStr">
        <is>
          <t>rcfworks</t>
        </is>
      </c>
      <c r="N37" s="81" t="n">
        <v>1</v>
      </c>
      <c r="O37" s="80" t="n"/>
      <c r="P37" s="80" t="inlineStr">
        <is>
          <t>Invite and role change work; own tenant only; tests</t>
        </is>
      </c>
      <c r="Q37" s="82" t="inlineStr">
        <is>
          <t>polish.md #19</t>
        </is>
      </c>
      <c r="R37" s="111" t="inlineStr">
        <is>
          <t>Raised 2026-10-28 from the UX review.</t>
        </is>
      </c>
    </row>
    <row r="38" ht="23.85" customHeight="1" s="75">
      <c r="A38" s="104" t="n">
        <v>34</v>
      </c>
      <c r="B38" s="105" t="inlineStr">
        <is>
          <t>POL-FE-19</t>
        </is>
      </c>
      <c r="C38" s="81" t="n">
        <v>3</v>
      </c>
      <c r="D38" s="82" t="inlineStr">
        <is>
          <t>C · Confusing or extra work</t>
        </is>
      </c>
      <c r="E38" s="138" t="inlineStr">
        <is>
          <t>FE</t>
        </is>
      </c>
      <c r="F38" s="120" t="inlineStr">
        <is>
          <t>Code</t>
        </is>
      </c>
      <c r="G38" s="80" t="inlineStr">
        <is>
          <t>Sponsor team screen; hide dead menu items</t>
        </is>
      </c>
      <c r="H38" s="107" t="inlineStr">
        <is>
          <t>Team screen to invite and set roles; hide Settings and Messages until they work.</t>
        </is>
      </c>
      <c r="I38" s="108" t="inlineStr">
        <is>
          <t>Ready</t>
        </is>
      </c>
      <c r="J38" s="108" t="n">
        <v>1</v>
      </c>
      <c r="K38" s="109" t="n"/>
      <c r="L38" s="109" t="n"/>
      <c r="M38" s="110" t="inlineStr">
        <is>
          <t>HeckerCreatives</t>
        </is>
      </c>
      <c r="N38" s="81" t="n">
        <v>0</v>
      </c>
      <c r="O38" s="80" t="inlineStr">
        <is>
          <t>POL-BE-19</t>
        </is>
      </c>
      <c r="P38" s="80" t="inlineStr">
        <is>
          <t>Sponsor admin can invite teammates; no dead menu items</t>
        </is>
      </c>
      <c r="Q38" s="82" t="inlineStr">
        <is>
          <t>polish.md #19</t>
        </is>
      </c>
      <c r="R38" s="111" t="inlineStr">
        <is>
          <t>Raised 2026-10-28 from the UX review.</t>
        </is>
      </c>
    </row>
    <row r="39" ht="23.85" customHeight="1" s="75">
      <c r="A39" s="104" t="n">
        <v>35</v>
      </c>
      <c r="B39" s="105" t="inlineStr">
        <is>
          <t>POL-FE-20</t>
        </is>
      </c>
      <c r="C39" s="81" t="n">
        <v>3</v>
      </c>
      <c r="D39" s="82" t="inlineStr">
        <is>
          <t>C · Confusing or extra work</t>
        </is>
      </c>
      <c r="E39" s="138" t="inlineStr">
        <is>
          <t>FE</t>
        </is>
      </c>
      <c r="F39" s="120" t="inlineStr">
        <is>
          <t>Code</t>
        </is>
      </c>
      <c r="G39" s="80" t="inlineStr">
        <is>
          <t>'Needs your OK' only when there is an action</t>
        </is>
      </c>
      <c r="H39" s="107" t="inlineStr">
        <is>
          <t>Show it only when the sponsor has an action, linked straight to it.</t>
        </is>
      </c>
      <c r="I39" s="108" t="inlineStr">
        <is>
          <t>Ready</t>
        </is>
      </c>
      <c r="J39" s="108" t="n">
        <v>0.5</v>
      </c>
      <c r="K39" s="109" t="n"/>
      <c r="L39" s="109" t="n"/>
      <c r="M39" s="110" t="inlineStr">
        <is>
          <t>HeckerCreatives</t>
        </is>
      </c>
      <c r="N39" s="81" t="n">
        <v>0</v>
      </c>
      <c r="O39" s="80" t="n"/>
      <c r="P39" s="80" t="inlineStr">
        <is>
          <t>Never shown without a sponsor action; links to it</t>
        </is>
      </c>
      <c r="Q39" s="82" t="inlineStr">
        <is>
          <t>polish.md #20</t>
        </is>
      </c>
      <c r="R39" s="111" t="inlineStr">
        <is>
          <t>Raised 2026-10-28 from the UX review.</t>
        </is>
      </c>
    </row>
    <row r="40" ht="23.85" customHeight="1" s="75">
      <c r="A40" s="104" t="n">
        <v>36</v>
      </c>
      <c r="B40" s="105" t="inlineStr">
        <is>
          <t>POL-FE-21</t>
        </is>
      </c>
      <c r="C40" s="81" t="n">
        <v>3</v>
      </c>
      <c r="D40" s="82" t="inlineStr">
        <is>
          <t>C · Confusing or extra work</t>
        </is>
      </c>
      <c r="E40" s="138" t="inlineStr">
        <is>
          <t>FE</t>
        </is>
      </c>
      <c r="F40" s="120" t="inlineStr">
        <is>
          <t>Code</t>
        </is>
      </c>
      <c r="G40" s="80" t="inlineStr">
        <is>
          <t>Request progress steps follow the real state</t>
        </is>
      </c>
      <c r="H40" s="107" t="inlineStr">
        <is>
          <t>No 'Price agreed' or 'Campaign live' before they happen.</t>
        </is>
      </c>
      <c r="I40" s="108" t="inlineStr">
        <is>
          <t>Ready</t>
        </is>
      </c>
      <c r="J40" s="108" t="n">
        <v>0.5</v>
      </c>
      <c r="K40" s="109" t="n"/>
      <c r="L40" s="109" t="n"/>
      <c r="M40" s="110" t="inlineStr">
        <is>
          <t>HeckerCreatives</t>
        </is>
      </c>
      <c r="N40" s="81" t="n">
        <v>0</v>
      </c>
      <c r="O40" s="80" t="n"/>
      <c r="P40" s="80" t="inlineStr">
        <is>
          <t>Steps match the request's real state</t>
        </is>
      </c>
      <c r="Q40" s="82" t="inlineStr">
        <is>
          <t>polish.md #21</t>
        </is>
      </c>
      <c r="R40" s="111" t="inlineStr">
        <is>
          <t>Raised 2026-10-28 from the UX review.</t>
        </is>
      </c>
    </row>
    <row r="41" ht="23.85" customHeight="1" s="75">
      <c r="A41" s="104" t="n">
        <v>37</v>
      </c>
      <c r="B41" s="105" t="inlineStr">
        <is>
          <t>POL-BE-22</t>
        </is>
      </c>
      <c r="C41" s="81" t="n">
        <v>3</v>
      </c>
      <c r="D41" s="82" t="inlineStr">
        <is>
          <t>C · Confusing or extra work</t>
        </is>
      </c>
      <c r="E41" s="138" t="inlineStr">
        <is>
          <t>BE</t>
        </is>
      </c>
      <c r="F41" s="120" t="inlineStr">
        <is>
          <t>Code</t>
        </is>
      </c>
      <c r="G41" s="80" t="inlineStr">
        <is>
          <t>Mark a stalled campaign</t>
        </is>
      </c>
      <c r="H41" s="107" t="inlineStr">
        <is>
          <t>The API flags a campaign whose staffing has stalled and when BTG stepped in.</t>
        </is>
      </c>
      <c r="I41" s="108" t="inlineStr">
        <is>
          <t>Ready</t>
        </is>
      </c>
      <c r="J41" s="108" t="n">
        <v>0.5</v>
      </c>
      <c r="K41" s="109" t="n"/>
      <c r="L41" s="109" t="n"/>
      <c r="M41" s="110" t="inlineStr">
        <is>
          <t>rcfworks</t>
        </is>
      </c>
      <c r="N41" s="81" t="n">
        <v>1</v>
      </c>
      <c r="O41" s="80" t="n"/>
      <c r="P41" s="80" t="inlineStr">
        <is>
          <t>Stalled campaigns flagged; tests</t>
        </is>
      </c>
      <c r="Q41" s="82" t="inlineStr">
        <is>
          <t>polish.md #22</t>
        </is>
      </c>
      <c r="R41" s="111" t="inlineStr">
        <is>
          <t>Raised 2026-10-28 from the UX review.</t>
        </is>
      </c>
    </row>
    <row r="42" ht="22.35" customHeight="1" s="75">
      <c r="A42" s="104" t="n">
        <v>38</v>
      </c>
      <c r="B42" s="105" t="inlineStr">
        <is>
          <t>POL-FE-22</t>
        </is>
      </c>
      <c r="C42" s="81" t="n">
        <v>3</v>
      </c>
      <c r="D42" s="82" t="inlineStr">
        <is>
          <t>C · Confusing or extra work</t>
        </is>
      </c>
      <c r="E42" s="138" t="inlineStr">
        <is>
          <t>FE</t>
        </is>
      </c>
      <c r="F42" s="120" t="inlineStr">
        <is>
          <t>Code</t>
        </is>
      </c>
      <c r="G42" s="80" t="inlineStr">
        <is>
          <t>Sponsor sees 'BTG is finding more athletes'</t>
        </is>
      </c>
      <c r="H42" s="107" t="inlineStr">
        <is>
          <t>Shown on a stalled campaign, with a date.</t>
        </is>
      </c>
      <c r="I42" s="108" t="inlineStr">
        <is>
          <t>Ready</t>
        </is>
      </c>
      <c r="J42" s="108" t="n">
        <v>0.5</v>
      </c>
      <c r="K42" s="109" t="n"/>
      <c r="L42" s="109" t="n"/>
      <c r="M42" s="110" t="inlineStr">
        <is>
          <t>HeckerCreatives</t>
        </is>
      </c>
      <c r="N42" s="81" t="n">
        <v>0</v>
      </c>
      <c r="O42" s="80" t="inlineStr">
        <is>
          <t>POL-BE-22</t>
        </is>
      </c>
      <c r="P42" s="80" t="inlineStr">
        <is>
          <t>Sponsor sees the stalled message</t>
        </is>
      </c>
      <c r="Q42" s="82" t="inlineStr">
        <is>
          <t>polish.md #22</t>
        </is>
      </c>
      <c r="R42" s="111" t="inlineStr">
        <is>
          <t>Raised 2026-10-28 from the UX review.</t>
        </is>
      </c>
    </row>
    <row r="43" ht="23.85" customHeight="1" s="75">
      <c r="A43" s="104" t="n">
        <v>39</v>
      </c>
      <c r="B43" s="105" t="inlineStr">
        <is>
          <t>POL-FE-23</t>
        </is>
      </c>
      <c r="C43" s="81" t="n">
        <v>3</v>
      </c>
      <c r="D43" s="82" t="inlineStr">
        <is>
          <t>C · Confusing or extra work</t>
        </is>
      </c>
      <c r="E43" s="138" t="inlineStr">
        <is>
          <t>FE</t>
        </is>
      </c>
      <c r="F43" s="120" t="inlineStr">
        <is>
          <t>Code</t>
        </is>
      </c>
      <c r="G43" s="80" t="inlineStr">
        <is>
          <t>Content review shows a review-by date and opens the post</t>
        </is>
      </c>
      <c r="H43" s="107" t="inlineStr">
        <is>
          <t>Show the due date (back end adds it if missing); the dashboard link opens the post.</t>
        </is>
      </c>
      <c r="I43" s="108" t="inlineStr">
        <is>
          <t>Ready</t>
        </is>
      </c>
      <c r="J43" s="108" t="n">
        <v>0.5</v>
      </c>
      <c r="K43" s="109" t="n"/>
      <c r="L43" s="109" t="n"/>
      <c r="M43" s="110" t="inlineStr">
        <is>
          <t>HeckerCreatives</t>
        </is>
      </c>
      <c r="N43" s="81" t="n">
        <v>0</v>
      </c>
      <c r="O43" s="80" t="n"/>
      <c r="P43" s="80" t="inlineStr">
        <is>
          <t>Due date shown; link lands on the post</t>
        </is>
      </c>
      <c r="Q43" s="82" t="inlineStr">
        <is>
          <t>polish.md #23</t>
        </is>
      </c>
      <c r="R43" s="111" t="inlineStr">
        <is>
          <t>Raised 2026-10-28 from the UX review.</t>
        </is>
      </c>
    </row>
    <row r="44" ht="22.35" customHeight="1" s="75">
      <c r="A44" s="104" t="n">
        <v>40</v>
      </c>
      <c r="B44" s="105" t="inlineStr">
        <is>
          <t>POL-FE-24</t>
        </is>
      </c>
      <c r="C44" s="81" t="n">
        <v>3</v>
      </c>
      <c r="D44" s="82" t="inlineStr">
        <is>
          <t>C · Confusing or extra work</t>
        </is>
      </c>
      <c r="E44" s="138" t="inlineStr">
        <is>
          <t>FE</t>
        </is>
      </c>
      <c r="F44" s="120" t="inlineStr">
        <is>
          <t>Code</t>
        </is>
      </c>
      <c r="G44" s="80" t="inlineStr">
        <is>
          <t>Athlete Campaign Orders list with Accept and Decline</t>
        </is>
      </c>
      <c r="H44" s="107" t="inlineStr">
        <is>
          <t>A Campaign Orders list; Decline uses the existing API; menu labels separate it from marketplace sales.</t>
        </is>
      </c>
      <c r="I44" s="108" t="inlineStr">
        <is>
          <t>Ready</t>
        </is>
      </c>
      <c r="J44" s="108" t="n">
        <v>1</v>
      </c>
      <c r="K44" s="109" t="n"/>
      <c r="L44" s="109" t="n"/>
      <c r="M44" s="110" t="inlineStr">
        <is>
          <t>HeckerCreatives</t>
        </is>
      </c>
      <c r="N44" s="81" t="n">
        <v>0</v>
      </c>
      <c r="O44" s="80" t="n"/>
      <c r="P44" s="80" t="inlineStr">
        <is>
          <t>Athlete can see, accept and decline Campaign Orders</t>
        </is>
      </c>
      <c r="Q44" s="82" t="inlineStr">
        <is>
          <t>polish.md #24</t>
        </is>
      </c>
      <c r="R44" s="111" t="inlineStr">
        <is>
          <t>Raised 2026-10-28 from the UX review.</t>
        </is>
      </c>
    </row>
    <row r="45" ht="23.85" customHeight="1" s="75">
      <c r="A45" s="104" t="n">
        <v>41</v>
      </c>
      <c r="B45" s="105" t="inlineStr">
        <is>
          <t>POL-FE-25</t>
        </is>
      </c>
      <c r="C45" s="81" t="n">
        <v>3</v>
      </c>
      <c r="D45" s="82" t="inlineStr">
        <is>
          <t>C · Confusing or extra work</t>
        </is>
      </c>
      <c r="E45" s="138" t="inlineStr">
        <is>
          <t>FE</t>
        </is>
      </c>
      <c r="F45" s="120" t="inlineStr">
        <is>
          <t>Code</t>
        </is>
      </c>
      <c r="G45" s="80" t="inlineStr">
        <is>
          <t>Earnings and Payouts say the same thing</t>
        </is>
      </c>
      <c r="H45" s="107" t="inlineStr">
        <is>
          <t>Remove 'BTG handles payouts outside the platform' where it contradicts the Payouts page.</t>
        </is>
      </c>
      <c r="I45" s="108" t="inlineStr">
        <is>
          <t>Ready</t>
        </is>
      </c>
      <c r="J45" s="108" t="n">
        <v>0.25</v>
      </c>
      <c r="K45" s="109" t="n"/>
      <c r="L45" s="109" t="n"/>
      <c r="M45" s="110" t="inlineStr">
        <is>
          <t>HeckerCreatives</t>
        </is>
      </c>
      <c r="N45" s="81" t="n">
        <v>0</v>
      </c>
      <c r="O45" s="80" t="n"/>
      <c r="P45" s="80" t="inlineStr">
        <is>
          <t>One consistent message</t>
        </is>
      </c>
      <c r="Q45" s="82" t="inlineStr">
        <is>
          <t>polish.md #25</t>
        </is>
      </c>
      <c r="R45" s="111" t="inlineStr">
        <is>
          <t>Raised 2026-10-28 from the UX review.</t>
        </is>
      </c>
    </row>
    <row r="46" ht="23.85" customHeight="1" s="75">
      <c r="A46" s="104" t="n">
        <v>42</v>
      </c>
      <c r="B46" s="105" t="inlineStr">
        <is>
          <t>POL-FE-26</t>
        </is>
      </c>
      <c r="C46" s="81" t="n">
        <v>3</v>
      </c>
      <c r="D46" s="82" t="inlineStr">
        <is>
          <t>C · Confusing or extra work</t>
        </is>
      </c>
      <c r="E46" s="138" t="inlineStr">
        <is>
          <t>FE</t>
        </is>
      </c>
      <c r="F46" s="120" t="inlineStr">
        <is>
          <t>Code</t>
        </is>
      </c>
      <c r="G46" s="80" t="inlineStr">
        <is>
          <t>Minors see 'your guardian sets this up'</t>
        </is>
      </c>
      <c r="H46" s="107" t="inlineStr">
        <is>
          <t>Hide the Stripe setup button for a minor; the guardian sees it.</t>
        </is>
      </c>
      <c r="I46" s="108" t="inlineStr">
        <is>
          <t>Ready</t>
        </is>
      </c>
      <c r="J46" s="108" t="n">
        <v>0.5</v>
      </c>
      <c r="K46" s="109" t="n"/>
      <c r="L46" s="109" t="n"/>
      <c r="M46" s="110" t="inlineStr">
        <is>
          <t>HeckerCreatives</t>
        </is>
      </c>
      <c r="N46" s="81" t="n">
        <v>0</v>
      </c>
      <c r="O46" s="80" t="n"/>
      <c r="P46" s="80" t="inlineStr">
        <is>
          <t>Minor never sees a button that fails</t>
        </is>
      </c>
      <c r="Q46" s="82" t="inlineStr">
        <is>
          <t>polish.md #26</t>
        </is>
      </c>
      <c r="R46" s="111" t="inlineStr">
        <is>
          <t>Raised 2026-10-28 from the UX review.</t>
        </is>
      </c>
    </row>
    <row r="47" ht="22.35" customHeight="1" s="75">
      <c r="A47" s="104" t="n">
        <v>43</v>
      </c>
      <c r="B47" s="105" t="inlineStr">
        <is>
          <t>POL-FE-27</t>
        </is>
      </c>
      <c r="C47" s="81" t="n">
        <v>3</v>
      </c>
      <c r="D47" s="82" t="inlineStr">
        <is>
          <t>C · Confusing or extra work</t>
        </is>
      </c>
      <c r="E47" s="138" t="inlineStr">
        <is>
          <t>FE</t>
        </is>
      </c>
      <c r="F47" s="120" t="inlineStr">
        <is>
          <t>Code</t>
        </is>
      </c>
      <c r="G47" s="80" t="inlineStr">
        <is>
          <t>Confirm before declining an invitation</t>
        </is>
      </c>
      <c r="H47" s="107" t="inlineStr">
        <is>
          <t>Add an 'are you sure?' like offers have.</t>
        </is>
      </c>
      <c r="I47" s="108" t="inlineStr">
        <is>
          <t>Ready</t>
        </is>
      </c>
      <c r="J47" s="108" t="n">
        <v>0.25</v>
      </c>
      <c r="K47" s="109" t="n"/>
      <c r="L47" s="109" t="n"/>
      <c r="M47" s="110" t="inlineStr">
        <is>
          <t>HeckerCreatives</t>
        </is>
      </c>
      <c r="N47" s="81" t="n">
        <v>0</v>
      </c>
      <c r="O47" s="80" t="n"/>
      <c r="P47" s="80" t="inlineStr">
        <is>
          <t>Declining asks first</t>
        </is>
      </c>
      <c r="Q47" s="82" t="inlineStr">
        <is>
          <t>polish.md #27</t>
        </is>
      </c>
      <c r="R47" s="111" t="inlineStr">
        <is>
          <t>Raised 2026-10-28 from the UX review.</t>
        </is>
      </c>
    </row>
    <row r="48" ht="23.85" customHeight="1" s="75">
      <c r="A48" s="104" t="n">
        <v>44</v>
      </c>
      <c r="B48" s="105" t="inlineStr">
        <is>
          <t>POL-FE-28</t>
        </is>
      </c>
      <c r="C48" s="81" t="n">
        <v>3</v>
      </c>
      <c r="D48" s="82" t="inlineStr">
        <is>
          <t>C · Confusing or extra work</t>
        </is>
      </c>
      <c r="E48" s="138" t="inlineStr">
        <is>
          <t>FE</t>
        </is>
      </c>
      <c r="F48" s="120" t="inlineStr">
        <is>
          <t>Code</t>
        </is>
      </c>
      <c r="G48" s="80" t="inlineStr">
        <is>
          <t>Confirm before 'Confirm delivered'</t>
        </is>
      </c>
      <c r="H48" s="107" t="inlineStr">
        <is>
          <t>Confirmation saying the seller will be paid.</t>
        </is>
      </c>
      <c r="I48" s="108" t="inlineStr">
        <is>
          <t>Ready</t>
        </is>
      </c>
      <c r="J48" s="108" t="n">
        <v>0.25</v>
      </c>
      <c r="K48" s="109" t="n"/>
      <c r="L48" s="109" t="n"/>
      <c r="M48" s="110" t="inlineStr">
        <is>
          <t>HeckerCreatives</t>
        </is>
      </c>
      <c r="N48" s="81" t="n">
        <v>0</v>
      </c>
      <c r="O48" s="80" t="n"/>
      <c r="P48" s="80" t="inlineStr">
        <is>
          <t>Confirm delivered asks first</t>
        </is>
      </c>
      <c r="Q48" s="82" t="inlineStr">
        <is>
          <t>polish.md #28</t>
        </is>
      </c>
      <c r="R48" s="111" t="inlineStr">
        <is>
          <t>Raised 2026-10-28 from the UX review.</t>
        </is>
      </c>
    </row>
    <row r="49" ht="23.85" customHeight="1" s="75">
      <c r="A49" s="104" t="n">
        <v>45</v>
      </c>
      <c r="B49" s="105" t="inlineStr">
        <is>
          <t>POL-BE-29</t>
        </is>
      </c>
      <c r="C49" s="81" t="n">
        <v>3</v>
      </c>
      <c r="D49" s="82" t="inlineStr">
        <is>
          <t>C · Confusing or extra work</t>
        </is>
      </c>
      <c r="E49" s="138" t="inlineStr">
        <is>
          <t>BE</t>
        </is>
      </c>
      <c r="F49" s="120" t="inlineStr">
        <is>
          <t>Code</t>
        </is>
      </c>
      <c r="G49" s="80" t="inlineStr">
        <is>
          <t>Handoff queue oldest first</t>
        </is>
      </c>
      <c r="H49" s="107" t="inlineStr">
        <is>
          <t>Sort guardian handoffs oldest first.</t>
        </is>
      </c>
      <c r="I49" s="108" t="inlineStr">
        <is>
          <t>Ready</t>
        </is>
      </c>
      <c r="J49" s="108" t="n">
        <v>0.25</v>
      </c>
      <c r="K49" s="109" t="n"/>
      <c r="L49" s="109" t="n"/>
      <c r="M49" s="110" t="inlineStr">
        <is>
          <t>rcfworks</t>
        </is>
      </c>
      <c r="N49" s="81" t="n">
        <v>0</v>
      </c>
      <c r="O49" s="80" t="n"/>
      <c r="P49" s="80" t="inlineStr">
        <is>
          <t>Oldest first; test</t>
        </is>
      </c>
      <c r="Q49" s="82" t="inlineStr">
        <is>
          <t>polish.md #29</t>
        </is>
      </c>
      <c r="R49" s="111" t="inlineStr">
        <is>
          <t>Raised 2026-10-28 from the UX review.</t>
        </is>
      </c>
    </row>
    <row r="50" ht="23.85" customHeight="1" s="75">
      <c r="A50" s="104" t="n">
        <v>46</v>
      </c>
      <c r="B50" s="105" t="inlineStr">
        <is>
          <t>POL-FE-30</t>
        </is>
      </c>
      <c r="C50" s="81" t="n">
        <v>3</v>
      </c>
      <c r="D50" s="82" t="inlineStr">
        <is>
          <t>C · Confusing or extra work</t>
        </is>
      </c>
      <c r="E50" s="138" t="inlineStr">
        <is>
          <t>FE</t>
        </is>
      </c>
      <c r="F50" s="120" t="inlineStr">
        <is>
          <t>Code</t>
        </is>
      </c>
      <c r="G50" s="80" t="inlineStr">
        <is>
          <t>Unsubscribe fallback points at support</t>
        </is>
      </c>
      <c r="H50" s="107" t="inlineStr">
        <is>
          <t>Replace 'reply to the email' (no-reply sender) with the support address.</t>
        </is>
      </c>
      <c r="I50" s="108" t="inlineStr">
        <is>
          <t>Ready</t>
        </is>
      </c>
      <c r="J50" s="108" t="n">
        <v>0.25</v>
      </c>
      <c r="K50" s="109" t="n"/>
      <c r="L50" s="109" t="n"/>
      <c r="M50" s="110" t="inlineStr">
        <is>
          <t>HeckerCreatives</t>
        </is>
      </c>
      <c r="N50" s="81" t="n">
        <v>0</v>
      </c>
      <c r="O50" s="80" t="n"/>
      <c r="P50" s="80" t="inlineStr">
        <is>
          <t>Fallback reaches a person</t>
        </is>
      </c>
      <c r="Q50" s="82" t="inlineStr">
        <is>
          <t>polish.md #30</t>
        </is>
      </c>
      <c r="R50" s="111" t="inlineStr">
        <is>
          <t>Raised 2026-10-28 from the UX review.</t>
        </is>
      </c>
    </row>
    <row r="51" ht="23.85" customHeight="1" s="75">
      <c r="A51" s="104" t="n">
        <v>47</v>
      </c>
      <c r="B51" s="105" t="inlineStr">
        <is>
          <t>POL-FE-31</t>
        </is>
      </c>
      <c r="C51" s="81" t="n">
        <v>4</v>
      </c>
      <c r="D51" s="82" t="inlineStr">
        <is>
          <t>D · Polish</t>
        </is>
      </c>
      <c r="E51" s="138" t="inlineStr">
        <is>
          <t>FE</t>
        </is>
      </c>
      <c r="F51" s="120" t="inlineStr">
        <is>
          <t>Code</t>
        </is>
      </c>
      <c r="G51" s="80" t="inlineStr">
        <is>
          <t>Plain message for a failed card payment</t>
        </is>
      </c>
      <c r="H51" s="107" t="inlineStr">
        <is>
          <t>Replace 'ref: pi_…' with what to do next and how to contact support.</t>
        </is>
      </c>
      <c r="I51" s="108" t="inlineStr">
        <is>
          <t>Ready</t>
        </is>
      </c>
      <c r="J51" s="108" t="n">
        <v>0.25</v>
      </c>
      <c r="K51" s="109" t="n"/>
      <c r="L51" s="109" t="n"/>
      <c r="M51" s="110" t="inlineStr">
        <is>
          <t>HeckerCreatives</t>
        </is>
      </c>
      <c r="N51" s="81" t="n">
        <v>0</v>
      </c>
      <c r="O51" s="80" t="n"/>
      <c r="P51" s="80" t="inlineStr">
        <is>
          <t>No raw Stripe codes shown</t>
        </is>
      </c>
      <c r="Q51" s="82" t="inlineStr">
        <is>
          <t>polish.md #31</t>
        </is>
      </c>
      <c r="R51" s="111" t="inlineStr">
        <is>
          <t>Raised 2026-10-28 from the UX review.</t>
        </is>
      </c>
    </row>
    <row r="52" s="75">
      <c r="A52" s="104" t="n">
        <v>48</v>
      </c>
      <c r="B52" s="105" t="inlineStr">
        <is>
          <t>POL-FE-32</t>
        </is>
      </c>
      <c r="C52" s="81" t="n">
        <v>4</v>
      </c>
      <c r="D52" s="82" t="inlineStr">
        <is>
          <t>D · Polish</t>
        </is>
      </c>
      <c r="E52" s="138" t="inlineStr">
        <is>
          <t>FE</t>
        </is>
      </c>
      <c r="F52" s="120" t="inlineStr">
        <is>
          <t>Code</t>
        </is>
      </c>
      <c r="G52" s="80" t="inlineStr">
        <is>
          <t>'Welcome' on first sign-in</t>
        </is>
      </c>
      <c r="H52" s="107" t="inlineStr">
        <is>
          <t>Not 'Welcome back' for a brand-new user.</t>
        </is>
      </c>
      <c r="I52" s="108" t="inlineStr">
        <is>
          <t>Ready</t>
        </is>
      </c>
      <c r="J52" s="108" t="n">
        <v>0.25</v>
      </c>
      <c r="K52" s="109" t="n"/>
      <c r="L52" s="109" t="n"/>
      <c r="M52" s="110" t="inlineStr">
        <is>
          <t>HeckerCreatives</t>
        </is>
      </c>
      <c r="N52" s="81" t="n">
        <v>0</v>
      </c>
      <c r="O52" s="80" t="n"/>
      <c r="P52" s="80" t="inlineStr">
        <is>
          <t>First sign-in says Welcome</t>
        </is>
      </c>
      <c r="Q52" s="82" t="inlineStr">
        <is>
          <t>polish.md #32</t>
        </is>
      </c>
      <c r="R52" s="111" t="inlineStr">
        <is>
          <t>Raised 2026-10-28 from the UX review.</t>
        </is>
      </c>
    </row>
    <row r="53" s="75">
      <c r="A53" s="104" t="n">
        <v>49</v>
      </c>
      <c r="B53" s="105" t="inlineStr">
        <is>
          <t>POL-FE-33</t>
        </is>
      </c>
      <c r="C53" s="81" t="n">
        <v>4</v>
      </c>
      <c r="D53" s="82" t="inlineStr">
        <is>
          <t>D · Polish</t>
        </is>
      </c>
      <c r="E53" s="138" t="inlineStr">
        <is>
          <t>FE</t>
        </is>
      </c>
      <c r="F53" s="120" t="inlineStr">
        <is>
          <t>Code</t>
        </is>
      </c>
      <c r="G53" s="80" t="inlineStr">
        <is>
          <t>Remove 'Sample screens' for real users</t>
        </is>
      </c>
      <c r="H53" s="107" t="inlineStr">
        <is>
          <t>Settings stops linking real athletes to Riley's sample screens.</t>
        </is>
      </c>
      <c r="I53" s="108" t="inlineStr">
        <is>
          <t>Ready</t>
        </is>
      </c>
      <c r="J53" s="108" t="n">
        <v>0.25</v>
      </c>
      <c r="K53" s="109" t="n"/>
      <c r="L53" s="109" t="n"/>
      <c r="M53" s="110" t="inlineStr">
        <is>
          <t>HeckerCreatives</t>
        </is>
      </c>
      <c r="N53" s="81" t="n">
        <v>0</v>
      </c>
      <c r="O53" s="80" t="n"/>
      <c r="P53" s="80" t="inlineStr">
        <is>
          <t>Real users see no sample link</t>
        </is>
      </c>
      <c r="Q53" s="82" t="inlineStr">
        <is>
          <t>polish.md #33</t>
        </is>
      </c>
      <c r="R53" s="111" t="inlineStr">
        <is>
          <t>Raised 2026-10-28 from the UX review.</t>
        </is>
      </c>
    </row>
    <row r="54" s="75">
      <c r="A54" s="104" t="n">
        <v>50</v>
      </c>
      <c r="B54" s="105" t="inlineStr">
        <is>
          <t>POL-FE-34</t>
        </is>
      </c>
      <c r="C54" s="81" t="n">
        <v>4</v>
      </c>
      <c r="D54" s="82" t="inlineStr">
        <is>
          <t>D · Polish</t>
        </is>
      </c>
      <c r="E54" s="138" t="inlineStr">
        <is>
          <t>FE</t>
        </is>
      </c>
      <c r="F54" s="120" t="inlineStr">
        <is>
          <t>Code</t>
        </is>
      </c>
      <c r="G54" s="80" t="inlineStr">
        <is>
          <t>Sign in button on 'You're approved'</t>
        </is>
      </c>
      <c r="H54" s="107" t="inlineStr">
        <is>
          <t>Add a Sign in button to the approved /join status.</t>
        </is>
      </c>
      <c r="I54" s="108" t="inlineStr">
        <is>
          <t>Ready</t>
        </is>
      </c>
      <c r="J54" s="108" t="n">
        <v>0.25</v>
      </c>
      <c r="K54" s="109" t="n"/>
      <c r="L54" s="109" t="n"/>
      <c r="M54" s="110" t="inlineStr">
        <is>
          <t>HeckerCreatives</t>
        </is>
      </c>
      <c r="N54" s="81" t="n">
        <v>0</v>
      </c>
      <c r="O54" s="80" t="n"/>
      <c r="P54" s="80" t="inlineStr">
        <is>
          <t>Approved person can sign in from the page</t>
        </is>
      </c>
      <c r="Q54" s="82" t="inlineStr">
        <is>
          <t>polish.md #34</t>
        </is>
      </c>
      <c r="R54" s="111" t="inlineStr">
        <is>
          <t>Raised 2026-10-28 from the UX review.</t>
        </is>
      </c>
    </row>
    <row r="55" s="75">
      <c r="A55" s="104" t="n">
        <v>51</v>
      </c>
      <c r="B55" s="105" t="inlineStr">
        <is>
          <t>POL-FE-35</t>
        </is>
      </c>
      <c r="C55" s="81" t="n">
        <v>4</v>
      </c>
      <c r="D55" s="82" t="inlineStr">
        <is>
          <t>D · Polish</t>
        </is>
      </c>
      <c r="E55" s="138" t="inlineStr">
        <is>
          <t>FE</t>
        </is>
      </c>
      <c r="F55" s="120" t="inlineStr">
        <is>
          <t>Code</t>
        </is>
      </c>
      <c r="G55" s="80" t="inlineStr">
        <is>
          <t>'Contact BTG' links to support</t>
        </is>
      </c>
      <c r="H55" s="107" t="inlineStr">
        <is>
          <t>Team Documents and Roster pages link 'Contact BTG' to the support address.</t>
        </is>
      </c>
      <c r="I55" s="108" t="inlineStr">
        <is>
          <t>Ready</t>
        </is>
      </c>
      <c r="J55" s="108" t="n">
        <v>0.25</v>
      </c>
      <c r="K55" s="109" t="n"/>
      <c r="L55" s="109" t="n"/>
      <c r="M55" s="110" t="inlineStr">
        <is>
          <t>HeckerCreatives</t>
        </is>
      </c>
      <c r="N55" s="81" t="n">
        <v>0</v>
      </c>
      <c r="O55" s="80" t="n"/>
      <c r="P55" s="80" t="inlineStr">
        <is>
          <t>Contact BTG opens the support address</t>
        </is>
      </c>
      <c r="Q55" s="82" t="inlineStr">
        <is>
          <t>polish.md #35</t>
        </is>
      </c>
      <c r="R55" s="111" t="inlineStr">
        <is>
          <t>Raised 2026-10-28 from the UX review.</t>
        </is>
      </c>
    </row>
    <row r="56">
      <c r="A56" s="104" t="n">
        <v>52</v>
      </c>
      <c r="B56" s="105" t="inlineStr">
        <is>
          <t>POL-BE-36</t>
        </is>
      </c>
      <c r="C56" s="81" t="n">
        <v>5</v>
      </c>
      <c r="D56" s="82" t="inlineStr">
        <is>
          <t>E · Payments switch</t>
        </is>
      </c>
      <c r="E56" s="138" t="inlineStr">
        <is>
          <t>BE</t>
        </is>
      </c>
      <c r="F56" s="120" t="inlineStr">
        <is>
          <t>Code</t>
        </is>
      </c>
      <c r="G56" s="80" t="inlineStr">
        <is>
          <t>Payments on/off switch, held in the database</t>
        </is>
      </c>
      <c r="H56" s="107" t="inlineStr">
        <is>
          <t>A platform-wide Payments switch BTG Admin and Finance can flip at once without a deploy, with a reason, audited (who, when). Can only turn on when production has a live key and webhook secrets; PAYMENT_PROVIDER stays the master off. Off = no checkout, no transfer, no non-payment cancellation (with POL-BE-04).</t>
        </is>
      </c>
      <c r="I56" s="108" t="inlineStr">
        <is>
          <t>Ready</t>
        </is>
      </c>
      <c r="J56" s="108" t="n">
        <v>1.5</v>
      </c>
      <c r="K56" s="109" t="n"/>
      <c r="L56" s="109" t="n"/>
      <c r="M56" s="110" t="inlineStr">
        <is>
          <t>rcfworks</t>
        </is>
      </c>
      <c r="N56" s="81" t="n">
        <v>1</v>
      </c>
      <c r="O56" s="80" t="n"/>
      <c r="P56" s="80" t="inlineStr">
        <is>
          <t>BTG Admin and Finance can switch payments on and off; each change audited with a reason; other roles refused; off blocks checkout, transfers and non-payment cancellation; can't turn on without keys; tests</t>
        </is>
      </c>
      <c r="Q56" s="82" t="inlineStr">
        <is>
          <t>polish.md #36</t>
        </is>
      </c>
      <c r="R56" s="111" t="inlineStr">
        <is>
          <t>Raised 2026-10-28 by the user: live key ready today, payments stay off until polish is done.</t>
        </is>
      </c>
    </row>
    <row r="57">
      <c r="A57" s="104" t="n">
        <v>53</v>
      </c>
      <c r="B57" s="105" t="inlineStr">
        <is>
          <t>POL-FE-36</t>
        </is>
      </c>
      <c r="C57" s="81" t="n">
        <v>5</v>
      </c>
      <c r="D57" s="82" t="inlineStr">
        <is>
          <t>E · Payments switch</t>
        </is>
      </c>
      <c r="E57" s="138" t="inlineStr">
        <is>
          <t>FE</t>
        </is>
      </c>
      <c r="F57" s="120" t="inlineStr">
        <is>
          <t>Code</t>
        </is>
      </c>
      <c r="G57" s="80" t="inlineStr">
        <is>
          <t>Payments switch on BTG's admin screen</t>
        </is>
      </c>
      <c r="H57" s="107" t="inlineStr">
        <is>
          <t>A Payments on/off control on BTG's admin screen with a reason box and confirmation, showing who changed it and when; pay and payout buttons say payments open soon while it is off.</t>
        </is>
      </c>
      <c r="I57" s="108" t="inlineStr">
        <is>
          <t>Ready</t>
        </is>
      </c>
      <c r="J57" s="108" t="n">
        <v>0.5</v>
      </c>
      <c r="K57" s="109" t="n"/>
      <c r="L57" s="109" t="n"/>
      <c r="M57" s="110" t="inlineStr">
        <is>
          <t>HeckerCreatives</t>
        </is>
      </c>
      <c r="N57" s="81" t="n">
        <v>0</v>
      </c>
      <c r="O57" s="80" t="inlineStr">
        <is>
          <t>POL-BE-36</t>
        </is>
      </c>
      <c r="P57" s="80" t="inlineStr">
        <is>
          <t>BTG Admin and Finance see and use the switch with a reason; others don't see it; screens say payments open soon while off</t>
        </is>
      </c>
      <c r="Q57" s="82" t="inlineStr">
        <is>
          <t>polish.md #36</t>
        </is>
      </c>
      <c r="R57" s="111" t="inlineStr">
        <is>
          <t>Raised 2026-10-28 by the user.</t>
        </is>
      </c>
    </row>
  </sheetData>
  <autoFilter ref="A4:R57"/>
  <mergeCells count="2">
    <mergeCell ref="A2:R2"/>
    <mergeCell ref="A1:R1"/>
  </mergeCells>
  <conditionalFormatting sqref="I5:I57">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7">
    <cfRule type="expression" rank="0" priority="7" equalAverage="0" aboveAverage="0" dxfId="32" text="" percent="0" bottom="0">
      <formula>$I5="Done"</formula>
    </cfRule>
  </conditionalFormatting>
  <conditionalFormatting sqref="N5:N57">
    <cfRule type="cellIs" rank="0" priority="8" equalAverage="0" operator="greaterThanOrEqual" aboveAverage="0" dxfId="33" text="" percent="0" bottom="0">
      <formula>50</formula>
    </cfRule>
  </conditionalFormatting>
  <dataValidations count="1">
    <dataValidation sqref="I5:I57" showDropDown="0" showInputMessage="0" showErrorMessage="0" allowBlank="1" type="list">
      <formula1>"Ready,In progress,Code review,Blocked,Done"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330"/>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269 tasks · 615 person-days · the loop that must work before anything else is built · Stage 9 (SponsorX NEXT, spec v2.0) is gated, not queued</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Done</t>
        </is>
      </c>
      <c r="J14" s="108" t="n">
        <v>1</v>
      </c>
      <c r="K14" s="109" t="inlineStr">
        <is>
          <t>2026-09-18</t>
        </is>
      </c>
      <c r="L14" s="109" t="n">
        <v>46288</v>
      </c>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 | 2026-10-09: DONE — every clause was met on 2026-09-23 and recorded in .claude/stack-decision.md ("The domain — sponsorx.net"): Cloudflare account, auto-renew on (2027-08-19), registrar lock on, DNS on Cloudflare. Re-checked 2026-10-09: whois clientTransferProhibited, expires 2027-09-18, NS garrett/raegan.ns.cloudflare.com, https://sponsorx.net 200. The row was left In progress by mistake.</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Done</t>
        </is>
      </c>
      <c r="J15" s="108" t="n">
        <v>1</v>
      </c>
      <c r="K15" s="109" t="inlineStr">
        <is>
          <t>2026-09-14</t>
        </is>
      </c>
      <c r="L15" s="109" t="n">
        <v>46311</v>
      </c>
      <c r="M15" s="110" t="inlineStr">
        <is>
          <t>rcfworks</t>
        </is>
      </c>
      <c r="N15" s="85" t="n">
        <v>2</v>
      </c>
      <c r="O15" s="84" t="n"/>
      <c r="P15" s="84" t="inlineStr">
        <is>
          <t>Both instances exist (amended 2026-10-16 by the user: the MFA half is P2-INT-02's, closed when Clerk Pro is bought at launch)</t>
        </is>
      </c>
      <c r="Q15" s="86" t="inlineStr">
        <is>
          <t>Addendum A4, §26</t>
        </is>
      </c>
      <c r="R15" s="111" t="inlineStr">
        <is>
          <t>2026-10-16 DONE (rcfworks, the user's decision): both instances exist and production signs in on clerk.sponsorx.net; the MFA half of the old Done-when moved to P2-INT-02, which says the same thing. | 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 | 2026-10-09 AUDIT: NOT MET — both instances exist (production clerk.sponsorx.net serves sign-in), but the production instance has NO MFA strategy enabled (authenticator app, backup codes, phone all off; second factor not required — read from clerk.sponsorx.net/v1/environment). Needs Clerk Pro, deferred to launch on 2026-09-21. Closes with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Done</t>
        </is>
      </c>
      <c r="J57" s="108" t="n">
        <v>3</v>
      </c>
      <c r="K57" s="109" t="inlineStr">
        <is>
          <t>2026-09-18</t>
        </is>
      </c>
      <c r="L57" s="109" t="n">
        <v>46303</v>
      </c>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 | 2026-10-07 (rcfworks, via Claude): ALL FOUR VISIBLE, AND THE PAGE IS LIVE PATH. /health/full (public as /api/v1/public/health) gains checks.queue (depth = due pg-boss jobs + dispatchable outbox rows; oldest wait; jobs failed in 24 h) and traffic (API responses and 5xx over 15 min, per process). The queue check FAILS when a due job or a dispatchable outbox row has waited over 15 min, so the existing 15-minute health monitor posts 'worker not draining' to Slack. Parked rows are left out: types with no handler, and Zoho CRM jobs when CRM credentials are absent (production). NEEDS_ZOHO_CRM moved to src/lib/zoho-jobs.ts so the API never imports the Zoho client (zoho-boundary test). Verified on real SQL against a scratch Postgres with pg-boss 12; staging preview read-only: 0 waiting, 196 failed jobs in 24 h, all notify.email to example.com test addresses refused by Resend (test data). Production preview not run (needs the user). Monitoring Plan rewritten as v1.0. Done once deployed and the live answer shows the queue in both environments. | 2026-10-08 CHECKED, NOT YET DONE. Code meets the clause: a due job or outbox row waiting over 15 min makes /health/full 'degraded' (system-health.ts), and the monitor alerts on anything but 'ok'. Staging (1c423b9) shows checks.queue and traffic live; production is still on aae0ca2 and shows neither — needs the production release. ALSO FOUND: health-monitor.yml is scheduled every 15 min but GitHub ran it only every 4–6 h on 2026-10-07 (13:56, 19:42, 23:50 UTC), so a stuck worker could go unreported for hours. Done when production shows the queue and the monitor actually runs on a reliable cadence. | 2026-10-08 DONE — both clauses verified. (1) Visible: production deployed at 6669472 (api + web) and sponsorx.net/api/v1/public/health now shows checks.queue (depth, oldest wait, failed jobs 24 h) and traffic (requests, 5xx, rate), as staging does. (2) Paged when the worker stops draining: a due job waiting &gt;15 min makes the answer 'degraded' and the health monitor posts to Slack. GitHub's own */15 schedule ran only every 4–6 h, so a Railway cron service 'monitor-trigger' (staging env, image curlimages/curl, */15 * * * *, restart NEVER) now dispatches health-monitor.yml on main with a fine-grained token GH_DISPATCH_TOKEN (BTG-Sports/sponsorX_dev only, Actions read/write, 1 year — renew before 2027-10). First cron-started run 07:02 UTC succeeded. GitHub's schedule stays as a backup.</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2026-10-16: now also carries the MFA half of P0-OPS-03 (closed). | 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 | 2026-10-09 AUDIT: NOT MET — confirmed: production Clerk has no MFA strategy enabled and does not require a second factor. Needs Clerk Pro (authenticator app + backup codes, never SMS). Deferred to launch by decision.</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 | 2026-10-09 AUDIT: NOT MET IN PRODUCTION (staging complete). Production web still carries DATABASE_URL, which the frontend never reads and staging removed on 2026-09-21. SPONSORX_EDGE_KEY is on staging web+api but not production (deferred to go-live by P8-SEC-03, so every fan's public rate limit would share one bucket until it is set). Zoho and Stripe webhook secrets absent in production by the go-live deferral. Neither environment sets GEOLITE2_CITY_PATH (optional; clicks record without geo). Note: API and worker run as one process (src/combined.mts), so the 'worker only' Zoho variables correctly sit on the api service; web holds no Zoho variable. | 2026-10-09 FIXED IN PRODUCTION (user-approved): SPONSORX_EDGE_KEY set on production api + web (40 chars, matching by hash, never printed); DATABASE_URL deleted from production web. Applied by fast-forwarding `release` 499e0b5 → 9c3246f (main; app code identical to production's 6669472 — the daily move had been held since 10-06 by the unrelated /admin/audit e2e failure) and redeploying web. Health ok, pages 200. STILL OPEN: GEOLITE2_CITY_PATH unset in both environments (optional; clicks record without geo), and production's Zoho credentials and Stripe webhook secrets wait for go-live by decision. | 2026-10-15: WHEN production's Zoho keys are set at go-live, also run `railway ssh --environment production --service api -- npm run zoho:intel-fields -w @sponsorx/backend -- --create --confirm-production` (3S7-INT-01's two Account fields; owner OK'd 2026-10-15). Tried 2026-10-15: stopped with 'Zoho is not configured' — nothing changed. 2026-10-24: Zoho production on (key owned by rcfworks, org 4857533000000020005, watch renewed, intel fields created). Edge key and Resend done 2026-10-23. Still open: GEOLITE2_CITY_PATH, BTG_POSTAL_ADDRESS.</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Done</t>
        </is>
      </c>
      <c r="J68" s="108" t="n">
        <v>3</v>
      </c>
      <c r="K68" s="109" t="inlineStr">
        <is>
          <t>2026-09-18</t>
        </is>
      </c>
      <c r="L68" s="109" t="n">
        <v>46302</v>
      </c>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 | 2026-10-07 (rcfworks, via Claude): BOTH CLAUSES NOW ACHIEVABLE. The repo moved to the BTG-Sports org (Team plan, public), so Actions minutes are free and rulesets work. ci.yml runs again on every push and every pull request, plus the nightly; deploy-daily.yml now deploys only after the nightly or a hand-started CI run (never after a push run), and it reads only the latest run of each job, so an earlier failure since re-run green does not block a deploy. Required check: repository ruleset 'CI required' on main and main_development requires 'typecheck · lint · unit · authz matrix' (the job that runs the 1,152-pair authz matrix). Moves to Done once the ruleset is on and the first push run is green. | 2026-10-07 DONE, both clauses verified. (1) Every commit runs all four: push and pull_request runs on #171 (37633953352, 37633957535) and on main (37635630955) all passed typecheck · lint · unit · authz matrix. (2) Required, not advisory: ruleset CI required (id 24647902, active) on main and main_development requires that job from GitHub Actions; #171 showed it Expected/Required and could not merge without it, and the fast-forward of main_development was accepted only because the commit had passed. Release #172 merged. NOTE: e2e is not required; while it is red (P1-FE-31 audit empty state), the 8 pm automatic deploy does not ship, because deploy-daily requires both CI jobs green.</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Dropped</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 | 2026-10-09 AUDIT: NOT MET — no PR environments exist: GitHub shows only staging and production deployment environments, and PRs get no Railway preview. The seed it needs (P2-OPS-05) is Done. | 2026-10-15 DROPPED by the user ("its not worth doing"): every PR already runs the full suite, browser tests included, on its own fresh database in CI; the team is two people who merge every PR; a running app and database per open PR costs Railway money for little gain.</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Done</t>
        </is>
      </c>
      <c r="J166" s="108" t="n">
        <v>5</v>
      </c>
      <c r="K166" s="109" t="n">
        <v>46311</v>
      </c>
      <c r="L166" s="109" t="n">
        <v>46311</v>
      </c>
      <c r="M166" s="110" t="inlineStr">
        <is>
          <t>rcfworks</t>
        </is>
      </c>
      <c r="N166" s="85" t="n">
        <v>2</v>
      </c>
      <c r="O166" s="84" t="inlineStr">
        <is>
          <t>all phases</t>
        </is>
      </c>
      <c r="P166" s="84" t="inlineStr">
        <is>
          <t>All fourteen §30 criteria demonstrated and recorded</t>
        </is>
      </c>
      <c r="Q166" s="86" t="inlineStr">
        <is>
          <t>§30</t>
        </is>
      </c>
      <c r="R166" s="111" t="inlineStr">
        <is>
          <t>2026-10-16 DONE (rcfworks, signed off by the user): SponsorX-Phase1-Acceptance.md — all 14 §30 criteria demonstrated: 1,048/1,048 backend tests in 39 files + new phase1-acceptance.test.ts (3/3); Phase 1 e2e loops green on main (CI 38857461531); Zoho live in the sandbox (2026-10-09 run). #2 SX jobs = configured by reviewed code change (user's decision). | 2026-10-09 AUDIT: NOT MET — no Phase 1 §30 acceptance record exists in the repo (Phase 2 has documentation/SponsorX-Phase2-Acceptance-Signoff.md; Phase 1 has none). §30 is in the Blueprint (Drive), not the repo. This is the work to do: the Phase 1 counterpart of that sign-off record.</t>
        </is>
      </c>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Done</t>
        </is>
      </c>
      <c r="J170" s="108" t="n">
        <v>3</v>
      </c>
      <c r="K170" s="109" t="n"/>
      <c r="L170" s="163" t="n">
        <v>46302</v>
      </c>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 | 2026-10-09 AUDIT: DONE — every clause met by 2S8-OPS-01 on 2026-10-07: staging PITR restore matched live and was usable in ~9.5 min; a test alert reached Slack (health-monitor run 37584104464); rollback exercised (41 s, roll-forward 51 s). Its dependency P2-OPS-11 is Done (2026-10-08). The Railway $50 hard-limit note is carried to P8-PMO-06 (go-live), where real users first depend on it.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Done</t>
        </is>
      </c>
      <c r="J171" s="108" t="n">
        <v>5</v>
      </c>
      <c r="K171" s="109" t="n">
        <v>46311</v>
      </c>
      <c r="L171" s="109" t="n">
        <v>46311</v>
      </c>
      <c r="M171" s="110" t="inlineStr">
        <is>
          <t>rcfworks</t>
        </is>
      </c>
      <c r="N171" s="81" t="n">
        <v>1</v>
      </c>
      <c r="O171" s="80" t="inlineStr">
        <is>
          <t>P8-QA-01</t>
        </is>
      </c>
      <c r="P171" s="80" t="inlineStr">
        <is>
          <t>Scripts exist for athlete, sponsor, admin and fan journeys; run with real pilot users on staging</t>
        </is>
      </c>
      <c r="Q171" s="82" t="inlineStr">
        <is>
          <t>§29 Sprint 7, §38</t>
        </is>
      </c>
      <c r="R171" s="111" t="inlineStr">
        <is>
          <t>2026-10-16 DONE (rcfworks, the user's decision): scripts in SponsorX-Phase1-UAT-Scripts.md (28 steps, mapped to §30). The run is met by Phase 2's simulated-user run on staging (2026-10-09: sign-up, Zoho, cross-tenant) plus the daily e2e loops in CI (application, matching, delivery, QR reward, earnings and report). Scripts stay ready for BTG's real pilot.</t>
        </is>
      </c>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Done</t>
        </is>
      </c>
      <c r="J183" s="108" t="n">
        <v>3</v>
      </c>
      <c r="K183" s="109" t="inlineStr">
        <is>
          <t>2026-10-02</t>
        </is>
      </c>
      <c r="L183" s="109" t="n">
        <v>46303</v>
      </c>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 Moved to Done by the owner 2026-10-08.</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In progress</t>
        </is>
      </c>
      <c r="J184" s="108" t="n">
        <v>1</v>
      </c>
      <c r="K184" s="163" t="n">
        <v>46315</v>
      </c>
      <c r="L184" s="109" t="n"/>
      <c r="M184" s="110" t="inlineStr">
        <is>
          <t>rcfworks</t>
        </is>
      </c>
      <c r="N184" s="85" t="n">
        <v>1</v>
      </c>
      <c r="O184" s="84" t="inlineStr">
        <is>
          <t>P8-QA-02, P8-OPS-01</t>
        </is>
      </c>
      <c r="P184" s="84" t="inlineStr">
        <is>
          <t>§37's pre-pilot and pre-sponsor-pilot gates formally signed off</t>
        </is>
      </c>
      <c r="Q184" s="86" t="inlineStr">
        <is>
          <t>§37</t>
        </is>
      </c>
      <c r="R184" s="111" t="inlineStr">
        <is>
          <t>2026-10-20 (rcfworks): DRAFT, decision pending — documentation/SponsorX-Go-No-Go-Review.md. Software ready (Phases 1–4 signed off). Athlete-pilot and sponsor-pilot gates wait on counsel (P0-LEG-01…06, 2S0-LEG-01/02, 3S0-LEG-01); owner's production switches listed (Stripe live, Zoho keys, Clerk Pro MFA, edge key, GeoLite, email domain). Recommendation: no-go for real outside users until counsel answers; production readiness + BTG-internal dry run meanwhile. | 2026-10-09 AUDIT: Carried from P8-OPS-01: at go-live, raise or remove the Railway compute hard limit ($50, set 2026-09-23, stops ALL resources) and rely on the $25 email alert — a self-inflicted outage costs more than the overage once real users depend on it.</t>
        </is>
      </c>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Done</t>
        </is>
      </c>
      <c r="J185" s="108" t="n">
        <v>3</v>
      </c>
      <c r="K185" s="109" t="inlineStr">
        <is>
          <t>2026-10-02</t>
        </is>
      </c>
      <c r="L185" s="109" t="n">
        <v>46311</v>
      </c>
      <c r="M185" s="110" t="inlineStr">
        <is>
          <t>HeckerCreatives</t>
        </is>
      </c>
      <c r="N185" s="81" t="n"/>
      <c r="O185" s="80" t="inlineStr">
        <is>
          <t>P8-QA-01</t>
        </is>
      </c>
      <c r="P185" s="80" t="inlineStr">
        <is>
          <t>Every E2E test from Phases 3–7 runs green in one suite in CI</t>
        </is>
      </c>
      <c r="Q185" s="82" t="inlineStr">
        <is>
          <t>§38</t>
        </is>
      </c>
      <c r="R185" s="111" t="inlineStr">
        <is>
          <t>2026-10-16 DONE (verified by rcfworks at the user's instruction): main's CI run 38857461531 — Playwright 70 passed, 0 failed in one suite; stages 3-7 loops all green (loop-p3-application incl. the minor loop red on 10-02, loop-p4-matching, loop-p5-delivery, redeem-flow, loop-p7-earnings-report); skips are other-project or Phase 2 seed-only. 'Phases 3-7' = Phase 1 stages 3-7. | 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 | 2026-10-09: SPONSORX_EDGE_KEY now set on production api + web too, so the F1 fix (each fan's own rate-limit bucket) is live in production.</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Done</t>
        </is>
      </c>
      <c r="J204" s="108" t="n">
        <v>1</v>
      </c>
      <c r="K204" s="109" t="n">
        <v>46302</v>
      </c>
      <c r="L204" s="109" t="n">
        <v>46302</v>
      </c>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 | 2026-10-07 DONE, all four clauses met. (1) Resend account under the BTG-controlled icarrefound address. (2) sponsorx.net verified, DKIM (resend._domainkey) and SPF (send.sponsorx.net, include of Resend's MX/SPF) resolving on 1.1.1.1. (3) RESEND_API_KEY and EMAIL_FROM set on the API in BOTH staging and production. (4) Inbox, not spam: today's support-mailbox sends (2S1-OPS-01) went out through Resend from noreply@sponsorx.net and arrived in the infinex1 inbox. DMARC is still absent; it is optional and not in the acceptance. Add _dmarc TXT 'v=DMARC1; p=none;' if a big mailbox starts filing us as spam.</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Done</t>
        </is>
      </c>
      <c r="J237" s="108" t="n">
        <v>3</v>
      </c>
      <c r="K237" s="109" t="inlineStr">
        <is>
          <t>2026-10-02</t>
        </is>
      </c>
      <c r="L237" s="109" t="n">
        <v>46311</v>
      </c>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2026-10-16 DONE (verified by rcfworks at the user's instruction): next-edition-e2e.test.ts 7/7 green, one test per clause; clause 4 (approval board + ContentRight) covered since P9-BE-16 (Done 2026-10-05). | 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s="75">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Done</t>
        </is>
      </c>
      <c r="J268" s="108" t="n">
        <v>3</v>
      </c>
      <c r="K268" s="109" t="n">
        <v>46297</v>
      </c>
      <c r="L268" s="109" t="n">
        <v>46297</v>
      </c>
      <c r="M268" s="110" t="inlineStr">
        <is>
          <t>rcfworks</t>
        </is>
      </c>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 | Started 2026-10-02 on option B (the approval board learns edition artwork as a second subject, reusing the deliverable review states). | Built and reviewed 2026-10-02 (option B: the approval board learns edition artwork, reusing the deliverable review states; sponsor sign-off mandatory; production gate on every sold slot; cross-tenant gate fix). P9-QA-01 clause 4 passes against it on a copy with the artwork steps added — the owner of P9-QA-01 adds them to next-edition-e2e.test.ts (lines in the PR / Memory log).</t>
        </is>
      </c>
    </row>
    <row r="269" s="75">
      <c r="A269" s="104" t="n">
        <v>32.95</v>
      </c>
      <c r="B269" s="105" t="inlineStr">
        <is>
          <t>P1-ART-13</t>
        </is>
      </c>
      <c r="C269" s="81" t="n">
        <v>1</v>
      </c>
      <c r="D269" s="82" t="inlineStr">
        <is>
          <t>UI Scaffold on Fixtures</t>
        </is>
      </c>
      <c r="E269" s="139" t="inlineStr">
        <is>
          <t>ART</t>
        </is>
      </c>
      <c r="F269" s="120" t="inlineStr">
        <is>
          <t>Code</t>
        </is>
      </c>
      <c r="G269" s="80" t="inlineStr">
        <is>
          <t>Sign-in — stage redesign, boot screen and page transition</t>
        </is>
      </c>
      <c r="H269" s="107" t="inlineStr">
        <is>
          <t>The /login screen redesigned in the landing's, /packages', /join's and /next/about's visual language. It has a fixed-dark stage with a light that follows the pointer, sweeping floodlights, rising motes and a parallax floor. From lg a HUD column sits next to the sign-in: a scrambled eyebrow, a masked three-line headline, a 'Where you'll land' card that cycles the five workspaces, and the network figures (labelled as samples). The sign-in is in a chamfered glass panel with an outline spotlight, and the page closes with the landing's compact footer. /login also joins the public site's loading screens: a hard load or refresh shows the boot screen (P1-ART-11), and moving between it and the site plays the X transition both ways, labelled 'Login' (P1-ART-12). Signing in (→ /portal) stays a plain navigation.</t>
        </is>
      </c>
      <c r="I269" s="108" t="inlineStr">
        <is>
          <t>Done</t>
        </is>
      </c>
      <c r="J269" s="108" t="n">
        <v>2</v>
      </c>
      <c r="K269" s="109" t="n">
        <v>46297</v>
      </c>
      <c r="L269" s="109" t="n">
        <v>46297</v>
      </c>
      <c r="M269" s="110" t="inlineStr">
        <is>
          <t>HeckerCreatives</t>
        </is>
      </c>
      <c r="N269" s="81" t="n">
        <v>0</v>
      </c>
      <c r="O269" s="80" t="inlineStr">
        <is>
          <t>P1-ART-11, P1-ART-12</t>
        </is>
      </c>
      <c r="P269" s="80" t="inlineStr">
        <is>
          <t>Clerk behaviour unchanged (hash routing, lands on /portal). Fixed-dark in both themes. One viewport down to 1366×700 on desktop, and no horizontal overflow at 390px. Reduced motion shows the still stage. A hard load of /login shows the boot screen first; /login ↔ site moves play the transition; the transition title's descenders (g, p, y) are not clipped. Unit tests, lint and typecheck green.</t>
        </is>
      </c>
      <c r="Q269" s="82" t="inlineStr">
        <is>
          <t>§9 screen 2</t>
        </is>
      </c>
      <c r="R269" s="111" t="inlineStr">
        <is>
          <t>Raised and closed 2026-10-02 on the owner's request. Components: login-stage.tsx, login-fx.tsx. Also fixed: the transition title clipped descenders on every label.</t>
        </is>
      </c>
    </row>
    <row r="270">
      <c r="A270" s="104" t="n">
        <v>90.09999999999999</v>
      </c>
      <c r="B270" s="105" t="inlineStr">
        <is>
          <t>P4-BE-07</t>
        </is>
      </c>
      <c r="C270" s="81" t="n">
        <v>4</v>
      </c>
      <c r="D270" s="82" t="inlineStr">
        <is>
          <t>Sponsor Demand &amp; Matching</t>
        </is>
      </c>
      <c r="E270" s="139" t="inlineStr">
        <is>
          <t>BE</t>
        </is>
      </c>
      <c r="F270" s="120" t="inlineStr">
        <is>
          <t>Code</t>
        </is>
      </c>
      <c r="G270" s="80" t="inlineStr">
        <is>
          <t>Brief readiness checklist</t>
        </is>
      </c>
      <c r="H270" s="107" t="inlineStr">
        <is>
          <t>BTG's brief desk shows a checklist on each brief: objective written, valid dates, budget at or above the price floor, sponsor approved, eligible athletes after conflicts (with the count), and category conflicts flagged. A draft brief passing them is shown as ready for review. BTG still qualifies and approves by hand.</t>
        </is>
      </c>
      <c r="I270" s="108" t="inlineStr">
        <is>
          <t>Done</t>
        </is>
      </c>
      <c r="J270" s="108" t="n">
        <v>1</v>
      </c>
      <c r="K270" s="109" t="n">
        <v>46298</v>
      </c>
      <c r="L270" s="109" t="n">
        <v>46298</v>
      </c>
      <c r="M270" s="110" t="inlineStr">
        <is>
          <t>rcfworks</t>
        </is>
      </c>
      <c r="N270" s="81" t="inlineStr">
        <is>
          <t>P4-FE-08</t>
        </is>
      </c>
      <c r="O270" s="80" t="inlineStr">
        <is>
          <t>P4-BE-01, P4-BE-03</t>
        </is>
      </c>
      <c r="P270" s="80" t="inlineStr">
        <is>
          <t>Each brief shows its checklist and whether it is ready for review; the desk filters to ready briefs; no brief changes state on its own</t>
        </is>
      </c>
      <c r="Q270" s="82" t="inlineStr">
        <is>
          <t>BTG admin review item 18, 2026-10-03</t>
        </is>
      </c>
      <c r="R270" s="111" t="inlineStr">
        <is>
          <t>Raised 2026-10-03 from the BTG admin review: BTG keeps the decision; the busywork around it is automated. | Reviewed 2026-10-03: backend 2465/2467 on two runs (only next-edition-e2e 4-5); frontend 1096/1096; tsc and eslint clean.</t>
        </is>
      </c>
    </row>
    <row r="271">
      <c r="A271" s="104" t="n">
        <v>90.2</v>
      </c>
      <c r="B271" s="105" t="inlineStr">
        <is>
          <t>P4-BE-08</t>
        </is>
      </c>
      <c r="C271" s="81" t="n">
        <v>4</v>
      </c>
      <c r="D271" s="82" t="inlineStr">
        <is>
          <t>Sponsor Demand &amp; Matching</t>
        </is>
      </c>
      <c r="E271" s="139" t="inlineStr">
        <is>
          <t>BE</t>
        </is>
      </c>
      <c r="F271" s="120" t="inlineStr">
        <is>
          <t>Code</t>
        </is>
      </c>
      <c r="G271" s="80" t="inlineStr">
        <is>
          <t>Ranked shortlist with reasons; offers pre-filled</t>
        </is>
      </c>
      <c r="H271" s="107" t="inlineStr">
        <is>
          <t>The matching shortlist is ranked (sport, state, completed work, rate fit, recent activity) with the reasons shown; conflicts are still excluded first. A pre-filled offer draft comes from the athlete's rate card, the job's sell range and floor, the deliverable template and the brief. BTG still chooses and sends.</t>
        </is>
      </c>
      <c r="I271" s="108" t="inlineStr">
        <is>
          <t>Done</t>
        </is>
      </c>
      <c r="J271" s="108" t="n">
        <v>2</v>
      </c>
      <c r="K271" s="109" t="n">
        <v>46298</v>
      </c>
      <c r="L271" s="109" t="n">
        <v>46298</v>
      </c>
      <c r="M271" s="110" t="inlineStr">
        <is>
          <t>rcfworks</t>
        </is>
      </c>
      <c r="N271" s="81" t="inlineStr">
        <is>
          <t>P4-FE-08</t>
        </is>
      </c>
      <c r="O271" s="80" t="inlineStr">
        <is>
          <t>P4-BE-03, P4-BE-04</t>
        </is>
      </c>
      <c r="P271" s="80" t="inlineStr">
        <is>
          <t>The shortlist is ordered by score with reasons and never includes a conflicted athlete; the offer draft fills each field from its source, respects the price floor and passes offer validation unchanged; nothing is sent without BTG</t>
        </is>
      </c>
      <c r="Q271" s="82" t="inlineStr">
        <is>
          <t>BTG admin review item 19, 2026-10-03</t>
        </is>
      </c>
      <c r="R271" s="111" t="inlineStr">
        <is>
          <t>Raised 2026-10-03 from the BTG admin review: BTG keeps the decision; the busywork around it is automated. | Reviewed 2026-10-03: backend 2465/2467 on two runs (only next-edition-e2e 4-5); frontend 1096/1096; tsc and eslint clean.</t>
        </is>
      </c>
    </row>
    <row r="272">
      <c r="A272" s="104" t="n">
        <v>90.3</v>
      </c>
      <c r="B272" s="105" t="inlineStr">
        <is>
          <t>P4-BE-09</t>
        </is>
      </c>
      <c r="C272" s="81" t="n">
        <v>4</v>
      </c>
      <c r="D272" s="82" t="inlineStr">
        <is>
          <t>Sponsor Demand &amp; Matching</t>
        </is>
      </c>
      <c r="E272" s="139" t="inlineStr">
        <is>
          <t>BE</t>
        </is>
      </c>
      <c r="F272" s="120" t="inlineStr">
        <is>
          <t>Code</t>
        </is>
      </c>
      <c r="G272" s="80" t="inlineStr">
        <is>
          <t>Campaign stages move by themselves</t>
        </is>
      </c>
      <c r="H272" s="107" t="inlineStr">
        <is>
          <t>Stage moves that are facts happen automatically: staffing → approval when the package's maximum athletes have signed and nothing is outstanding (below that, or with no package, BTG moves it); active → reporting when every deliverable is verified; reporting → completed when the final report renders. BTG keeps launching and cancelling. Campaigns show their next step.</t>
        </is>
      </c>
      <c r="I272" s="108" t="inlineStr">
        <is>
          <t>Done</t>
        </is>
      </c>
      <c r="J272" s="108" t="n">
        <v>2</v>
      </c>
      <c r="K272" s="109" t="n">
        <v>46298</v>
      </c>
      <c r="L272" s="109" t="n">
        <v>46298</v>
      </c>
      <c r="M272" s="110" t="inlineStr">
        <is>
          <t>rcfworks</t>
        </is>
      </c>
      <c r="N272" s="81" t="inlineStr">
        <is>
          <t>P4-FE-08</t>
        </is>
      </c>
      <c r="O272" s="80" t="inlineStr">
        <is>
          <t>P4-BE-06</t>
        </is>
      </c>
      <c r="P272" s="80" t="inlineStr">
        <is>
          <t>Each automatic move happens on its event and only when its whole condition holds; a sweep catches missed events; manual and automatic moves never both apply; each campaign shows its next step</t>
        </is>
      </c>
      <c r="Q272" s="82" t="inlineStr">
        <is>
          <t>BTG admin review item 20, 2026-10-03</t>
        </is>
      </c>
      <c r="R272" s="111" t="inlineStr">
        <is>
          <t>Raised 2026-10-03 from the BTG admin review: BTG keeps the decision; the busywork around it is automated. | Reviewed 2026-10-03: backend 2465/2467 on two runs (only next-edition-e2e 4-5); frontend 1096/1096; tsc and eslint clean. Staffing moves on its own only at the package athlete maximum with nothing outstanding; creating orders, offers and invitations takes the campaign lock.</t>
        </is>
      </c>
    </row>
    <row r="273">
      <c r="A273" s="104" t="n">
        <v>102.5</v>
      </c>
      <c r="B273" s="105" t="inlineStr">
        <is>
          <t>P5-BE-09</t>
        </is>
      </c>
      <c r="C273" s="81" t="n">
        <v>5</v>
      </c>
      <c r="D273" s="82" t="inlineStr">
        <is>
          <t>Campaign Execution</t>
        </is>
      </c>
      <c r="E273" s="139" t="inlineStr">
        <is>
          <t>BE</t>
        </is>
      </c>
      <c r="F273" s="120" t="inlineStr">
        <is>
          <t>Code</t>
        </is>
      </c>
      <c r="G273" s="80" t="inlineStr">
        <is>
          <t>Content checked before BTG reviews it; review reminders</t>
        </is>
      </c>
      <c r="H273" s="107" t="inlineStr">
        <is>
          <t>When an athlete submits a draft (now with its caption), the system checks a file is attached, the file type is allowed and the required disclosures such as #ad are in the caption. A failing draft goes straight back to the athlete with the reasons and never reaches BTG. Drafts waiting more than 48 hours in BTG or sponsor review trigger one reminder each. BTG still approves every draft.</t>
        </is>
      </c>
      <c r="I273" s="108" t="inlineStr">
        <is>
          <t>Done</t>
        </is>
      </c>
      <c r="J273" s="108" t="n">
        <v>2</v>
      </c>
      <c r="K273" s="109" t="n">
        <v>46298</v>
      </c>
      <c r="L273" s="109" t="n">
        <v>46298</v>
      </c>
      <c r="M273" s="110" t="inlineStr">
        <is>
          <t>rcfworks</t>
        </is>
      </c>
      <c r="N273" s="81" t="inlineStr">
        <is>
          <t>P4-FE-08</t>
        </is>
      </c>
      <c r="O273" s="80" t="inlineStr">
        <is>
          <t>P5-BE-01</t>
        </is>
      </c>
      <c r="P273" s="80" t="inlineStr">
        <is>
          <t>A failing draft returns to the athlete with reasons and never reaches BTG; a passing draft reaches BTG with its checks shown; each reminder is sent once after 48 hours</t>
        </is>
      </c>
      <c r="Q273" s="82" t="inlineStr">
        <is>
          <t>BTG admin review item 21, 2026-10-03</t>
        </is>
      </c>
      <c r="R273" s="111" t="inlineStr">
        <is>
          <t>Raised 2026-10-03 from the BTG admin review: BTG keeps the decision; the busywork around it is automated. | Reviewed 2026-10-03: backend 2465/2467 on two runs (only next-edition-e2e 4-5); frontend 1096/1096; tsc and eslint clean.</t>
        </is>
      </c>
    </row>
    <row r="274">
      <c r="A274" s="104" t="n">
        <v>128.6</v>
      </c>
      <c r="B274" s="105" t="inlineStr">
        <is>
          <t>P6-BE-09</t>
        </is>
      </c>
      <c r="C274" s="81" t="n">
        <v>6</v>
      </c>
      <c r="D274" s="82" t="inlineStr">
        <is>
          <t>Measurement &amp; Reward</t>
        </is>
      </c>
      <c r="E274" s="139" t="inlineStr">
        <is>
          <t>BE</t>
        </is>
      </c>
      <c r="F274" s="120" t="inlineStr">
        <is>
          <t>Code</t>
        </is>
      </c>
      <c r="G274" s="80" t="inlineStr">
        <is>
          <t>Rewards follow their campaign</t>
        </is>
      </c>
      <c r="H274" s="107" t="inlineStr">
        <is>
          <t>When BTG launches a campaign, its complete draft rewards go live; incomplete ones stay draft. When a campaign is cancelled, its live rewards pause. On completion rewards are left to their own expiry.</t>
        </is>
      </c>
      <c r="I274" s="108" t="inlineStr">
        <is>
          <t>Done</t>
        </is>
      </c>
      <c r="J274" s="108" t="n">
        <v>1</v>
      </c>
      <c r="K274" s="109" t="n">
        <v>46298</v>
      </c>
      <c r="L274" s="109" t="n">
        <v>46298</v>
      </c>
      <c r="M274" s="110" t="inlineStr">
        <is>
          <t>rcfworks</t>
        </is>
      </c>
      <c r="N274" s="81" t="inlineStr">
        <is>
          <t>P4-FE-08</t>
        </is>
      </c>
      <c r="O274" s="80" t="inlineStr">
        <is>
          <t>P6-BE-01, P4-BE-09</t>
        </is>
      </c>
      <c r="P274" s="80" t="inlineStr">
        <is>
          <t>Complete draft rewards go live on launch and incomplete ones stay draft; live rewards pause on cancel; completion leaves rewards to expire on their own</t>
        </is>
      </c>
      <c r="Q274" s="82" t="inlineStr">
        <is>
          <t>BTG admin review item 22, 2026-10-03</t>
        </is>
      </c>
      <c r="R274" s="111" t="inlineStr">
        <is>
          <t>Raised 2026-10-03 from the BTG admin review: BTG keeps the decision; the busywork around it is automated. | Reviewed 2026-10-03: backend 2465/2467 on two runs (only next-edition-e2e 4-5); frontend 1096/1096; tsc and eslint clean.</t>
        </is>
      </c>
    </row>
    <row r="275">
      <c r="A275" s="104" t="n">
        <v>97.5</v>
      </c>
      <c r="B275" s="105" t="inlineStr">
        <is>
          <t>P4-FE-08</t>
        </is>
      </c>
      <c r="C275" s="81" t="n">
        <v>4</v>
      </c>
      <c r="D275" s="82" t="inlineStr">
        <is>
          <t>Sponsor Demand &amp; Matching</t>
        </is>
      </c>
      <c r="E275" s="139" t="inlineStr">
        <is>
          <t>FE</t>
        </is>
      </c>
      <c r="F275" s="120" t="inlineStr">
        <is>
          <t>Code</t>
        </is>
      </c>
      <c r="G275" s="80" t="inlineStr">
        <is>
          <t>Managed-flow automation, on screen</t>
        </is>
      </c>
      <c r="H275" s="107" t="inlineStr">
        <is>
          <t>Small additions to existing screens: brief readiness checklist and ready filter; ranked shortlist with reasons and a pre-filled offer form; content checks, caption and waiting badges; campaign next step and automatic-move notes; reward 'goes live at launch'.</t>
        </is>
      </c>
      <c r="I275" s="108" t="inlineStr">
        <is>
          <t>Done</t>
        </is>
      </c>
      <c r="J275" s="108" t="n">
        <v>2</v>
      </c>
      <c r="K275" s="109" t="n">
        <v>46298</v>
      </c>
      <c r="L275" s="109" t="n">
        <v>46298</v>
      </c>
      <c r="M275" s="110" t="inlineStr">
        <is>
          <t>rcfworks</t>
        </is>
      </c>
      <c r="N275" s="81" t="n"/>
      <c r="O275" s="80" t="inlineStr">
        <is>
          <t>P4-BE-07, P4-BE-08, P4-BE-09, P5-BE-09, P6-BE-09</t>
        </is>
      </c>
      <c r="P275" s="80" t="inlineStr">
        <is>
          <t>Each screen shows what the system did or checked and what is left for BTG</t>
        </is>
      </c>
      <c r="Q275" s="82" t="inlineStr">
        <is>
          <t>BTG admin review items 18 to 22, 2026-10-03</t>
        </is>
      </c>
      <c r="R275" s="111" t="inlineStr">
        <is>
          <t>Raised 2026-10-03 from the BTG admin review: BTG keeps the decision; the busywork around it is automated. | Reviewed 2026-10-03: backend 2465/2467 on two runs (only next-edition-e2e 4-5); frontend 1096/1096; tsc and eslint clean.</t>
        </is>
      </c>
    </row>
    <row r="276">
      <c r="A276" s="104" t="n">
        <v>88.5</v>
      </c>
      <c r="B276" s="105" t="inlineStr">
        <is>
          <t>P4-BE-10</t>
        </is>
      </c>
      <c r="C276" s="81" t="n">
        <v>4</v>
      </c>
      <c r="D276" s="82" t="inlineStr">
        <is>
          <t>Sponsor Demand &amp; Matching</t>
        </is>
      </c>
      <c r="E276" s="139" t="inlineStr">
        <is>
          <t>BE</t>
        </is>
      </c>
      <c r="F276" s="120" t="inlineStr">
        <is>
          <t>Code</t>
        </is>
      </c>
      <c r="G276" s="80" t="inlineStr">
        <is>
          <t>An athlete without restrictions is never dropped from a shortlist</t>
        </is>
      </c>
      <c r="H276" s="107" t="inlineStr">
        <is>
          <t>restrictedCategories was nullable, and the conflict filter is NULL for NULL, so an athlete who never set restrictions vanished from every shortlist for a brief naming categories. Backfilled to an empty list, defaulted and made NOT NULL on Athlete and InventoryItem.</t>
        </is>
      </c>
      <c r="I276" s="108" t="inlineStr">
        <is>
          <t>Done</t>
        </is>
      </c>
      <c r="J276" s="108" t="n">
        <v>1</v>
      </c>
      <c r="K276" s="109" t="n">
        <v>46298</v>
      </c>
      <c r="L276" s="109" t="n">
        <v>46298</v>
      </c>
      <c r="M276" s="110" t="inlineStr">
        <is>
          <t>rcfworks</t>
        </is>
      </c>
      <c r="N276" s="81" t="n"/>
      <c r="O276" s="80" t="inlineStr">
        <is>
          <t>P4-BE-03</t>
        </is>
      </c>
      <c r="P276" s="80" t="inlineStr">
        <is>
          <t>An athlete with no restrictions appears on a shortlist for a brief with categories; the column can never be NULL</t>
        </is>
      </c>
      <c r="Q276" s="82" t="inlineStr">
        <is>
          <t>Found 2026-10-03 while building P4-BE-08</t>
        </is>
      </c>
      <c r="R276" s="111" t="inlineStr">
        <is>
          <t>Raised and closed 2026-10-03. Fix 4fccf98; asserted by tests/sql-rules-in-migrations.test.ts.</t>
        </is>
      </c>
    </row>
    <row r="277">
      <c r="A277" s="104" t="n">
        <v>90.40000000000001</v>
      </c>
      <c r="B277" s="105" t="inlineStr">
        <is>
          <t>P4-BE-11</t>
        </is>
      </c>
      <c r="C277" s="81" t="n">
        <v>4</v>
      </c>
      <c r="D277" s="82" t="inlineStr">
        <is>
          <t>Sponsor Demand &amp; Matching</t>
        </is>
      </c>
      <c r="E277" s="139" t="inlineStr">
        <is>
          <t>BE</t>
        </is>
      </c>
      <c r="F277" s="120" t="inlineStr">
        <is>
          <t>Code</t>
        </is>
      </c>
      <c r="G277" s="80" t="inlineStr">
        <is>
          <t>Sponsor briefs approved automatically</t>
        </is>
      </c>
      <c r="H277" s="107" t="inlineStr">
        <is>
          <t>A brief is qualified, approved and turned into a campaign automatically when the readiness checks pass, it has a package and the budget meets its price, enough athletes fit (package minimum), no category is sensitive and the sponsor is in good standing. Otherwise it is held for BTG with the reason; the sponsor sees only 'BTG is reviewing your request'.</t>
        </is>
      </c>
      <c r="I277" s="108" t="inlineStr">
        <is>
          <t>Done</t>
        </is>
      </c>
      <c r="J277" s="108" t="n">
        <v>2</v>
      </c>
      <c r="K277" s="109" t="n">
        <v>46298</v>
      </c>
      <c r="L277" s="109" t="n">
        <v>46298</v>
      </c>
      <c r="M277" s="110" t="inlineStr">
        <is>
          <t>rcfworks</t>
        </is>
      </c>
      <c r="N277" s="81" t="inlineStr">
        <is>
          <t>P4-BE-12, P4-FE-09</t>
        </is>
      </c>
      <c r="O277" s="80" t="inlineStr">
        <is>
          <t>P4-BE-07</t>
        </is>
      </c>
      <c r="P277" s="80" t="inlineStr">
        <is>
          <t>A brief passing every check becomes a campaign without a person; any failed check holds it for BTG with the reason, BTG emailed once; sensitive and custom briefs always reach BTG</t>
        </is>
      </c>
      <c r="Q277" s="82" t="inlineStr">
        <is>
          <t>BTG admin review item 18, 2026-10-03</t>
        </is>
      </c>
      <c r="R277"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sponsors no longer read BTG closeReason; a cross-tenant SUPER_ADMIN no longer creates campaigns in the wrong tenant.</t>
        </is>
      </c>
    </row>
    <row r="278">
      <c r="A278" s="104" t="n">
        <v>90.5</v>
      </c>
      <c r="B278" s="105" t="inlineStr">
        <is>
          <t>P4-BE-12</t>
        </is>
      </c>
      <c r="C278" s="81" t="n">
        <v>4</v>
      </c>
      <c r="D278" s="82" t="inlineStr">
        <is>
          <t>Sponsor Demand &amp; Matching</t>
        </is>
      </c>
      <c r="E278" s="139" t="inlineStr">
        <is>
          <t>BE</t>
        </is>
      </c>
      <c r="F278" s="120" t="inlineStr">
        <is>
          <t>Code</t>
        </is>
      </c>
      <c r="G278" s="80" t="inlineStr">
        <is>
          <t>Campaigns staff themselves</t>
        </is>
      </c>
      <c r="H278" s="107" t="inlineStr">
        <is>
          <t>Offers go automatically to the top-ranked athletes up to the package maximum, pre-filled and validated, 3-day answer window, within budget; a minor's offer goes to the guardian. A decline or expiry is replaced by the next athlete. Stops for BTG when the list or the budget runs out. BTG can switch automatic staffing off per campaign.</t>
        </is>
      </c>
      <c r="I278" s="108" t="inlineStr">
        <is>
          <t>Done</t>
        </is>
      </c>
      <c r="J278" s="108" t="n">
        <v>3</v>
      </c>
      <c r="K278" s="109" t="n">
        <v>46298</v>
      </c>
      <c r="L278" s="109" t="n">
        <v>46298</v>
      </c>
      <c r="M278" s="110" t="inlineStr">
        <is>
          <t>rcfworks</t>
        </is>
      </c>
      <c r="N278" s="81" t="inlineStr">
        <is>
          <t>P4-FE-09</t>
        </is>
      </c>
      <c r="O278" s="80" t="inlineStr">
        <is>
          <t>P4-BE-08, P4-BE-09, P4-BE-11</t>
        </is>
      </c>
      <c r="P278" s="80" t="inlineStr">
        <is>
          <t>Offers reach the package maximum without a person, never twice to one athlete, never to a conflicted or inactive athlete, never over budget; declines are replaced; stops reach BTG with the reason</t>
        </is>
      </c>
      <c r="Q278" s="82" t="inlineStr">
        <is>
          <t>BTG admin review item 19, 2026-10-03</t>
        </is>
      </c>
      <c r="R278"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On by default only for new campaigns (no backfill).</t>
        </is>
      </c>
    </row>
    <row r="279">
      <c r="A279" s="104" t="n">
        <v>90.59999999999999</v>
      </c>
      <c r="B279" s="105" t="inlineStr">
        <is>
          <t>P4-BE-13</t>
        </is>
      </c>
      <c r="C279" s="81" t="n">
        <v>4</v>
      </c>
      <c r="D279" s="82" t="inlineStr">
        <is>
          <t>Sponsor Demand &amp; Matching</t>
        </is>
      </c>
      <c r="E279" s="139" t="inlineStr">
        <is>
          <t>BE</t>
        </is>
      </c>
      <c r="F279" s="120" t="inlineStr">
        <is>
          <t>Code</t>
        </is>
      </c>
      <c r="G279" s="80" t="inlineStr">
        <is>
          <t>Campaigns launch on their start date</t>
        </is>
      </c>
      <c r="H279" s="107" t="inlineStr">
        <is>
          <t>A campaign in approval launches automatically on its start date (at once if the date has passed), after any sponsor approval step, through the existing launch checks. BTG can still launch by hand.</t>
        </is>
      </c>
      <c r="I279" s="108" t="inlineStr">
        <is>
          <t>Done</t>
        </is>
      </c>
      <c r="J279" s="108" t="n">
        <v>1</v>
      </c>
      <c r="K279" s="109" t="n">
        <v>46298</v>
      </c>
      <c r="L279" s="109" t="n">
        <v>46298</v>
      </c>
      <c r="M279" s="110" t="inlineStr">
        <is>
          <t>rcfworks</t>
        </is>
      </c>
      <c r="N279" s="81" t="inlineStr">
        <is>
          <t>P4-FE-09</t>
        </is>
      </c>
      <c r="O279" s="80" t="inlineStr">
        <is>
          <t>P4-BE-09</t>
        </is>
      </c>
      <c r="P279" s="80" t="inlineStr">
        <is>
          <t>A ready campaign launches on its start date and not before, with every existing launch check; cancelled campaigns never launch</t>
        </is>
      </c>
      <c r="Q279" s="82" t="inlineStr">
        <is>
          <t>BTG admin review item 20, 2026-10-03</t>
        </is>
      </c>
      <c r="R279"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APPROVAL has no sponsor step in the code; launch is BTG or system only (sponsor admins refused).</t>
        </is>
      </c>
    </row>
    <row r="280">
      <c r="A280" s="104" t="n">
        <v>102.6</v>
      </c>
      <c r="B280" s="105" t="inlineStr">
        <is>
          <t>P5-BE-10</t>
        </is>
      </c>
      <c r="C280" s="81" t="n">
        <v>5</v>
      </c>
      <c r="D280" s="82" t="inlineStr">
        <is>
          <t>Campaign Execution</t>
        </is>
      </c>
      <c r="E280" s="139" t="inlineStr">
        <is>
          <t>BE</t>
        </is>
      </c>
      <c r="F280" s="120" t="inlineStr">
        <is>
          <t>Code</t>
        </is>
      </c>
      <c r="G280" s="80" t="inlineStr">
        <is>
          <t>Trusted drafts skip BTG review</t>
        </is>
      </c>
      <c r="H280" s="107" t="inlineStr">
        <is>
          <t>A draft passing every automatic check goes straight to the sponsor when the athlete's last 3 BTG-reviewed drafts were approved without changes, the athlete is not a minor and no category is sensitive. A BTG revision resets the streak. The sponsor still reviews every draft; BTG can still intervene.</t>
        </is>
      </c>
      <c r="I280" s="108" t="inlineStr">
        <is>
          <t>Done</t>
        </is>
      </c>
      <c r="J280" s="108" t="n">
        <v>2</v>
      </c>
      <c r="K280" s="109" t="n">
        <v>46298</v>
      </c>
      <c r="L280" s="109" t="n">
        <v>46298</v>
      </c>
      <c r="M280" s="110" t="inlineStr">
        <is>
          <t>rcfworks</t>
        </is>
      </c>
      <c r="N280" s="81" t="inlineStr">
        <is>
          <t>P4-FE-09</t>
        </is>
      </c>
      <c r="O280" s="80" t="inlineStr">
        <is>
          <t>P5-BE-09</t>
        </is>
      </c>
      <c r="P280" s="80" t="inlineStr">
        <is>
          <t>Trusted adult athletes' passing drafts skip BTG; minors and sensitive categories never skip; a BTG revision resets trust; BTG can request changes on a skipped draft</t>
        </is>
      </c>
      <c r="Q280" s="82" t="inlineStr">
        <is>
          <t>BTG admin review item 21, 2026-10-03</t>
        </is>
      </c>
      <c r="R280"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per-athlete lock against a racing BTG revision; sponsors can no longer approve from BTG_REVIEW.</t>
        </is>
      </c>
    </row>
    <row r="281">
      <c r="A281" s="104" t="n">
        <v>97.59999999999999</v>
      </c>
      <c r="B281" s="105" t="inlineStr">
        <is>
          <t>P4-FE-09</t>
        </is>
      </c>
      <c r="C281" s="81" t="n">
        <v>4</v>
      </c>
      <c r="D281" s="82" t="inlineStr">
        <is>
          <t>Sponsor Demand &amp; Matching</t>
        </is>
      </c>
      <c r="E281" s="139" t="inlineStr">
        <is>
          <t>FE</t>
        </is>
      </c>
      <c r="F281" s="120" t="inlineStr">
        <is>
          <t>Code</t>
        </is>
      </c>
      <c r="G281" s="80" t="inlineStr">
        <is>
          <t>Automatic briefs, staffing, launch and trusted review, on screen</t>
        </is>
      </c>
      <c r="H281" s="107" t="inlineStr">
        <is>
          <t>Held-for-BTG brief desk with reasons; sponsor request status; staffing panel and automatic-staffing switch; launch date; skipped-review tab and trust indicator; athlete 'sent straight to the sponsor'.</t>
        </is>
      </c>
      <c r="I281" s="108" t="inlineStr">
        <is>
          <t>Done</t>
        </is>
      </c>
      <c r="J281" s="108" t="n">
        <v>2</v>
      </c>
      <c r="K281" s="109" t="n">
        <v>46298</v>
      </c>
      <c r="L281" s="109" t="n">
        <v>46298</v>
      </c>
      <c r="M281" s="110" t="inlineStr">
        <is>
          <t>rcfworks</t>
        </is>
      </c>
      <c r="N281" s="81" t="n"/>
      <c r="O281" s="80" t="inlineStr">
        <is>
          <t>P4-BE-11, P4-BE-12, P4-BE-13, P5-BE-10</t>
        </is>
      </c>
      <c r="P281" s="80" t="inlineStr">
        <is>
          <t>Each screen shows what the system did and what is left for BTG</t>
        </is>
      </c>
      <c r="Q281" s="82" t="inlineStr">
        <is>
          <t>BTG admin review items 18 to 21, 2026-10-03</t>
        </is>
      </c>
      <c r="R281"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t>
        </is>
      </c>
    </row>
    <row r="282">
      <c r="A282" s="104" t="n">
        <v>209.6</v>
      </c>
      <c r="B282" s="105" t="inlineStr">
        <is>
          <t>P9-BE-17</t>
        </is>
      </c>
      <c r="C282" s="81" t="n">
        <v>9</v>
      </c>
      <c r="D282" s="82" t="inlineStr">
        <is>
          <t>SponsorX NEXT</t>
        </is>
      </c>
      <c r="E282" s="139" t="inlineStr">
        <is>
          <t>BE</t>
        </is>
      </c>
      <c r="F282" s="120" t="inlineStr">
        <is>
          <t>Code</t>
        </is>
      </c>
      <c r="G282" s="80" t="inlineStr">
        <is>
          <t>Editions move through their stages by themselves</t>
        </is>
      </c>
      <c r="H282" s="107" t="inlineStr">
        <is>
          <t>Sales open on the opening date when priced slots exist; sales close on the closing date (the split is calculated then); the edition goes to production once all four production checks pass; it publishes digitally on the publish date. Printed, distributed and cancelled stay with BTG. An edition waiting on a check shows why.</t>
        </is>
      </c>
      <c r="I282" s="108" t="inlineStr">
        <is>
          <t>Done</t>
        </is>
      </c>
      <c r="J282" s="108" t="n">
        <v>2</v>
      </c>
      <c r="K282" s="109" t="n">
        <v>46298</v>
      </c>
      <c r="L282" s="109" t="n">
        <v>46298</v>
      </c>
      <c r="M282" s="110" t="inlineStr">
        <is>
          <t>rcfworks</t>
        </is>
      </c>
      <c r="N282" s="81" t="n"/>
      <c r="O282" s="80" t="inlineStr">
        <is>
          <t>P9-BE-02, P9-BE-16</t>
        </is>
      </c>
      <c r="P282" s="80" t="inlineStr">
        <is>
          <t>Each stage moves on its date or check and not before; a failing check leaves the edition with its reason; BTG's manual moves still work</t>
        </is>
      </c>
      <c r="Q282" s="82" t="inlineStr">
        <is>
          <t>BTG admin review item 23, 2026-10-03</t>
        </is>
      </c>
      <c r="R282"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3">
      <c r="A283" s="104" t="n">
        <v>209.7</v>
      </c>
      <c r="B283" s="105" t="inlineStr">
        <is>
          <t>P9-BE-18</t>
        </is>
      </c>
      <c r="C283" s="81" t="n">
        <v>9</v>
      </c>
      <c r="D283" s="82" t="inlineStr">
        <is>
          <t>SponsorX NEXT</t>
        </is>
      </c>
      <c r="E283" s="139" t="inlineStr">
        <is>
          <t>BE</t>
        </is>
      </c>
      <c r="F283" s="120" t="inlineStr">
        <is>
          <t>Code</t>
        </is>
      </c>
      <c r="G283" s="80" t="inlineStr">
        <is>
          <t>Ad slots priced from the rate card; ads sold automatically behind a student-audience check</t>
        </is>
      </c>
      <c r="H283" s="107" t="inlineStr">
        <is>
          <t>Slots take their price from the publication's rate card. A package's slots are sold automatically when the sponsor's business is allowed in a student publication (not alcohol, vaping, gambling or other not-for-students categories), no exclusive category clashes, and slots are available; otherwise Sales gets it with the reason. The category check now also applies to Sales' manual sale.</t>
        </is>
      </c>
      <c r="I283" s="108" t="inlineStr">
        <is>
          <t>Done</t>
        </is>
      </c>
      <c r="J283" s="108" t="n">
        <v>2</v>
      </c>
      <c r="K283" s="109" t="n">
        <v>46298</v>
      </c>
      <c r="L283" s="109" t="n">
        <v>46298</v>
      </c>
      <c r="M283" s="110" t="inlineStr">
        <is>
          <t>rcfworks</t>
        </is>
      </c>
      <c r="N283" s="81" t="n"/>
      <c r="O283" s="80" t="inlineStr">
        <is>
          <t>P9-BE-03</t>
        </is>
      </c>
      <c r="P283" s="80" t="inlineStr">
        <is>
          <t>A clean sale needs no person; a not-for-students, sensitive, unknown or clashing category is never sold and reaches Sales with the reason; prices come from the rate card</t>
        </is>
      </c>
      <c r="Q283" s="82" t="inlineStr">
        <is>
          <t>BTG admin review item 23, 2026-10-03</t>
        </is>
      </c>
      <c r="R283"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4">
      <c r="A284" s="104" t="n">
        <v>209.8</v>
      </c>
      <c r="B284" s="105" t="inlineStr">
        <is>
          <t>P9-BE-19</t>
        </is>
      </c>
      <c r="C284" s="81" t="n">
        <v>9</v>
      </c>
      <c r="D284" s="82" t="inlineStr">
        <is>
          <t>SponsorX NEXT</t>
        </is>
      </c>
      <c r="E284" s="139" t="inlineStr">
        <is>
          <t>BE</t>
        </is>
      </c>
      <c r="F284" s="120" t="inlineStr">
        <is>
          <t>Code</t>
        </is>
      </c>
      <c r="G284" s="80" t="inlineStr">
        <is>
          <t>Finance locks the revenue split; cancelling an edition queues its refunds</t>
        </is>
      </c>
      <c r="H284" s="107" t="inlineStr">
        <is>
          <t>Finance can lock an edition's split so it is never recalculated; BTG admin can unlock with a reason. Cancelling an edition releases its sold slots, cancels ad-only campaigns that bought only those slots, and puts any money received on Finance's Refunds to send list. Split shares stay placeholders (owner's decision).</t>
        </is>
      </c>
      <c r="I284" s="108" t="inlineStr">
        <is>
          <t>Done</t>
        </is>
      </c>
      <c r="J284" s="108" t="n">
        <v>1</v>
      </c>
      <c r="K284" s="109" t="n">
        <v>46298</v>
      </c>
      <c r="L284" s="109" t="n">
        <v>46298</v>
      </c>
      <c r="M284" s="110" t="inlineStr">
        <is>
          <t>rcfworks</t>
        </is>
      </c>
      <c r="N284" s="81" t="n"/>
      <c r="O284" s="80" t="inlineStr">
        <is>
          <t>P9-BE-06, 2S4-BE-13</t>
        </is>
      </c>
      <c r="P284" s="80" t="inlineStr">
        <is>
          <t>A locked split is never replaced; a cancelled edition releases its slots and creates one refund row per payment received</t>
        </is>
      </c>
      <c r="Q284" s="82" t="inlineStr">
        <is>
          <t>BTG admin review item 23, 2026-10-03</t>
        </is>
      </c>
      <c r="R284" s="111" t="inlineStr">
        <is>
          <t>Raised 2026-10-03: Phase 2 overrides Phase 1's manual rules (programme owner) — automatic when safety checks pass, a person gets the exceptions. | Reviewed 2026-10-03: backend 2658/2660 on two runs (only next-edition-e2e 4-5); frontend 1141/1141; tsc and eslint clean. Also: a Zoho payment after an edition cancel is refunded; refunded sales are reversed from the student total and points.</t>
        </is>
      </c>
    </row>
    <row r="285">
      <c r="A285" s="104" t="n">
        <v>209.81</v>
      </c>
      <c r="B285" s="105" t="inlineStr">
        <is>
          <t>P9-BE-20</t>
        </is>
      </c>
      <c r="C285" s="81" t="n">
        <v>9</v>
      </c>
      <c r="D285" s="82" t="inlineStr">
        <is>
          <t>SponsorX NEXT</t>
        </is>
      </c>
      <c r="E285" s="139" t="inlineStr">
        <is>
          <t>BE</t>
        </is>
      </c>
      <c r="F285" s="120" t="inlineStr">
        <is>
          <t>Code</t>
        </is>
      </c>
      <c r="G285" s="80" t="inlineStr">
        <is>
          <t>Students approved from the school roster; activated and given codes automatically</t>
        </is>
      </c>
      <c r="H285" s="107" t="inlineStr">
        <is>
          <t>An application is approved automatically when the name exactly matches one entry on the school's roster (graduation year too), no student with that name is already approved there, and an adult applies from the school's email domain; otherwise the advisor reviews it with the reason. A minor activates only once their guardian is verified; the sales code is issued on activation. An empty roster approves nobody.</t>
        </is>
      </c>
      <c r="I285" s="108" t="inlineStr">
        <is>
          <t>Done</t>
        </is>
      </c>
      <c r="J285" s="108" t="n">
        <v>2</v>
      </c>
      <c r="K285" s="109" t="n">
        <v>46298</v>
      </c>
      <c r="L285" s="109" t="n">
        <v>46298</v>
      </c>
      <c r="M285" s="110" t="inlineStr">
        <is>
          <t>rcfworks</t>
        </is>
      </c>
      <c r="N285" s="81" t="n"/>
      <c r="O285" s="80" t="inlineStr">
        <is>
          <t>P9-BE-05</t>
        </is>
      </c>
      <c r="P285" s="80" t="inlineStr">
        <is>
          <t>Exact roster matches are approved without a person; every other case reaches the advisor with its reason; a minor never activates without a verified guardian; codes are issued once</t>
        </is>
      </c>
      <c r="Q285" s="82" t="inlineStr">
        <is>
          <t>BTG admin review item 24, 2026-10-03</t>
        </is>
      </c>
      <c r="R285" s="111" t="inlineStr">
        <is>
          <t>Raised 2026-10-03: Phase 2 overrides Phase 1's manual rules (programme owner) — automatic when safety checks pass, a person gets the exceptions. | Reviewed 2026-10-03: backend 2658/2660 on two runs (only next-edition-e2e 4-5); frontend 1141/1141; tsc and eslint clean. Also: only ACTIVE students read school-wide; a roster upload re-reviews waiting applicants. No in-app guardian signature exists for students, so guardian verification stays with BTG.</t>
        </is>
      </c>
    </row>
    <row r="286">
      <c r="A286" s="104" t="n">
        <v>209.82</v>
      </c>
      <c r="B286" s="105" t="inlineStr">
        <is>
          <t>P9-BE-21</t>
        </is>
      </c>
      <c r="C286" s="81" t="n">
        <v>9</v>
      </c>
      <c r="D286" s="82" t="inlineStr">
        <is>
          <t>SponsorX NEXT</t>
        </is>
      </c>
      <c r="E286" s="139" t="inlineStr">
        <is>
          <t>BE</t>
        </is>
      </c>
      <c r="F286" s="120" t="inlineStr">
        <is>
          <t>Code</t>
        </is>
      </c>
      <c r="G286" s="80" t="inlineStr">
        <is>
          <t>Student prospects decided automatically</t>
        </is>
      </c>
      <c r="H286" s="107" t="inlineStr">
        <is>
          <t>A prospect is rejected automatically when another sponsor holds its category (with other categories suggested), accepted automatically when the category is allowed and nothing clashes, and otherwise held for Sales with the reason.</t>
        </is>
      </c>
      <c r="I286" s="108" t="inlineStr">
        <is>
          <t>Done</t>
        </is>
      </c>
      <c r="J286" s="108" t="n">
        <v>1</v>
      </c>
      <c r="K286" s="109" t="n">
        <v>46298</v>
      </c>
      <c r="L286" s="109" t="n">
        <v>46298</v>
      </c>
      <c r="M286" s="110" t="inlineStr">
        <is>
          <t>rcfworks</t>
        </is>
      </c>
      <c r="N286" s="81" t="n"/>
      <c r="O286" s="80" t="inlineStr">
        <is>
          <t>P9-BE-05</t>
        </is>
      </c>
      <c r="P286" s="80" t="inlineStr">
        <is>
          <t>Exclusive-category prospects are declined with suggestions; clean ones accepted; the rest reach Sales with the reason; a minor's decline goes to the guardian</t>
        </is>
      </c>
      <c r="Q286" s="82" t="inlineStr">
        <is>
          <t>BTG admin review item 24, 2026-10-03</t>
        </is>
      </c>
      <c r="R286"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7">
      <c r="A287" s="104" t="n">
        <v>209.83</v>
      </c>
      <c r="B287" s="105" t="inlineStr">
        <is>
          <t>P9-BE-22</t>
        </is>
      </c>
      <c r="C287" s="81" t="n">
        <v>9</v>
      </c>
      <c r="D287" s="82" t="inlineStr">
        <is>
          <t>SponsorX NEXT</t>
        </is>
      </c>
      <c r="E287" s="139" t="inlineStr">
        <is>
          <t>BE</t>
        </is>
      </c>
      <c r="F287" s="120" t="inlineStr">
        <is>
          <t>Code</t>
        </is>
      </c>
      <c r="G287" s="80" t="inlineStr">
        <is>
          <t>Ad artwork checked automatically; trusted sponsors skip BTG; the ad licence recorded on approval</t>
        </is>
      </c>
      <c r="H287" s="107" t="inlineStr">
        <is>
          <t>Uploaded artwork is checked automatically (file type, size, and dimensions if known); a failing upload goes back to the sponsor. A sponsor whose last 3 ads had no BTG changes skips BTG's review; any BTG change request puts them back under review. When the sponsor approves their ad, its licence is recorded, so sold ads no longer block production.</t>
        </is>
      </c>
      <c r="I287" s="108" t="inlineStr">
        <is>
          <t>Done</t>
        </is>
      </c>
      <c r="J287" s="108" t="n">
        <v>2</v>
      </c>
      <c r="K287" s="109" t="n">
        <v>46298</v>
      </c>
      <c r="L287" s="109" t="n">
        <v>46298</v>
      </c>
      <c r="M287" s="110" t="inlineStr">
        <is>
          <t>rcfworks</t>
        </is>
      </c>
      <c r="N287" s="81" t="n"/>
      <c r="O287" s="80" t="inlineStr">
        <is>
          <t>P9-BE-16</t>
        </is>
      </c>
      <c r="P287" s="80" t="inlineStr">
        <is>
          <t>Failing uploads never reach BTG; only sponsors with a clean record skip, and a BTG revision resets them; every approved ad has its licence once</t>
        </is>
      </c>
      <c r="Q287" s="82" t="inlineStr">
        <is>
          <t>BTG admin review item 24, 2026-10-03</t>
        </is>
      </c>
      <c r="R287" s="111" t="inlineStr">
        <is>
          <t>Raised 2026-10-03: Phase 2 overrides Phase 1's manual rules (programme owner) — automatic when safety checks pass, a person gets the exceptions. | Reviewed 2026-10-03: backend 2658/2660 on two runs (only next-edition-e2e 4-5); frontend 1141/1141; tsc and eslint clean. Also: athlete deliverable uploads now sign their content type (P5-BE-09 made true).</t>
        </is>
      </c>
    </row>
    <row r="288">
      <c r="A288" s="104" t="n">
        <v>209.84</v>
      </c>
      <c r="B288" s="105" t="inlineStr">
        <is>
          <t>P9-BE-23</t>
        </is>
      </c>
      <c r="C288" s="81" t="n">
        <v>9</v>
      </c>
      <c r="D288" s="82" t="inlineStr">
        <is>
          <t>SponsorX NEXT</t>
        </is>
      </c>
      <c r="E288" s="139" t="inlineStr">
        <is>
          <t>BE</t>
        </is>
      </c>
      <c r="F288" s="120" t="inlineStr">
        <is>
          <t>Code</t>
        </is>
      </c>
      <c r="G288" s="80" t="inlineStr">
        <is>
          <t>Content rights recorded automatically from valid consent</t>
        </is>
      </c>
      <c r="H288" s="107" t="inlineStr">
        <is>
          <t>When the student or athlete who made an edition asset has a valid consent on file, the right for that asset is recorded automatically, with the same checks as BTG's: a minor's consent needs a verified guardian, and commercial reuse only under a commercial agreement. Paper consent forms and third-party licences stay with BTG.</t>
        </is>
      </c>
      <c r="I288" s="108" t="inlineStr">
        <is>
          <t>Done</t>
        </is>
      </c>
      <c r="J288" s="108" t="n">
        <v>1</v>
      </c>
      <c r="K288" s="109" t="n">
        <v>46298</v>
      </c>
      <c r="L288" s="109" t="n">
        <v>46298</v>
      </c>
      <c r="M288" s="110" t="inlineStr">
        <is>
          <t>rcfworks</t>
        </is>
      </c>
      <c r="N288" s="81" t="n"/>
      <c r="O288" s="80" t="inlineStr">
        <is>
          <t>P9-BE-10, P9-BE-11</t>
        </is>
      </c>
      <c r="P288" s="80" t="inlineStr">
        <is>
          <t>Rights are recorded automatically only from valid consent, never for a minor without a verified guardian, never commercial without a commercial agreement</t>
        </is>
      </c>
      <c r="Q288" s="82" t="inlineStr">
        <is>
          <t>BTG admin review item 24, 2026-10-03</t>
        </is>
      </c>
      <c r="R288"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9">
      <c r="A289" s="104" t="n">
        <v>209.85</v>
      </c>
      <c r="B289" s="105" t="inlineStr">
        <is>
          <t>P9-FE-11</t>
        </is>
      </c>
      <c r="C289" s="81" t="n">
        <v>9</v>
      </c>
      <c r="D289" s="82" t="inlineStr">
        <is>
          <t>SponsorX NEXT</t>
        </is>
      </c>
      <c r="E289" s="139" t="inlineStr">
        <is>
          <t>FE</t>
        </is>
      </c>
      <c r="F289" s="120" t="inlineStr">
        <is>
          <t>Code</t>
        </is>
      </c>
      <c r="G289" s="80" t="inlineStr">
        <is>
          <t>NEXT automation, on screen</t>
        </is>
      </c>
      <c r="H289" s="107" t="inlineStr">
        <is>
          <t>Edition next step and automatic moves; held ad sales with reasons; rate-card prices; Finance's split lock; the advisor's queue with reasons and the school email domain; held prospects; artwork checks, the skipped-review tab and sponsor trust; rights recorded automatically.</t>
        </is>
      </c>
      <c r="I289" s="108" t="inlineStr">
        <is>
          <t>Done</t>
        </is>
      </c>
      <c r="J289" s="108" t="n">
        <v>2</v>
      </c>
      <c r="K289" s="109" t="n">
        <v>46298</v>
      </c>
      <c r="L289" s="109" t="n">
        <v>46298</v>
      </c>
      <c r="M289" s="110" t="inlineStr">
        <is>
          <t>rcfworks</t>
        </is>
      </c>
      <c r="N289" s="81" t="n"/>
      <c r="O289" s="80" t="inlineStr">
        <is>
          <t>P9-BE-17, P9-BE-18, P9-BE-19, P9-BE-20, P9-BE-21, P9-BE-22, P9-BE-23</t>
        </is>
      </c>
      <c r="P289" s="80" t="inlineStr">
        <is>
          <t>Each screen shows what the system did and what is left for a person</t>
        </is>
      </c>
      <c r="Q289" s="82" t="inlineStr">
        <is>
          <t>BTG admin review items 23 and 24, 2026-10-03</t>
        </is>
      </c>
      <c r="R289"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90" s="75">
      <c r="A290" s="104" t="n">
        <v>32.97</v>
      </c>
      <c r="B290" s="105" t="inlineStr">
        <is>
          <t>P1-ART-14</t>
        </is>
      </c>
      <c r="C290" s="81" t="n">
        <v>1</v>
      </c>
      <c r="D290" s="82" t="inlineStr">
        <is>
          <t>UI Scaffold on Fixtures</t>
        </is>
      </c>
      <c r="E290" s="139" t="inlineStr">
        <is>
          <t>ART</t>
        </is>
      </c>
      <c r="F290" s="120" t="inlineStr">
        <is>
          <t>Code</t>
        </is>
      </c>
      <c r="G290" s="80" t="inlineStr">
        <is>
          <t>Admin Operations Board — "Mission Control" stage redesign</t>
        </is>
      </c>
      <c r="H290" s="107" t="inlineStr">
        <is>
          <t>Raised 2026-10-05 by the programme owner: give /admin the landing's wow factor. The Operations Board (P7-FE-06) is redrawn on a fixed-dark HUD stage in the landing's, /packages' and /login's language, bled to the edges of the portal's content column (sidebar and top bar unchanged). Ground: brand glows, a pointer-led light, the drifting floor grid, rising motes, a scan sweep, an outlined OPS word. Hero: a scrambled live eyebrow with the Postgres provenance pill, a masked headline ("23 things need / BTG's hand today."), and an action ring whose arcs are each queue's share. Queue cards in chamfered glass with count-ups, lit brackets and a pointer spotlight; live campaigns with glowing progress; Systems as status lights. Own dark loading skeleton via the (board) route group. No new figures: the same three live reads.</t>
        </is>
      </c>
      <c r="I290" s="108" t="inlineStr">
        <is>
          <t>Done</t>
        </is>
      </c>
      <c r="J290" s="108" t="n">
        <v>1</v>
      </c>
      <c r="K290" s="109" t="n">
        <v>46300</v>
      </c>
      <c r="L290" s="109" t="n">
        <v>46303</v>
      </c>
      <c r="M290" s="110" t="inlineStr">
        <is>
          <t>HeckerCreatives</t>
        </is>
      </c>
      <c r="N290" s="81" t="n">
        <v>0</v>
      </c>
      <c r="O290" s="80" t="inlineStr">
        <is>
          <t>P7-FE-06, P1-ART-13</t>
        </is>
      </c>
      <c r="P290" s="80" t="inlineStr">
        <is>
          <t>Same three live reads and role filtering as before (no new figure); fixed-dark in both themes; links to desks a role can't use are hidden; zero actions shows All clear; reduced motion shows the still stage; no horizontal overflow at 390px; boardHeadline and ringSegments unit-tested; build, frontend tests and lint green</t>
        </is>
      </c>
      <c r="Q290" s="82" t="inlineStr">
        <is>
          <t>§23; docs/superpowers/specs/2026-10-05-admin-ops-stage-design.md</t>
        </is>
      </c>
      <c r="R290" s="111" t="inlineStr">
        <is>
          <t>Raised 2026-10-05 on the owner's request (HeckerCreatives, via Claude). Components: ops-stage.tsx, ops-fx.tsx; page moved to app/(app)/admin/(board)/. Branch feature/P1-ART-14-admin-ops-stage. Moved to Done by the owner 2026-10-08.</t>
        </is>
      </c>
    </row>
    <row r="291" s="75">
      <c r="A291" s="104" t="n">
        <v>32.98</v>
      </c>
      <c r="B291" s="105" t="inlineStr">
        <is>
          <t>P1-ART-15</t>
        </is>
      </c>
      <c r="C291" s="81" t="n">
        <v>1</v>
      </c>
      <c r="D291" s="82" t="inlineStr">
        <is>
          <t>UI Scaffold on Fixtures</t>
        </is>
      </c>
      <c r="E291" s="139" t="inlineStr">
        <is>
          <t>ART</t>
        </is>
      </c>
      <c r="F291" s="120" t="inlineStr">
        <is>
          <t>Code</t>
        </is>
      </c>
      <c r="G291" s="80" t="inlineStr">
        <is>
          <t>New sign-ups — "Intake Stream" redesign, server-paged</t>
        </is>
      </c>
      <c r="H291" s="107" t="inlineStr">
        <is>
          <t>Raised 2026-10-05 by the programme owner: redesign /admin/new-signups with the landing's wow factor, its lists paged by the house rule. The desk (2S1-FE-07) is redrawn on the Mission Control stage (P1-ART-14) as ONE server-paged stream of every kind of sign-up (organisations, athletes, guardians, sponsors), newest first, instead of four sections that each read their whole table. Hero from a summary read; kind chips with totals, a Needs review toggle and search, instant and URL-driven; held rows marked; the house pager above and below (12 / 24 / 60). Sensitive profile edits get their own paged panel. Backend: GET /signups/stream (six Prisma sources under whereFor, merged exactly per page) and /signups/stream/summary.</t>
        </is>
      </c>
      <c r="I291" s="108" t="inlineStr">
        <is>
          <t>Done</t>
        </is>
      </c>
      <c r="J291" s="108" t="n">
        <v>2</v>
      </c>
      <c r="K291" s="109" t="n">
        <v>46300</v>
      </c>
      <c r="L291" s="109" t="n">
        <v>46303</v>
      </c>
      <c r="M291" s="110" t="inlineStr">
        <is>
          <t>HeckerCreatives</t>
        </is>
      </c>
      <c r="N291" s="81" t="n">
        <v>0</v>
      </c>
      <c r="O291" s="80" t="inlineStr">
        <is>
          <t>2S1-FE-07, P1-ART-14</t>
        </is>
      </c>
      <c r="P291" s="80" t="inlineStr">
        <is>
          <t>Every list server-paged (page, size, kind, Needs review and search in the database; figures from a summary); a page is exact across the four tables (tested); old ?tab= links still land; no role sees more than before; tenant isolation green; fixed-dark in both themes; no horizontal overflow at 390px; build, tests and lint green</t>
        </is>
      </c>
      <c r="Q291" s="82" t="inlineStr">
        <is>
          <t>2S1-FE-07; docs/superpowers/specs/2026-10-05-new-signups-intake-stream-design.md</t>
        </is>
      </c>
      <c r="R291" s="111" t="inlineStr">
        <is>
          <t>Raised 2026-10-05 on the owner's request (HeckerCreatives, via Claude). Backend domain/signups-stream.ts (+ -rules), tests/signups-stream.test.ts; frontend components/intake-stage.tsx, intake-fx.tsx; page moved to app/(app)/admin/new-signups/(stream)/. Branch feature/P1-ART-15-new-signups-stream (stacked on P1-ART-14). Moved to Done by the owner 2026-10-08.</t>
        </is>
      </c>
    </row>
    <row r="292" s="75">
      <c r="A292" s="104" t="n">
        <v>32.99</v>
      </c>
      <c r="B292" s="105" t="inlineStr">
        <is>
          <t>P1-ART-16</t>
        </is>
      </c>
      <c r="C292" s="81" t="n">
        <v>1</v>
      </c>
      <c r="D292" s="82" t="inlineStr">
        <is>
          <t>UI Scaffold on Fixtures</t>
        </is>
      </c>
      <c r="E292" s="139" t="inlineStr">
        <is>
          <t>ART</t>
        </is>
      </c>
      <c r="F292" s="120" t="inlineStr">
        <is>
          <t>Code</t>
        </is>
      </c>
      <c r="G292" s="80" t="inlineStr">
        <is>
          <t>Athlete applications — "Scouting Board" redesign</t>
        </is>
      </c>
      <c r="H292" s="107" t="inlineStr">
        <is>
          <t>Raised 2026-10-05 by the programme owner: redesign /admin/applications with the landing's wow factor in the current theme. Visual only — the desk's reads, server paging and review actions are unchanged. On the admin stage (P1-ART-14), full bleed and fixed-dark: a dashboard header (title, Postgres pill, four KPI tiles from /applications/summary — the owner rejected a hero mid-build), tabs as stage pills, the queue as glass player cards (score ring, safeguard chips, a 48-hour bar that turns orange past 48h, pointer tilt and spotlight), and the review drawer as a dark scouting report in both themes (glowing factor bars, restyled decision buttons, same text and labels).</t>
        </is>
      </c>
      <c r="I292" s="108" t="inlineStr">
        <is>
          <t>Done</t>
        </is>
      </c>
      <c r="J292" s="108" t="n">
        <v>1</v>
      </c>
      <c r="K292" s="109" t="n">
        <v>46300</v>
      </c>
      <c r="L292" s="109" t="n">
        <v>46303</v>
      </c>
      <c r="M292" s="110" t="inlineStr">
        <is>
          <t>HeckerCreatives</t>
        </is>
      </c>
      <c r="N292" s="81" t="n">
        <v>0</v>
      </c>
      <c r="O292" s="80" t="inlineStr">
        <is>
          <t>P3-FE-02, P1-ART-14</t>
        </is>
      </c>
      <c r="P292" s="80" t="inlineStr">
        <is>
          <t>Same reads, paging and review actions; a dashboard header, not a hero; cards keep the row button's accessible name and the exact Minor label (the P3 e2e loop's adult path passes through desk and drawer); the drawer is dark in both themes; no horizontal overflow at 390px; waitMeter unit-tested; build, tests and lint green</t>
        </is>
      </c>
      <c r="Q292" s="82" t="inlineStr">
        <is>
          <t>P3-FE-02; docs/superpowers/specs/2026-10-05-applications-scouting-board-design.md</t>
        </is>
      </c>
      <c r="R292" s="111" t="inlineStr">
        <is>
          <t>Raised 2026-10-05 on the owner's request (HeckerCreatives, via Claude). Components scout-stage.tsx, applications-desk.tsx (markup only), KpiTile in ops-stage.tsx; page moved to app/(app)/admin/applications/(queue)/. Branch feature/P1-ART-16-applications-scouting-board (stacked on P1-ART-15). Moved to Done by the owner 2026-10-08.</t>
        </is>
      </c>
    </row>
    <row r="293" s="75">
      <c r="A293" s="104" t="n">
        <v>32.995</v>
      </c>
      <c r="B293" s="105" t="inlineStr">
        <is>
          <t>P1-ART-17</t>
        </is>
      </c>
      <c r="C293" s="81" t="n">
        <v>1</v>
      </c>
      <c r="D293" s="82" t="inlineStr">
        <is>
          <t>UI Scaffold on Fixtures</t>
        </is>
      </c>
      <c r="E293" s="139" t="inlineStr">
        <is>
          <t>ART</t>
        </is>
      </c>
      <c r="F293" s="120" t="inlineStr">
        <is>
          <t>Code</t>
        </is>
      </c>
      <c r="G293" s="80" t="inlineStr">
        <is>
          <t>Sign-up rules — "Control Panel" redesign, built for scale</t>
        </is>
      </c>
      <c r="H293" s="107" t="inlineStr">
        <is>
          <t>Raised 2026-10-05 by the programme owner: redesign /admin/new-signups/rules in the same structure. On the admin stage as a dashboard (title, four tiles: places, athletes in an unknown place, places not 18, the minors rule). The minors rule is a designed switch; the place form has an age stepper and Remove with a confirm. Built for scale on the owner's question: a search across every country by code or name, a scrolling country rail, and one country at a time — its exceptions as big tiles, places that follow the default as chips (first 40, then Show all). Picking anything lights the form (glow, pulse, an Editing callout with numbered steps) — the owner asked twice for a visible cue.</t>
        </is>
      </c>
      <c r="I293" s="108" t="inlineStr">
        <is>
          <t>Done</t>
        </is>
      </c>
      <c r="J293" s="108" t="n">
        <v>1</v>
      </c>
      <c r="K293" s="109" t="n">
        <v>46300</v>
      </c>
      <c r="L293" s="109" t="n">
        <v>46303</v>
      </c>
      <c r="M293" s="110" t="inlineStr">
        <is>
          <t>HeckerCreatives</t>
        </is>
      </c>
      <c r="N293" s="81" t="n">
        <v>0</v>
      </c>
      <c r="O293" s="80" t="inlineStr">
        <is>
          <t>2S1-FE-07, P1-ART-14</t>
        </is>
      </c>
      <c r="P293" s="80" t="inlineStr">
        <is>
          <t>Same reads, server actions and admin-only API; a dashboard header; the page height does not grow with the number of countries or places; search by code or name; picking a place is visibly highlighted with next steps; no native checkbox / inputs left unstyled; no horizontal overflow at 390px; lib/age-table.ts unit-tested; build, tests, lint green</t>
        </is>
      </c>
      <c r="Q293" s="82" t="inlineStr">
        <is>
          <t>2S1-FE-07; docs/superpowers/specs/2026-10-05-signup-rules-control-panel-design.md</t>
        </is>
      </c>
      <c r="R293" s="111" t="inlineStr">
        <is>
          <t>Raised 2026-10-05 on the owner's request (HeckerCreatives, via Claude). Components rules-board.tsx, signup-rules-editor.tsx; lib age-table.ts, region-names.ts. Branch feature/P1-ART-17-signup-rules-control-panel (stacked on P1-ART-16). Moved to Done by the owner 2026-10-08.</t>
        </is>
      </c>
    </row>
    <row r="294" s="75">
      <c r="A294" s="104" t="n">
        <v>32.996</v>
      </c>
      <c r="B294" s="105" t="inlineStr">
        <is>
          <t>P1-ART-18</t>
        </is>
      </c>
      <c r="C294" s="81" t="n">
        <v>1</v>
      </c>
      <c r="D294" s="82" t="inlineStr">
        <is>
          <t>UI Scaffold on Fixtures</t>
        </is>
      </c>
      <c r="E294" s="139" t="inlineStr">
        <is>
          <t>ART</t>
        </is>
      </c>
      <c r="F294" s="120" t="inlineStr">
        <is>
          <t>Code</t>
        </is>
      </c>
      <c r="G294" s="80" t="inlineStr">
        <is>
          <t>Admin portal — every desk, drawer and dialog on the stage</t>
        </is>
      </c>
      <c r="H294" s="107" t="inlineStr">
        <is>
          <t>Raised 2026-10-07 by the programme owner: redesign the whole admin portal in the Mission Control language, components included. The stage moves into the admin shell (PortalShell `stage`): sidebar and top bar as night glass, every /admin page as content on the dark stage, and a body-level class so drawers, dialogs and menus portaled outside it are on the stage too. A shared CSS skin restyles the primitives every desk is built from (Card, Badge, SectionHeading, HeroBand, StatTile, Button, Tabs, BlockedNotice, page titles, tab strips, native fields, raw buttons, drawers, dialogs). /admin's hero becomes a dashboard header. Visual only.</t>
        </is>
      </c>
      <c r="I294" s="108" t="inlineStr">
        <is>
          <t>Done</t>
        </is>
      </c>
      <c r="J294" s="108" t="n">
        <v>2</v>
      </c>
      <c r="K294" s="109" t="n">
        <v>46302</v>
      </c>
      <c r="L294" s="109" t="n">
        <v>46303</v>
      </c>
      <c r="M294" s="110" t="inlineStr">
        <is>
          <t>HeckerCreatives</t>
        </is>
      </c>
      <c r="N294" s="81" t="n">
        <v>0</v>
      </c>
      <c r="O294" s="80" t="inlineStr">
        <is>
          <t>P1-ART-14, P1-ART-15, P1-ART-16, P1-ART-17</t>
        </is>
      </c>
      <c r="P294" s="80" t="inlineStr">
        <is>
          <t>Every /admin route renders on the stage (27 desks walked, no console errors, no horizontal overflow at 390px); drawers and dialogs are dark in both themes; no read, write or role rule changes; frontend tests, lint and build green</t>
        </is>
      </c>
      <c r="Q294" s="82" t="inlineStr">
        <is>
          <t>docs/superpowers/specs/2026-10-07-admin-portal-stage-design.md</t>
        </is>
      </c>
      <c r="R294" s="111" t="inlineStr">
        <is>
          <t>Raised 2026-10-07 on the owner's request (HeckerCreatives, via Claude). portal-shell.tsx `stage`, stage-portals.tsx, globals.css `.sx-ops` skin. Also adds optional CLERK_CLOCK_SKEW_MS (API + Next middleware) for a drifted dev clock. Branch feature/P1-ART-18-admin-portal-stage (stacked on P1-ART-17). Moved to Done by the owner 2026-10-08.</t>
        </is>
      </c>
    </row>
    <row r="295" s="75">
      <c r="A295" s="104" t="n">
        <v>32.997</v>
      </c>
      <c r="B295" s="105" t="inlineStr">
        <is>
          <t>P1-FE-31</t>
        </is>
      </c>
      <c r="C295" s="81" t="n">
        <v>1</v>
      </c>
      <c r="D295" s="82" t="inlineStr">
        <is>
          <t>UI Scaffold on Fixtures</t>
        </is>
      </c>
      <c r="E295" s="139" t="inlineStr">
        <is>
          <t>FE</t>
        </is>
      </c>
      <c r="F295" s="120" t="inlineStr">
        <is>
          <t>Code</t>
        </is>
      </c>
      <c r="G295" s="80" t="inlineStr">
        <is>
          <t>Admin desks — every list a server-paged table</t>
        </is>
      </c>
      <c r="H295" s="107" t="inlineStr">
        <is>
          <t>Raised 2026-10-07 by the programme owner: page the admin desks' remaining whole-list tables by the house rules, as tables only where that makes them easier on the eyes. Ten desks read a whole list (or the API's silent 100–500 cap), some counting tabs from the rows in view: audit log, briefs, sponsor requests, property verification, payouts, refunds, delivery issues, guardian handoffs, closed accounts, offers. Nine become one shared stage table (StageTable / PagedTable: a real &lt;table&gt;, the house pager above and below, stacked on a phone); briefs stays rows but is paged. The API gains the house pager on every one of those lists with counts over the whole scope; offers' tab rules and delivery issues' lists move to the server; /onboarding answers every tab's count in one read; the audit log gets a counted page; /briefs gains ?sport=, counts and a sports facet.</t>
        </is>
      </c>
      <c r="I295" s="108" t="inlineStr">
        <is>
          <t>Done</t>
        </is>
      </c>
      <c r="J295" s="108" t="n">
        <v>2</v>
      </c>
      <c r="K295" s="109" t="n">
        <v>46302</v>
      </c>
      <c r="L295" s="109" t="n">
        <v>46303</v>
      </c>
      <c r="M295" s="110" t="inlineStr">
        <is>
          <t>HeckerCreatives</t>
        </is>
      </c>
      <c r="N295" s="81" t="n">
        <v>0</v>
      </c>
      <c r="O295" s="80" t="inlineStr">
        <is>
          <t>P1-ART-18</t>
        </is>
      </c>
      <c r="P295" s="80" t="inlineStr">
        <is>
          <t>None of the ten desks reads a whole list; every count is the API's; each renders a table (or the briefs' rows) with the pager above and below, or an empty state; no console error, no horizontal overflow; backend static scope tests and one paged-shape test per endpoint green; frontend tests, lint, build green</t>
        </is>
      </c>
      <c r="Q295" s="82" t="inlineStr">
        <is>
          <t>docs/superpowers/specs/2026-10-07-admin-lists-paged-tables-design.md</t>
        </is>
      </c>
      <c r="R295" s="111" t="inlineStr">
        <is>
          <t>Raised 2026-10-07 on the owner's request (HeckerCreatives, via Claude). frontend/src/components/stage-table.tsx, backend/src/lib/paging.ts on ten more endpoints, e2e/admin-lists-paged.spec.ts. Branch feature/P1-FE-31-admin-lists-paged (stacked on P1-ART-18). Moved to Done by the owner 2026-10-08.</t>
        </is>
      </c>
    </row>
    <row r="296" s="75">
      <c r="A296" s="104" t="n">
        <v>32.998</v>
      </c>
      <c r="B296" s="105" t="inlineStr">
        <is>
          <t>P1-ART-19</t>
        </is>
      </c>
      <c r="C296" s="81" t="n">
        <v>1</v>
      </c>
      <c r="D296" s="82" t="inlineStr">
        <is>
          <t>UI Scaffold on Fixtures</t>
        </is>
      </c>
      <c r="E296" s="139" t="inlineStr">
        <is>
          <t>ART</t>
        </is>
      </c>
      <c r="F296" s="120" t="inlineStr">
        <is>
          <t>Code</t>
        </is>
      </c>
      <c r="G296" s="80" t="inlineStr">
        <is>
          <t>Commission desk — the split strip, one kind's rules as a table, add / revise in a dialog</t>
        </is>
      </c>
      <c r="H296" s="107" t="inlineStr">
        <is>
          <t>Raised 2026-10-07 by the programme owner: /admin/commission had too much space (six tall mostly-empty cards, an always-open form, the sample order under it all). Restructured as the commission desk: six tiles in the order money comes off a sale, each headlining the rate for everyone with one line under it; the picked kind's rules as one stage table (applies to, rate, priority, since, version; earlier versions unfold); the sample order beside it, sticky, with the split as a waterfall; add and revise in a dialog (named dropdowns, nothing typed that isn't a choice) that previews the unsaved rule against the sample order. Structure and visuals only: the API still decides which rule applies, versions and the split.</t>
        </is>
      </c>
      <c r="I296" s="108" t="inlineStr">
        <is>
          <t>Done</t>
        </is>
      </c>
      <c r="J296" s="108" t="n">
        <v>1</v>
      </c>
      <c r="K296" s="109" t="n">
        <v>46302</v>
      </c>
      <c r="L296" s="109" t="n">
        <v>46303</v>
      </c>
      <c r="M296" s="110" t="inlineStr">
        <is>
          <t>HeckerCreatives</t>
        </is>
      </c>
      <c r="N296" s="81" t="n">
        <v>0</v>
      </c>
      <c r="O296" s="80" t="inlineStr">
        <is>
          <t>P1-ART-18, P1-FE-31</t>
        </is>
      </c>
      <c r="P296" s="80" t="inlineStr">
        <is>
          <t>One screen at 1440 for a desk with rules; the strip headlines every kind's rate for everyone; add and revise open a dialog with a preview against the sample order; no console error, no horizontal overflow at 390; unit tests, lint, tsc and build green</t>
        </is>
      </c>
      <c r="Q296" s="82" t="inlineStr">
        <is>
          <t>docs/superpowers/specs/2026-10-07-commission-desk-design.md</t>
        </is>
      </c>
      <c r="R296" s="111" t="inlineStr">
        <is>
          <t>Raised 2026-10-07 on the owner's request (HeckerCreatives, via Claude). frontend/src/components/commission-editor.tsx, commission-preview.tsx, commission-rule-dialog.tsx; ComboBox exported from place-dialog.tsx; kindSummary in lib/commission-live.ts. Branch feature/P1-ART-19-commission-desk (stacked on P1-FE-31). Moved to Done by the owner 2026-10-08.</t>
        </is>
      </c>
    </row>
    <row r="297" s="75">
      <c r="A297" s="104" t="n">
        <v>32.999</v>
      </c>
      <c r="B297" s="105" t="inlineStr">
        <is>
          <t>P1-ART-20</t>
        </is>
      </c>
      <c r="C297" s="81" t="n">
        <v>1</v>
      </c>
      <c r="D297" s="82" t="inlineStr">
        <is>
          <t>UI Scaffold on Fixtures</t>
        </is>
      </c>
      <c r="E297" s="139" t="inlineStr">
        <is>
          <t>ART</t>
        </is>
      </c>
      <c r="F297" s="120" t="inlineStr">
        <is>
          <t>Code</t>
        </is>
      </c>
      <c r="G297" s="80" t="inlineStr">
        <is>
          <t>Marketplace desk — the queue strip, one queue's rows as a panel</t>
        </is>
      </c>
      <c r="H297" s="107" t="inlineStr">
        <is>
          <t>Raised 2026-10-07 by the programme owner: /admin/marketplace had six stat tiles and then six stacked cards each mostly 'nothing here' — the same number said twice, two screens to learn that four queues are empty. Restructured as the marketplace desk: a queue strip of five tiles (one per queue, in the order BTG works them, each with its count, one line of context and a tone for work waiting) that is the navigation, and one panel under it — the picked queue's rows as a stage table (applications, orders, failed payments, payout problems) or the listing desks' inline-action rows under their three tabs. Disputes become one line. ?queue= in the URL; the listing emails' ?listings=…#listing-… links still land on the right row. Reads unchanged in substance; two now use the house pager so the counts are the API's.</t>
        </is>
      </c>
      <c r="I297" s="108" t="inlineStr">
        <is>
          <t>Done</t>
        </is>
      </c>
      <c r="J297" s="108" t="n">
        <v>1</v>
      </c>
      <c r="K297" s="109" t="n">
        <v>46302</v>
      </c>
      <c r="L297" s="109" t="n">
        <v>46303</v>
      </c>
      <c r="M297" s="110" t="inlineStr">
        <is>
          <t>HeckerCreatives</t>
        </is>
      </c>
      <c r="N297" s="81" t="n">
        <v>0</v>
      </c>
      <c r="O297" s="80" t="inlineStr">
        <is>
          <t>P1-ART-18, P1-FE-31</t>
        </is>
      </c>
      <c r="P297" s="80" t="inlineStr">
        <is>
          <t>One screen at 1440; every tile's count is the API's; a tile switches the panel in place and writes the URL; the listing emails' links still work; no console error, no horizontal overflow at 390; unit tests, lint, tsc and build green</t>
        </is>
      </c>
      <c r="Q297" s="82" t="inlineStr">
        <is>
          <t>docs/superpowers/specs/2026-10-07-marketplace-desk-design.md</t>
        </is>
      </c>
      <c r="R297" s="111" t="inlineStr">
        <is>
          <t>Raised 2026-10-07 on the owner's request (HeckerCreatives, via Claude). frontend/src/components/marketplace-desk.tsx, QUEUES / queueKey / firstBusyQueue in lib/marketplace-ops-live.ts, e2e/admin-marketplace-desk.spec.ts. Branch feature/P1-ART-20-marketplace-desk (stacked on P1-ART-19). Moved to Done by the owner 2026-10-08.</t>
        </is>
      </c>
    </row>
    <row r="298" s="75">
      <c r="A298" s="104" t="n">
        <v>32.9995</v>
      </c>
      <c r="B298" s="105" t="inlineStr">
        <is>
          <t>P1-ART-21</t>
        </is>
      </c>
      <c r="C298" s="81" t="n">
        <v>1</v>
      </c>
      <c r="D298" s="82" t="inlineStr">
        <is>
          <t>UI Scaffold on Fixtures</t>
        </is>
      </c>
      <c r="E298" s="139" t="inlineStr">
        <is>
          <t>ART</t>
        </is>
      </c>
      <c r="F298" s="120" t="inlineStr">
        <is>
          <t>Code</t>
        </is>
      </c>
      <c r="G298" s="80" t="inlineStr">
        <is>
          <t>Admin sidebar — the desks in collapsible groups, sorted</t>
        </is>
      </c>
      <c r="H298" s="107" t="inlineStr">
        <is>
          <t>Raised 2026-10-07 by the programme owner: the admin sidebar's 29 links were too many, in build order, and needed collapsing and sorting. Seven groups in the order BTG works (Intake, Campaigns, Marketplace, Money, Accounts, NEXT, System), Dashboard on top, each group's desks A → Z; the per-role filter unchanged. A group header (caret, name, count) opens and closes its desks; the group holding the open page is open on arrival; the viewer's other choices are remembered per browser (useSyncExternalStore, no hydration mismatch). The phone drawer lists the groups with their desks two to a row. Mechanics in lib/nav-groups.ts (pure, unit-tested; NavItem.group); a nav with no groups renders flat, so the other portals are untouched.</t>
        </is>
      </c>
      <c r="I298" s="108" t="inlineStr">
        <is>
          <t>Done</t>
        </is>
      </c>
      <c r="J298" s="108" t="n">
        <v>0.5</v>
      </c>
      <c r="K298" s="109" t="n">
        <v>46302</v>
      </c>
      <c r="L298" s="109" t="n">
        <v>46303</v>
      </c>
      <c r="M298" s="110" t="inlineStr">
        <is>
          <t>HeckerCreatives</t>
        </is>
      </c>
      <c r="N298" s="81" t="n">
        <v>0</v>
      </c>
      <c r="O298" s="80" t="inlineStr">
        <is>
          <t>P1-ART-18</t>
        </is>
      </c>
      <c r="P298" s="80" t="inlineStr">
        <is>
          <t>The dashboard shows Dashboard and seven closed groups; a desk opens only its own group; a header toggles and the choice survives a reload; every desk still reachable by every role it's for; tests, lint, tsc and build green</t>
        </is>
      </c>
      <c r="Q298" s="82" t="inlineStr">
        <is>
          <t>docs/superpowers/specs/2026-10-07-admin-sidebar-groups-design.md</t>
        </is>
      </c>
      <c r="R298" s="111" t="inlineStr">
        <is>
          <t>Raised 2026-10-07 on the owner's request (HeckerCreatives, via Claude). frontend/src/lib/nav-groups.ts, components/portal-nav.tsx, components/mobile-nav.tsx, app/(app)/admin/layout.tsx, tests/nav-groups.test.ts, e2e/admin-sidebar-groups.spec.ts. Branch feature/P1-ART-21-admin-sidebar-groups (stacked on P1-ART-20). Moved to Done by the owner 2026-10-08.</t>
        </is>
      </c>
    </row>
    <row r="299">
      <c r="A299" s="104" t="n">
        <v>32.99975</v>
      </c>
      <c r="B299" s="105" t="inlineStr">
        <is>
          <t>P1-ART-22</t>
        </is>
      </c>
      <c r="C299" s="81" t="n">
        <v>1</v>
      </c>
      <c r="D299" s="82" t="inlineStr">
        <is>
          <t>UI Scaffold on Fixtures</t>
        </is>
      </c>
      <c r="E299" s="139" t="inlineStr">
        <is>
          <t>ART</t>
        </is>
      </c>
      <c r="F299" s="120" t="inlineStr">
        <is>
          <t>Code</t>
        </is>
      </c>
      <c r="G299" s="80" t="inlineStr">
        <is>
          <t>Athlete portal — the Arena: every page a dashboard, every list server-paged</t>
        </is>
      </c>
      <c r="H299" s="107" t="inlineStr">
        <is>
          <t>Raised 2026-10-11 by the programme owner: redo the whole athlete portal the way the admin portal was redone (P1-ART-14…21, P1-FE-31) — dashboard structure, every table server-paged by the house rules — but with its own identity, clearly not the admin's. The Arena: a theme-aware stage (Frost stays light), rounded plates with a slanted speed bar, italic jersey numerals, floodlights and track lanes on the ground, entrances that slide in from the left (components/arena-stage.tsx, arena-fx.tsx, the .sx-arena block in globals.css; PortalShell stage="arena"). Every athlete page: a small title with a provenance pill, KPI plates from the API's own counts, then the work — dashboard, offers, invitations, deliverables, earnings, inventory, listings, orders, payouts, team, guardian requests, profile, settings and the detail pages. Sidebar folded into Campaigns / Money / Shop / Account. API: ?page= on GET /inventory, /listings, /sales, /seller-approvals and the athlete's /offers tabs (open | closed), guardian/athlete counts on /guardian-handoffs, and two new reads GET /payouts/me/orders and /payouts/me/history; the unpaged answers are unchanged.</t>
        </is>
      </c>
      <c r="I299" s="108" t="inlineStr">
        <is>
          <t>Done</t>
        </is>
      </c>
      <c r="J299" s="108" t="n">
        <v>2</v>
      </c>
      <c r="K299" s="109" t="n">
        <v>46306</v>
      </c>
      <c r="L299" s="109" t="n">
        <v>46310</v>
      </c>
      <c r="M299" s="110" t="inlineStr">
        <is>
          <t>HeckerCreatives</t>
        </is>
      </c>
      <c r="N299" s="81" t="n"/>
      <c r="O299" s="80" t="inlineStr">
        <is>
          <t>P1-ART-21, P1-FE-31</t>
        </is>
      </c>
      <c r="P299" s="80" t="inlineStr">
        <is>
          <t>Every athlete list is server-paged (12/24/60, pager above and below, counts from the API, never the rows in view); each page has the dashboard anatomy (title + pill + KPI plates, no hero); the athlete portal reads as its own identity in dark and Frost; no horizontal overflow at 390px; tsc, eslint, frontend and backend suites green.</t>
        </is>
      </c>
      <c r="Q299" s="82" t="inlineStr">
        <is>
          <t>docs/superpowers/specs/2026-10-11-athlete-arena-design.md</t>
        </is>
      </c>
      <c r="R299" s="111" t="inlineStr">
        <is>
          <t>Team log Memory/2026-10-11/tasks-completed.md. Done 2026-10-15 (owner's call); P1-ART-22's QA fixes of 10-11 committed and pushed 2026-10-15.</t>
        </is>
      </c>
    </row>
    <row r="300">
      <c r="A300" s="104" t="n">
        <v>32.9999375</v>
      </c>
      <c r="B300" s="105" t="inlineStr">
        <is>
          <t>P1-ART-23</t>
        </is>
      </c>
      <c r="C300" s="81" t="n">
        <v>1</v>
      </c>
      <c r="D300" s="82" t="inlineStr">
        <is>
          <t>UI Scaffold on Fixtures</t>
        </is>
      </c>
      <c r="E300" s="139" t="inlineStr">
        <is>
          <t>ART</t>
        </is>
      </c>
      <c r="F300" s="120" t="inlineStr">
        <is>
          <t>Code</t>
        </is>
      </c>
      <c r="G300" s="80" t="inlineStr">
        <is>
          <t>Sponsor portal — the Stadium Board: every page a dashboard, every list server-paged</t>
        </is>
      </c>
      <c r="H300" s="107" t="inlineStr">
        <is>
          <t>Raised 2026-10-11 by the programme owner: redesign every sponsor page the way the admin (Mission Control) and athlete (the Arena) portals were redone — dashboard structure, statistics first, every list server-paged with the house pager — with its own look and in plain words a non-technical sponsor reads. The Stadium Board: fixed-dark LED-board stage in sponsor orange (panels with scan-lines, glowing numerals, a live ticker, power-on entrance), grouped sidebar (Campaigns, Marketplace, Account), a plain-words map for every status, '?' explainers. Dashboard: ticker, five stats with change vs the previous period, a trend chart (7/30/90 days/all), what waits on the sponsor, fan journey, cost per 1,000 checked views, top athletes and cities, paged campaigns. Every other page rebuilt on the same kit; new /sponsor/requests. Backend: GET /sponsor/overview (one scoped read, verified and unverified never blended), /marketplace-orders paged + summary, /marketplace/search paged after restrictions, /campaigns?review=true.</t>
        </is>
      </c>
      <c r="I300" s="108" t="inlineStr">
        <is>
          <t>Done</t>
        </is>
      </c>
      <c r="J300" s="108" t="n">
        <v>3</v>
      </c>
      <c r="K300" s="109" t="n">
        <v>46306</v>
      </c>
      <c r="L300" s="109" t="n">
        <v>46310</v>
      </c>
      <c r="M300" s="110" t="inlineStr">
        <is>
          <t>HeckerCreatives</t>
        </is>
      </c>
      <c r="N300" s="81" t="n"/>
      <c r="O300" s="80" t="inlineStr">
        <is>
          <t>P1-ART-22, P1-FE-31</t>
        </is>
      </c>
      <c r="P300" s="80" t="inlineStr">
        <is>
          <t>Every sponsor page has a small title, an Updated pill, tiles from summary/overview reads and then the work; every growing list is server-paged (12/24/60, pager above and below); no raw enum or jargon on screen; verified and self-reported reach never summed; sponsors and BTG only on the overview, money gated as /campaigns/summary; no horizontal overflow at 390; reduced motion respected; unit tests, lint, tsc and build green</t>
        </is>
      </c>
      <c r="Q300" s="82" t="inlineStr">
        <is>
          <t>docs/superpowers/specs/2026-10-11-sponsor-stadium-design.md</t>
        </is>
      </c>
      <c r="R300" s="111" t="inlineStr">
        <is>
          <t>Raised 2026-10-11 on the owner's request (HeckerCreatives, via Claude). Plan docs/superpowers/plans/2026-10-11-sponsor-stadium.md. Kit: components/stadium-*.tsx, date-range-picker.tsx, app/(app)/sponsor/stadium.css, lib/sponsor-words.ts. Branch feature/P1-ART-23-sponsor-stadium (stacked on P1-ART-22). Team log Memory/2026-10-12/sponsor-stadium.md. Done 2026-10-15 (owner's call); P1-ART-22's QA fixes of 10-11 committed and pushed 2026-10-15.</t>
        </is>
      </c>
    </row>
    <row r="301">
      <c r="A301" s="104" t="n">
        <v>32.99996875</v>
      </c>
      <c r="B301" s="105" t="inlineStr">
        <is>
          <t>P1-ART-24</t>
        </is>
      </c>
      <c r="C301" s="81" t="n">
        <v>1</v>
      </c>
      <c r="D301" s="82" t="inlineStr">
        <is>
          <t>UI Scaffold on Fixtures</t>
        </is>
      </c>
      <c r="E301" s="139" t="inlineStr">
        <is>
          <t>ART</t>
        </is>
      </c>
      <c r="F301" s="120" t="inlineStr">
        <is>
          <t>Code</t>
        </is>
      </c>
      <c r="G301" s="80" t="inlineStr">
        <is>
          <t>Mobile navigation — a floating dock and the LED menu, in each portal's own look</t>
        </is>
      </c>
      <c r="H301" s="107" t="inlineStr">
        <is>
          <t>Raised 2026-10-12 by the programme owner: 'add a wow factor + awwwaaard on mobile view navigation', for all three staged portals, choosing the dock + LED menu pattern. Below md, admin, athlete and sponsor get a floating one-thumb dock (four destinations + Menu, a lit puck on the current section, hides on scroll down, safe-area aware) in place of the top-bar hamburger, and a rebuilt full-screen menu: a Dashboard hero tile, each group's desks as icon tiles with the current one lit, 'soon' desks dimmed, the account card at the bottom. One structure, three looks: Mission Control (chamfers, brackets, rise, one scan sweep), the Arena (rounded plates, speed bar, slide-in), the Stadium Board (LED panels, scan-lines, power-on). Property, NEXT and advisor keep the old menu.</t>
        </is>
      </c>
      <c r="I301" s="108" t="inlineStr">
        <is>
          <t>Done</t>
        </is>
      </c>
      <c r="J301" s="108" t="n">
        <v>1</v>
      </c>
      <c r="K301" s="109" t="n">
        <v>46307</v>
      </c>
      <c r="L301" s="109" t="n">
        <v>46310</v>
      </c>
      <c r="M301" s="110" t="inlineStr">
        <is>
          <t>HeckerCreatives</t>
        </is>
      </c>
      <c r="N301" s="81" t="n"/>
      <c r="O301" s="80" t="inlineStr">
        <is>
          <t>P1-ART-22, P1-ART-23</t>
        </is>
      </c>
      <c r="P301" s="80" t="inlineStr">
        <is>
          <t>At 390 on each staged portal the dock is visible and nothing hides under it; menu opens and closes with focus trapped and returned; the current page is lit in dock and menu; reduced motion honoured; no horizontal overflow; other portals unchanged; unit tests, lint and tsc green</t>
        </is>
      </c>
      <c r="Q301" s="82" t="inlineStr">
        <is>
          <t>docs/superpowers/specs/2026-10-12-mobile-dock-design.md</t>
        </is>
      </c>
      <c r="R301" s="111" t="inlineStr">
        <is>
          <t>Raised 2026-10-12 on the owner's request (HeckerCreatives, via Claude). components/mobile-dock.tsx, lib/mobile-dock.ts, app/mobile-nav.css, components/mobile-nav.tsx. Branch feature/P1-ART-24-mobile-dock. Team log Memory/2026-10-12/mobile-dock.md. Done 2026-10-15 (owner's call); P1-ART-22's QA fixes of 10-11 committed and pushed 2026-10-15.</t>
        </is>
      </c>
    </row>
    <row r="302" s="75">
      <c r="A302" s="104" t="n">
        <v>33.49996875</v>
      </c>
      <c r="B302" s="105" t="inlineStr">
        <is>
          <t>P1-ART-25</t>
        </is>
      </c>
      <c r="C302" s="81" t="n">
        <v>1</v>
      </c>
      <c r="D302" s="82" t="inlineStr">
        <is>
          <t>UI Scaffold on Fixtures</t>
        </is>
      </c>
      <c r="E302" s="139" t="inlineStr">
        <is>
          <t>ART</t>
        </is>
      </c>
      <c r="F302" s="120" t="inlineStr">
        <is>
          <t>Code</t>
        </is>
      </c>
      <c r="G302" s="80" t="inlineStr">
        <is>
          <t>Finance: the Vault — Treasury home + money desks on their own look</t>
        </is>
      </c>
      <c r="H302" s="107" t="inlineStr">
        <is>
          <t>Finance's own home (Treasury, /admin/finance) and look (the Vault: bank green, brushed gold, guilloché, double-rule frames, serif numerals, dial) inside the admin portal; Finance-only users land on it; Payouts, Refunds, Payment events, Disputes, Commission restyled and server-paged; new GET /finance/overview (money in/out, owed, BTG kept, split, needs-you).</t>
        </is>
      </c>
      <c r="I302" s="108" t="inlineStr">
        <is>
          <t>Done</t>
        </is>
      </c>
      <c r="J302" s="108" t="n">
        <v>1</v>
      </c>
      <c r="K302" s="109" t="n">
        <v>46307</v>
      </c>
      <c r="L302" s="109" t="n">
        <v>46307</v>
      </c>
      <c r="M302" s="110" t="inlineStr">
        <is>
          <t>HeckerCreatives</t>
        </is>
      </c>
      <c r="N302" s="81" t="n">
        <v>0</v>
      </c>
      <c r="O302" s="80" t="inlineStr">
        <is>
          <t>P1-ART-21, P1-ART-24</t>
        </is>
      </c>
      <c r="P302" s="80" t="inlineStr">
        <is>
          <t>Finance-only users land on the Vault at /admin/finance; Payouts, Refunds, Payment events, Disputes and Commission render in Vault styling (bank green, brushed gold, guilloché, double-rule frames, engraved serif numerals, the dial) and are server-paged; GET /finance/overview answers money in/out, owed, BTG kept, split and needs-you from one scoped read; no admin chamfers/brackets or another portal's motifs appear on a Vault screen; reduced motion honoured; no horizontal overflow at 390; unit tests, lint, tsc and build green.</t>
        </is>
      </c>
      <c r="Q302" s="82" t="inlineStr">
        <is>
          <t>docs/superpowers/specs/2026-10-12-finance-vault-design.md</t>
        </is>
      </c>
      <c r="R302" s="111" t="inlineStr">
        <is>
          <t>Raised 2026-10-12 on the owner's request (HeckerCreatives, via Claude). Branch feature/P1-ART-25-finance-vault (stacked on feature/P1-ART-24-mobile-dock). New GET /finance/overview; Vault components under the .sx-vault look restyle Payouts, Refunds, Payment events, Disputes and Commission. Done 2026-10-15 (owner's call); P1-ART-22's QA fixes of 10-11 committed and pushed 2026-10-15.</t>
        </is>
      </c>
    </row>
    <row r="303" s="75">
      <c r="A303" s="104" t="n">
        <v>33.59996875</v>
      </c>
      <c r="B303" s="105" t="inlineStr">
        <is>
          <t>P1-ART-26</t>
        </is>
      </c>
      <c r="C303" s="81" t="n">
        <v>1</v>
      </c>
      <c r="D303" s="82" t="inlineStr">
        <is>
          <t>UI Scaffold on Fixtures</t>
        </is>
      </c>
      <c r="E303" s="139" t="inlineStr">
        <is>
          <t>ART</t>
        </is>
      </c>
      <c r="F303" s="120" t="inlineStr">
        <is>
          <t>Code</t>
        </is>
      </c>
      <c r="G303" s="80" t="inlineStr">
        <is>
          <t>One theme — remove the day/night toggle</t>
        </is>
      </c>
      <c r="H303" s="107" t="inlineStr">
        <is>
          <t>Raised 2026-10-14 by the programme owner: remove day/night mode from the whole web app; the default (dark) is the only theme. The sun/moon button leaves every portal header, a stored localStorage sx-theme=light is no longer applied, and the Arena's light-only styling goes. The Frost light tokens stay for paper only — the schools proposal prints on them (lib/print-light.ts, P1-FE-26).</t>
        </is>
      </c>
      <c r="I303" s="108" t="inlineStr">
        <is>
          <t>Done</t>
        </is>
      </c>
      <c r="J303" s="108" t="n">
        <v>0.5</v>
      </c>
      <c r="K303" s="109" t="n">
        <v>46309</v>
      </c>
      <c r="L303" s="109" t="n">
        <v>46309</v>
      </c>
      <c r="M303" s="110" t="inlineStr">
        <is>
          <t>HeckerCreatives</t>
        </is>
      </c>
      <c r="N303" s="81" t="n">
        <v>0</v>
      </c>
      <c r="O303" s="80" t="n"/>
      <c r="P303" s="80" t="inlineStr">
        <is>
          <t>No screen offers a theme switch; every screen renders dark even with an old stored 'light'; the schools proposal still prints light; tests, lint, tsc and build green</t>
        </is>
      </c>
      <c r="Q303" s="82" t="inlineStr">
        <is>
          <t>A2 (reverses P1-FE-02's on-screen light theme)</t>
        </is>
      </c>
      <c r="R303" s="111" t="inlineStr">
        <is>
          <t>Built 2026-10-14: theme-toggle.tsx deleted, portal-shell no longer renders it, root layout's pre-paint sx-theme script removed, [data-theme=light] Arena/dock/sheet rules removed from globals.css and mobile-nav.css; light tokens kept for print. QA 2026-10-14 on the production build with an old sx-theme=light pre-set in every browser: 232 page visits (8 roles — public, BTG admin, athlete, sponsor, Finance, property manager, advisor, student — desktop + mobile; 116 screens incl. detail pages): 0 theme buttons, 0 data-theme on &lt;html&gt;, --sx-bg dark on every page, 0 page errors, 0 5xx, 0 horizontal overflow. Schools proposal print still switches to light and back. Frontend 139 files / 1,528 tests, lint, tsc, next build green. Guardian shell not walked (no QA guardian login).</t>
        </is>
      </c>
    </row>
    <row r="304" s="75">
      <c r="A304" s="104" t="n">
        <v>33.69996875</v>
      </c>
      <c r="B304" s="105" t="inlineStr">
        <is>
          <t>P1-ART-27</t>
        </is>
      </c>
      <c r="C304" s="81" t="n">
        <v>1</v>
      </c>
      <c r="D304" s="82" t="inlineStr">
        <is>
          <t>UI Scaffold on Fixtures</t>
        </is>
      </c>
      <c r="E304" s="139" t="inlineStr">
        <is>
          <t>ART</t>
        </is>
      </c>
      <c r="F304" s="120" t="inlineStr">
        <is>
          <t>Code</t>
        </is>
      </c>
      <c r="G304" s="80" t="inlineStr">
        <is>
          <t>Public site — signed-in visitors get "&lt;Role&gt; Dashboard" instead of Login / Get Started</t>
        </is>
      </c>
      <c r="H304" s="107" t="inlineStr">
        <is>
          <t>Raised 2026-10-14 by the programme owner: on the landing page, someone already signed in (session not expired) sees their own dashboard button instead of Login and Get Started. Header, phone menu, hero and closing CTA; every public page shares the header. Portal from the Postgres roles (portalFor), named by lib/dashboard-link.ts; asked only when Clerk says the session is live, so the landing stays static.</t>
        </is>
      </c>
      <c r="I304" s="108" t="inlineStr">
        <is>
          <t>Done</t>
        </is>
      </c>
      <c r="J304" s="108" t="n">
        <v>0.5</v>
      </c>
      <c r="K304" s="109" t="n">
        <v>46309</v>
      </c>
      <c r="L304" s="109" t="n">
        <v>46309</v>
      </c>
      <c r="M304" s="110" t="inlineStr">
        <is>
          <t>HeckerCreatives</t>
        </is>
      </c>
      <c r="N304" s="81" t="n">
        <v>0</v>
      </c>
      <c r="O304" s="80" t="n"/>
      <c r="P304" s="80" t="inlineStr">
        <is>
          <t>Signed in with a live session: Login gone, Get Started reads '&lt;Role&gt; Dashboard' and opens that portal, in the header, phone menu, hero and closing CTA; signed out or session ended: unchanged; landing stays static; tests, lint, tsc and build green</t>
        </is>
      </c>
      <c r="Q304" s="82" t="inlineStr">
        <is>
          <t>§9.2 (post-sign-in routing)</t>
        </is>
      </c>
      <c r="R304" s="111" t="inlineStr">
        <is>
          <t>Built 2026-10-14: lib/dashboard-link.ts (portal -&gt; label, Guardian named for a guardian; tests/dashboard-link.test.ts, 3), server/my-dashboard.ts (server action: fetchActor + portalFor; anything short of a linked account -&gt; null), components/my-dashboard.tsx (useMyDashboard: Clerk useAuth decides live session, one call per page shared by all buttons; DashboardCta), HeaderActions + menu in site-nav.tsx, hero and closing CTAs. '/' still prerendered static. QA 2026-10-14 on the production build: 18/18 walks (desktop + mobile) — signed out unchanged; each of admin, athlete, sponsor, Finance, property, advisor, student sees '&lt;Role&gt; Dashboard' on header + hero + closing (3 links, all to their portal), Login gone, phone menu one full-width button, header click lands in the portal, /packages header too; a revoked Clerk session reverts to Login / Get Started. Screens after the loader at 1366/412/360 px reviewed by eye (no overflow, button clear of the logo). Frontend 140 files / 1,531 tests, eslint, tsc, next build green. Footer 'Sign In' link left as is.</t>
        </is>
      </c>
    </row>
    <row r="305" s="75">
      <c r="A305" s="104" t="n">
        <v>157.5</v>
      </c>
      <c r="B305" s="105" t="inlineStr">
        <is>
          <t>P8-BE-01</t>
        </is>
      </c>
      <c r="C305" s="81" t="n">
        <v>8</v>
      </c>
      <c r="D305" s="82" t="inlineStr">
        <is>
          <t>Integration, Hardening &amp; Launch</t>
        </is>
      </c>
      <c r="E305" s="139" t="inlineStr">
        <is>
          <t>BE</t>
        </is>
      </c>
      <c r="F305" s="120" t="inlineStr">
        <is>
          <t>Code</t>
        </is>
      </c>
      <c r="G305" s="80" t="inlineStr">
        <is>
          <t>A NIL job catalogue per tenant</t>
        </is>
      </c>
      <c r="H305" s="107" t="inlineStr">
        <is>
          <t>Raised by P8-QA-01's finding: a job's ID (SX-02) was unique across the whole database, so only one tenant could hold the SX catalogue.</t>
        </is>
      </c>
      <c r="I305" s="108" t="inlineStr">
        <is>
          <t>Done</t>
        </is>
      </c>
      <c r="J305" s="108" t="n">
        <v>1</v>
      </c>
      <c r="K305" s="163" t="n">
        <v>46314</v>
      </c>
      <c r="L305" s="163" t="n">
        <v>46314</v>
      </c>
      <c r="M305" s="110" t="inlineStr">
        <is>
          <t>rcfworks</t>
        </is>
      </c>
      <c r="N305" s="81" t="n">
        <v>0</v>
      </c>
      <c r="O305" s="80" t="inlineStr">
        <is>
          <t>P8-QA-01</t>
        </is>
      </c>
      <c r="P305" s="80" t="inlineStr">
        <is>
          <t>A second tenant can hold and price its own SX jobs, and no record can point at another tenant's job</t>
        </is>
      </c>
      <c r="Q305" s="82" t="inlineStr">
        <is>
          <t>§30</t>
        </is>
      </c>
      <c r="R305" s="111" t="inlineStr">
        <is>
          <t>2026-10-19 DONE (rcfworks): merged in #255, acceptance met (tests green on CI). | 2026-10-19 (rcfworks): NilJob keyed by (tenantId, id); AthleteRate/CampaignInvite/CampaignOrder/Offer reference it by (tenantId, jobId), so the database refuses a link to another tenant's job. Migration 20261019100000_nil_job_per_tenant pre-checks for cross-tenant links and stops with the list. Catalogue loader, campaign desk and invitation email read the record's own tenant's job; the pricing engine prefers it. tests/nil-job-per-tenant.test.ts; phase1-acceptance.test.ts now holds its own catalogue (ends its race over SX-04/SX-05).</t>
        </is>
      </c>
    </row>
    <row r="306" s="75">
      <c r="A306" s="104" t="n">
        <v>157.6</v>
      </c>
      <c r="B306" s="105" t="inlineStr">
        <is>
          <t>P8-BE-02</t>
        </is>
      </c>
      <c r="C306" s="81" t="n">
        <v>8</v>
      </c>
      <c r="D306" s="82" t="inlineStr">
        <is>
          <t>Integration, Hardening &amp; Launch</t>
        </is>
      </c>
      <c r="E306" s="139" t="inlineStr">
        <is>
          <t>BE</t>
        </is>
      </c>
      <c r="F306" s="120" t="inlineStr">
        <is>
          <t>Code</t>
        </is>
      </c>
      <c r="G306" s="80" t="inlineStr">
        <is>
          <t>The athlete's own rules are their responsibility</t>
        </is>
      </c>
      <c r="H306" s="107" t="inlineStr">
        <is>
          <t>Raised by P0-LEG-06's redefinition (2026-10-20). SponsorX does not research every school's, league's or country's rules: the athlete confirms they follow their own (for a minor, the guardian). Built-in limits stay for everyone.</t>
        </is>
      </c>
      <c r="I306" s="108" t="inlineStr">
        <is>
          <t>Done</t>
        </is>
      </c>
      <c r="J306" s="108" t="n">
        <v>1</v>
      </c>
      <c r="K306" s="163" t="n">
        <v>46315</v>
      </c>
      <c r="L306" s="163" t="n">
        <v>46315</v>
      </c>
      <c r="M306" s="110" t="inlineStr">
        <is>
          <t>rcfworks</t>
        </is>
      </c>
      <c r="N306" s="81" t="n">
        <v>3</v>
      </c>
      <c r="O306" s="80" t="n"/>
      <c r="P306" s="80" t="inlineStr">
        <is>
          <t>The wording is served with its version; an adult confirms on the application or from their login, a minor's guardian on their page or acting for them (a minor's own tick doesn't count, their own login is refused); a stale wording is refused; with BTG's per-tenant switch on, accepting a deal or listing an item waits on a confirmation that counts, and with it off nothing changes</t>
        </is>
      </c>
      <c r="Q306" s="82" t="inlineStr">
        <is>
          <t>§4, §26</t>
        </is>
      </c>
      <c r="R306" s="111" t="inlineStr">
        <is>
          <t>2026-10-20 DONE (rcfworks): merged in #273, acceptance met (CI green). | 2026-10-20 (rcfworks): rules-attestation.ts (wording v2026-10-20, GET /public/rules-attestation); recorded on the application, the guardian's agreement step and GET/POST /me/rules-attestation; Tenant.requireRulesAttestation in /signup-rules/settings, enforced in assertMayCommit. tests/deal-disputes.test.ts. Frontend: the tick on /join and the guardian page, the portal prompt — the switch stays off until they ship.</t>
        </is>
      </c>
    </row>
    <row r="307" s="75">
      <c r="A307" s="104" t="n">
        <v>157.7</v>
      </c>
      <c r="B307" s="105" t="inlineStr">
        <is>
          <t>P8-BE-03</t>
        </is>
      </c>
      <c r="C307" s="81" t="n">
        <v>8</v>
      </c>
      <c r="D307" s="82" t="inlineStr">
        <is>
          <t>Integration, Hardening &amp; Launch</t>
        </is>
      </c>
      <c r="E307" s="139" t="inlineStr">
        <is>
          <t>BE</t>
        </is>
      </c>
      <c r="F307" s="120" t="inlineStr">
        <is>
          <t>Code</t>
        </is>
      </c>
      <c r="G307" s="80" t="inlineStr">
        <is>
          <t>A concern raised about a deal pauses it</t>
        </is>
      </c>
      <c r="H307" s="107" t="inlineStr">
        <is>
          <t>Raised by P0-LEG-06's redefinition (2026-10-20): "if there are disputes, that's the time we should be strict with forms". BTG pauses the deal and asks the athlete for documents; then resumes or cancels it.</t>
        </is>
      </c>
      <c r="I307" s="108" t="inlineStr">
        <is>
          <t>Done</t>
        </is>
      </c>
      <c r="J307" s="108" t="n">
        <v>2</v>
      </c>
      <c r="K307" s="163" t="n">
        <v>46315</v>
      </c>
      <c r="L307" s="163" t="n">
        <v>46315</v>
      </c>
      <c r="M307" s="110" t="inlineStr">
        <is>
          <t>rcfworks</t>
        </is>
      </c>
      <c r="N307" s="81" t="n">
        <v>2</v>
      </c>
      <c r="O307" s="80" t="inlineStr">
        <is>
          <t>P8-BE-02</t>
        </is>
      </c>
      <c r="P307" s="80" t="inlineStr">
        <is>
          <t>BTG opens a dispute on a sent, accepted or active order; while open no deliverable moves, the order can only be cancelled and the earning is held; the athlete (the guardian, for a minor) is emailed what was raised and what to send, sends documents through the private upload, and BTG's admins are emailed; BTG opens them through audited links and resumes (earning back) or cancels (order cancelled, earning left held); sponsors see none of it</t>
        </is>
      </c>
      <c r="Q307" s="82" t="inlineStr">
        <is>
          <t>§4, §21, §26</t>
        </is>
      </c>
      <c r="R307" s="111" t="inlineStr">
        <is>
          <t>2026-10-23 QA (HeckerCreatives): the ten-document cap counted abandoned starts; now counts documents that arrived (tests/qa-p8-disputes-collab.test.ts). | 2026-10-20 DONE (rcfworks): merged in #273, acceptance met (CI green). | 2026-10-20 (rcfworks): DealDispute + DealDisputeDocument (migration 20261020120000), deal-disputes.ts, deal-pause.ts called from order, deliverable and earning moves; /orders/{id}/disputes and /deal-disputes…; RBAC §39 (resource dealDispute). tests/deal-disputes.test.ts + tenant-isolation sweep. Frontend: BTG's dispute desk, the athlete's order banner and upload.</t>
        </is>
      </c>
    </row>
    <row r="308" s="75">
      <c r="A308" s="104" t="n">
        <v>157.8</v>
      </c>
      <c r="B308" s="105" t="inlineStr">
        <is>
          <t>P8-FE-03</t>
        </is>
      </c>
      <c r="C308" s="81" t="n">
        <v>8</v>
      </c>
      <c r="D308" s="82" t="inlineStr">
        <is>
          <t>Integration, Hardening &amp; Launch</t>
        </is>
      </c>
      <c r="E308" s="139" t="inlineStr">
        <is>
          <t>FE</t>
        </is>
      </c>
      <c r="F308" s="120" t="inlineStr">
        <is>
          <t>Code</t>
        </is>
      </c>
      <c r="G308" s="80" t="inlineStr">
        <is>
          <t>The rules tick on the sign-up page and the guardian's page</t>
        </is>
      </c>
      <c r="H308" s="107" t="inlineStr">
        <is>
          <t>Raised with P8-BE-02 (2026-10-20). Show the rules wording from GET /public/rules-attestation as a tick box on /join and on the guardian's set-up page, and send its version with the application (rulesAttestationVersion) and with the guardian agreement acceptance. Once this ships, BTG can switch on 'athletes confirm their own rules' in sign-up settings.</t>
        </is>
      </c>
      <c r="I308" s="108" t="inlineStr">
        <is>
          <t>Done</t>
        </is>
      </c>
      <c r="J308" s="108" t="n">
        <v>1</v>
      </c>
      <c r="K308" s="163" t="n">
        <v>46318</v>
      </c>
      <c r="L308" s="163" t="n">
        <v>46318</v>
      </c>
      <c r="M308" s="110" t="inlineStr">
        <is>
          <t>HeckerCreatives</t>
        </is>
      </c>
      <c r="N308" s="81" t="n">
        <v>0</v>
      </c>
      <c r="O308" s="80" t="inlineStr">
        <is>
          <t>P8-BE-02</t>
        </is>
      </c>
      <c r="P308" s="80" t="inlineStr">
        <is>
          <t>/join and /guardian/setup show the wording and send its version when ticked; a 422 rules_attestation_stale reloads the wording and asks again; for a minor, the guardian's page asks, not the minor's application</t>
        </is>
      </c>
      <c r="Q308" s="82" t="inlineStr">
        <is>
          <t>§4, §26</t>
        </is>
      </c>
      <c r="R308" s="111" t="inlineStr">
        <is>
          <t>2026-10-23 QA (HeckerCreatives): browser probe — join/guardian ticks hold; nothing found. | 2026-10-23 DONE (HeckerCreatives): /join shows the rules wording as a second tick for an adult and sends rulesAttestationVersion; a minor sees that the guardian confirms; the guardian set-up page asks for the ward and sends the version; 422 rules_attestation_stale refreshes and asks again. Walked on the local stack. | 2026-10-20 (rcfworks): raised with P8-BE-02/03 (PR #273) — frontend, for HeckerCreatives.</t>
        </is>
      </c>
    </row>
    <row r="309" s="75">
      <c r="A309" s="104" t="n">
        <v>157.9</v>
      </c>
      <c r="B309" s="105" t="inlineStr">
        <is>
          <t>P8-FE-04</t>
        </is>
      </c>
      <c r="C309" s="81" t="n">
        <v>8</v>
      </c>
      <c r="D309" s="82" t="inlineStr">
        <is>
          <t>Integration, Hardening &amp; Launch</t>
        </is>
      </c>
      <c r="E309" s="139" t="inlineStr">
        <is>
          <t>FE</t>
        </is>
      </c>
      <c r="F309" s="120" t="inlineStr">
        <is>
          <t>Code</t>
        </is>
      </c>
      <c r="G309" s="80" t="inlineStr">
        <is>
          <t>The rules prompt in the athlete portal</t>
        </is>
      </c>
      <c r="H309" s="107" t="inlineStr">
        <is>
          <t>Raised with P8-BE-02. Existing athletes (and guardians acting for a minor) confirm from their login: GET/POST /me/rules-attestation. Show a prompt when it isn't current, and turn a 409 rules_attestation_required on accepting a deal into that prompt. Add the switch to BTG's sign-up settings screen (requireRulesAttestation).</t>
        </is>
      </c>
      <c r="I309" s="108" t="inlineStr">
        <is>
          <t>Done</t>
        </is>
      </c>
      <c r="J309" s="108" t="n">
        <v>1</v>
      </c>
      <c r="K309" s="163" t="n">
        <v>46318</v>
      </c>
      <c r="L309" s="163" t="n">
        <v>46318</v>
      </c>
      <c r="M309" s="110" t="inlineStr">
        <is>
          <t>HeckerCreatives</t>
        </is>
      </c>
      <c r="N309" s="81" t="n">
        <v>0</v>
      </c>
      <c r="O309" s="80" t="inlineStr">
        <is>
          <t>P8-BE-02</t>
        </is>
      </c>
      <c r="P309" s="80" t="inlineStr">
        <is>
          <t>The portal shows the prompt when current is false, confirms with the version, and a refused accept leads to it; a minor's own login sees that the guardian confirms; BTG's sign-up settings show both switches</t>
        </is>
      </c>
      <c r="Q309" s="82" t="inlineStr">
        <is>
          <t>§4, §26</t>
        </is>
      </c>
      <c r="R309" s="111" t="inlineStr">
        <is>
          <t>2026-10-23 QA (HeckerCreatives): open redirect via /\host on ?return fixed; back-nav tick, double-click guard, minor's contradictory 'waits' line fixed. | 2026-10-23 DONE (HeckerCreatives): /athlete/confirmations (GET/POST /me/rules-attestation), the home banner, a minor's own login reads that the guardian confirms; requireRulesAttestation switch on /admin/new-signups/rules. A 409 rules_attestation_required on accept links to the page. Walked: confirm + switch on/off. | 2026-10-20 (rcfworks): raised with P8-BE-02/03 (PR #273) — frontend, for HeckerCreatives.</t>
        </is>
      </c>
    </row>
    <row r="310" s="75">
      <c r="A310" s="104" t="n">
        <v>157.91</v>
      </c>
      <c r="B310" s="105" t="inlineStr">
        <is>
          <t>P8-FE-05</t>
        </is>
      </c>
      <c r="C310" s="81" t="n">
        <v>8</v>
      </c>
      <c r="D310" s="82" t="inlineStr">
        <is>
          <t>Integration, Hardening &amp; Launch</t>
        </is>
      </c>
      <c r="E310" s="139" t="inlineStr">
        <is>
          <t>FE</t>
        </is>
      </c>
      <c r="F310" s="120" t="inlineStr">
        <is>
          <t>Code</t>
        </is>
      </c>
      <c r="G310" s="80" t="inlineStr">
        <is>
          <t>BTG's deal dispute desk</t>
        </is>
      </c>
      <c r="H310" s="107" t="inlineStr">
        <is>
          <t>Raised with P8-BE-03. BTG admin opens a dispute from an order (POST /orders/{id}/disputes: who raised it, the concern, what to send), lists and opens disputes (GET /deal-disputes, /deal-disputes/{id}), opens documents through the audited link, and resumes or cancels with a note (POST /deal-disputes/{id}/resolve).</t>
        </is>
      </c>
      <c r="I310" s="108" t="inlineStr">
        <is>
          <t>Done</t>
        </is>
      </c>
      <c r="J310" s="108" t="n">
        <v>2</v>
      </c>
      <c r="K310" s="163" t="n">
        <v>46318</v>
      </c>
      <c r="L310" s="163" t="n">
        <v>46318</v>
      </c>
      <c r="M310" s="110" t="inlineStr">
        <is>
          <t>HeckerCreatives</t>
        </is>
      </c>
      <c r="N310" s="81" t="n">
        <v>0</v>
      </c>
      <c r="O310" s="80" t="inlineStr">
        <is>
          <t>P8-BE-03</t>
        </is>
      </c>
      <c r="P310" s="80" t="inlineStr">
        <is>
          <t>BTG can open, list, read, view documents and resolve a dispute from the admin workspace; campaign managers and Finance see it read-only; paused orders and held earnings show why</t>
        </is>
      </c>
      <c r="Q310" s="82" t="inlineStr">
        <is>
          <t>§4, §26</t>
        </is>
      </c>
      <c r="R310" s="111" t="inlineStr">
        <is>
          <t>2026-10-23 QA (HeckerCreatives): viewer clipped by backdrop-filter, mobile document rows, typo'd order id wording, malformed id role message, double-click guard fixed; pause joins now read OPEN+DOCUMENTS_IN. | 2026-10-23 DONE (HeckerCreatives): /admin/deal-disputes list + detail, open from the campaign roster or by order id, audited document viewer, Resume/Cancel with a note; /finance/deal-disputes read-only; paused roster rows and HELD earnings (admin Finance Workspace, Treasury) show why. Walked end to end. | 2026-10-20 (rcfworks): raised with P8-BE-02/03 (PR #273) — frontend, for HeckerCreatives.</t>
        </is>
      </c>
    </row>
    <row r="311" s="75">
      <c r="A311" s="104" t="n">
        <v>157.92</v>
      </c>
      <c r="B311" s="105" t="inlineStr">
        <is>
          <t>P8-FE-06</t>
        </is>
      </c>
      <c r="C311" s="81" t="n">
        <v>8</v>
      </c>
      <c r="D311" s="82" t="inlineStr">
        <is>
          <t>Integration, Hardening &amp; Launch</t>
        </is>
      </c>
      <c r="E311" s="139" t="inlineStr">
        <is>
          <t>FE</t>
        </is>
      </c>
      <c r="F311" s="120" t="inlineStr">
        <is>
          <t>Code</t>
        </is>
      </c>
      <c r="G311" s="80" t="inlineStr">
        <is>
          <t>The paused-deal banner and upload on the athlete's order</t>
        </is>
      </c>
      <c r="H311" s="107" t="inlineStr">
        <is>
          <t>Raised with P8-BE-03. On the athlete's order page (and the guardian's, acting for a minor), show that the deal is paused, the concern and what BTG asked for, and the documents sent; upload through POST /deal-disputes/{id}/documents then …/confirm. Show the outcome when decided. A 409 deal_paused anywhere on the order explains the pause.</t>
        </is>
      </c>
      <c r="I311" s="108" t="inlineStr">
        <is>
          <t>Done</t>
        </is>
      </c>
      <c r="J311" s="108" t="n">
        <v>1</v>
      </c>
      <c r="K311" s="163" t="n">
        <v>46318</v>
      </c>
      <c r="L311" s="163" t="n">
        <v>46318</v>
      </c>
      <c r="M311" s="110" t="inlineStr">
        <is>
          <t>HeckerCreatives</t>
        </is>
      </c>
      <c r="N311" s="81" t="n">
        <v>0</v>
      </c>
      <c r="O311" s="80" t="inlineStr">
        <is>
          <t>P8-BE-03</t>
        </is>
      </c>
      <c r="P311" s="80" t="inlineStr">
        <is>
          <t>The order page shows the pause, the request and the outcome; the athlete or guardian uploads a document (PDF, JPEG, PNG or WebP, at most 10 MB) and sees it listed; actions refused with deal_paused say why</t>
        </is>
      </c>
      <c r="Q311" s="82" t="inlineStr">
        <is>
          <t>§4, §26</t>
        </is>
      </c>
      <c r="R311" s="111" t="inlineStr">
        <is>
          <t>2026-10-23 QA (HeckerCreatives): 13,000 px overflow on a long concern, Confirm-now overlap, athlete upload 403 wording fixed. | 2026-10-23 DONE (HeckerCreatives): the athlete's order joins GET /deal-disputes: pause banner, the concern, what BTG asked for, documents (presigned upload + confirm, 10 MB, 10 max), the outcome; 409 deal_paused on accept and deliverable moves says why; a guardian acting for a minor can accept. Walked: upload + resume. | 2026-10-20 (rcfworks): raised with P8-BE-02/03 (PR #273) — frontend, for HeckerCreatives.</t>
        </is>
      </c>
    </row>
    <row r="312" s="75">
      <c r="A312" s="104" t="n">
        <v>157.75</v>
      </c>
      <c r="B312" s="105" t="inlineStr">
        <is>
          <t>P8-BE-04</t>
        </is>
      </c>
      <c r="C312" s="81" t="n">
        <v>8</v>
      </c>
      <c r="D312" s="82" t="inlineStr">
        <is>
          <t>Integration, Hardening &amp; Launch</t>
        </is>
      </c>
      <c r="E312" s="139" t="inlineStr">
        <is>
          <t>BE</t>
        </is>
      </c>
      <c r="F312" s="120" t="inlineStr">
        <is>
          <t>Code</t>
        </is>
      </c>
      <c r="G312" s="80" t="inlineStr">
        <is>
          <t>The athlete's Content Collaboration Agreement is recorded</t>
        </is>
      </c>
      <c r="H312" s="107" t="inlineStr">
        <is>
          <t>Raised 2026-10-21: a gap found while drafting P0-LEG-01. /join showed the agreement, but nothing reached the server — no text file, no acceptance — so a counsel-approved agreement would have no proof anyone accepted it.</t>
        </is>
      </c>
      <c r="I312" s="108" t="inlineStr">
        <is>
          <t>Done</t>
        </is>
      </c>
      <c r="J312" s="108" t="n">
        <v>1</v>
      </c>
      <c r="K312" s="163" t="n">
        <v>46316</v>
      </c>
      <c r="L312" s="163" t="n">
        <v>46316</v>
      </c>
      <c r="M312" s="110" t="inlineStr">
        <is>
          <t>rcfworks</t>
        </is>
      </c>
      <c r="N312" s="81" t="n">
        <v>1</v>
      </c>
      <c r="O312" s="80" t="n"/>
      <c r="P312" s="80" t="inlineStr">
        <is>
          <t>The agreement in force is served with its version, text and fingerprint (registered from agreements/COLLAB.v&lt;n&gt;.txt); the application records the acceptance with the fingerprint, time, IP and browser, refusing changed text or a superseded agreement; an existing athlete accepts from their login and the application's acceptance counts once they have one; a minor is covered by their guardian's agreement; with BTG's switch on a new deal waits for it (accepting the agreement itself never does), off nothing changes</t>
        </is>
      </c>
      <c r="Q312" s="82" t="inlineStr">
        <is>
          <t>§12, §4</t>
        </is>
      </c>
      <c r="R312" s="111" t="inlineStr">
        <is>
          <t>2026-10-23 QA (HeckerCreatives): POST /agreements/accept let a sponsor/BTG admin accept COLLAB (201 + audit row); refused now unless the actor is the athlete or the guardian acting. | 2026-10-21 DONE (rcfworks): merged in #276, acceptance met (CI green). | 2026-10-21 (rcfworks): collab-agreement.ts + current-agreement.ts (shared with the guardian agreement); agreements/COLLAB.v1.txt (today's /join wording, draft); GET /public/agreements/collab, the application's `agreement` field, GET /me/collab-agreement; Tenant.requireCollabAcceptance (/signup-rules/settings) in assertMayCommit. tests/collab-agreement.test.ts.</t>
        </is>
      </c>
    </row>
    <row r="313" s="75">
      <c r="A313" s="104" t="n">
        <v>157.93</v>
      </c>
      <c r="B313" s="105" t="inlineStr">
        <is>
          <t>P8-FE-07</t>
        </is>
      </c>
      <c r="C313" s="81" t="n">
        <v>8</v>
      </c>
      <c r="D313" s="82" t="inlineStr">
        <is>
          <t>Integration, Hardening &amp; Launch</t>
        </is>
      </c>
      <c r="E313" s="139" t="inlineStr">
        <is>
          <t>FE</t>
        </is>
      </c>
      <c r="F313" s="120" t="inlineStr">
        <is>
          <t>Code</t>
        </is>
      </c>
      <c r="G313" s="80" t="inlineStr">
        <is>
          <t>Show the real agreement on /join and record it</t>
        </is>
      </c>
      <c r="H313" s="107" t="inlineStr">
        <is>
          <t>Raised with P8-BE-04. /join shows the text from GET /public/agreements/collab (replacing the hard-coded v0.4 clauses) and sends agreement {agreementId, bodyHashShown} when ticked; the portal prompts an athlete whose GET /me/collab-agreement says current false and accepts through POST /agreements/accept; the requireCollabAcceptance switch on BTG's sign-up settings.</t>
        </is>
      </c>
      <c r="I313" s="108" t="inlineStr">
        <is>
          <t>Done</t>
        </is>
      </c>
      <c r="J313" s="108" t="n">
        <v>1</v>
      </c>
      <c r="K313" s="163" t="n">
        <v>46317</v>
      </c>
      <c r="L313" s="163" t="n">
        <v>46318</v>
      </c>
      <c r="M313" s="110" t="inlineStr">
        <is>
          <t>rcfworks, HeckerCreatives</t>
        </is>
      </c>
      <c r="N313" s="81" t="n">
        <v>0</v>
      </c>
      <c r="O313" s="80" t="inlineStr">
        <is>
          <t>P8-BE-04</t>
        </is>
      </c>
      <c r="P313" s="80" t="inlineStr">
        <is>
          <t>/join shows the served text and version and a ticked application records the acceptance; agreement_text_changed or not_collab_agreement reloads the text; the portal prompt appears when needed and accepts; the switch is on the settings screen</t>
        </is>
      </c>
      <c r="Q313" s="82" t="inlineStr">
        <is>
          <t>§12</t>
        </is>
      </c>
      <c r="R313" s="111" t="inlineStr">
        <is>
          <t>2026-10-23 QA (HeckerCreatives): backend — anyone with agreement.write could accept the collab agreement; now the athlete's (or guardian acting) only. | 2026-10-23 DONE (HeckerCreatives): the portal half — /athlete/confirmations accepts the current agreement (GET /me/collab-agreement, POST /agreements/accept); requireCollabAcceptance switch on sign-up settings; /join reloads the text on not_collab_agreement or the uncoded text-changed 409 and sends signer headers. Wording half by rcfworks 2026-10-22. | Wording and recording done 2026-10-22 (rcfworks, at the user's request): /join shows the served v2 agreement and sends its id and hash. Still open: the athlete-portal prompt and the requireCollabAcceptance switch.</t>
        </is>
      </c>
    </row>
    <row r="314" s="75">
      <c r="A314" s="104" t="n">
        <v>157.76</v>
      </c>
      <c r="B314" s="105" t="inlineStr">
        <is>
          <t>P8-BE-05</t>
        </is>
      </c>
      <c r="C314" s="81" t="n">
        <v>8</v>
      </c>
      <c r="D314" s="82" t="inlineStr">
        <is>
          <t>Integration, Hardening &amp; Launch</t>
        </is>
      </c>
      <c r="E314" s="139" t="inlineStr">
        <is>
          <t>BE</t>
        </is>
      </c>
      <c r="F314" s="120" t="inlineStr">
        <is>
          <t>Code</t>
        </is>
      </c>
      <c r="G314" s="80" t="inlineStr">
        <is>
          <t>A fan's email is deleted after 90 days</t>
        </is>
      </c>
      <c r="H314" s="107" t="inlineStr">
        <is>
          <t>Raised 2026-10-21: a gap found while drafting P0-LEG-04 — a fan's optional email was kept forever. Owner's decision: 90 days.</t>
        </is>
      </c>
      <c r="I314" s="108" t="inlineStr">
        <is>
          <t>Done</t>
        </is>
      </c>
      <c r="J314" s="108" t="n">
        <v>0.5</v>
      </c>
      <c r="K314" s="163" t="n">
        <v>46316</v>
      </c>
      <c r="L314" s="163" t="n">
        <v>46316</v>
      </c>
      <c r="M314" s="110" t="inlineStr">
        <is>
          <t>rcfworks</t>
        </is>
      </c>
      <c r="N314" s="81" t="n">
        <v>0</v>
      </c>
      <c r="O314" s="80" t="n"/>
      <c r="P314" s="80" t="inlineStr">
        <is>
          <t>90 days after the claim every copy SponsorX holds is gone (the claim's, the sent-email log's, the queued-email record's) and nothing newer or of another kind; the consent record and counts stay; each tenant's sweep audited, a second finds nothing; an old unsubscribe link still answers done</t>
        </is>
      </c>
      <c r="Q314" s="82" t="inlineStr">
        <is>
          <t>§16, §26</t>
        </is>
      </c>
      <c r="R314" s="111" t="inlineStr">
        <is>
          <t>2026-10-21 DONE (rcfworks): merged in #276, acceptance met (CI green). | 2026-10-21 (rcfworks): fan-data-retention.ts, run hourly by the worker's retention job; unsubscribe answers without reading an address (fan-pii.test.ts). tests/fan-data-retention.test.ts. A lead already in BTG's Zoho is outside SponsorX.</t>
        </is>
      </c>
    </row>
    <row r="315" s="75">
      <c r="A315" s="104" t="n">
        <v>157.77</v>
      </c>
      <c r="B315" s="105" t="inlineStr">
        <is>
          <t>P8-BE-06</t>
        </is>
      </c>
      <c r="C315" s="81" t="n">
        <v>8</v>
      </c>
      <c r="D315" s="82" t="inlineStr">
        <is>
          <t>Integration, Hardening &amp; Launch</t>
        </is>
      </c>
      <c r="E315" s="139" t="inlineStr">
        <is>
          <t>BE</t>
        </is>
      </c>
      <c r="F315" s="120" t="inlineStr">
        <is>
          <t>Code</t>
        </is>
      </c>
      <c r="G315" s="80" t="inlineStr">
        <is>
          <t>A team's or venue's terms acceptance keeps the IP and browser</t>
        </is>
      </c>
      <c r="H315" s="107" t="inlineStr">
        <is>
          <t>Raised 2026-10-21: a gap found while drafting 2S0-LEG-01 — an organisation's terms acceptance saved only the version, fingerprint and time; every other acceptance also keeps the IP and browser and is audited.</t>
        </is>
      </c>
      <c r="I315" s="108" t="inlineStr">
        <is>
          <t>Done</t>
        </is>
      </c>
      <c r="J315" s="108" t="n">
        <v>0.5</v>
      </c>
      <c r="K315" s="163" t="n">
        <v>46316</v>
      </c>
      <c r="L315" s="163" t="n">
        <v>46316</v>
      </c>
      <c r="M315" s="110" t="inlineStr">
        <is>
          <t>rcfworks</t>
        </is>
      </c>
      <c r="N315" s="81" t="n">
        <v>0</v>
      </c>
      <c r="O315" s="80" t="n"/>
      <c r="P315" s="80" t="inlineStr">
        <is>
          <t>The terms step records the request's IP and browser on the onboarding row beside the fingerprint and time; it is audited like every other acceptance (which terms, version, fingerprint); a stale version is still refused; past acceptances are left without evidence rather than given invented evidence</t>
        </is>
      </c>
      <c r="Q315" s="82" t="inlineStr">
        <is>
          <t>§12</t>
        </is>
      </c>
      <c r="R315" s="111" t="inlineStr">
        <is>
          <t>2026-10-21 DONE (rcfworks): merged in #277, main CI green incl. e2e, deployed to staging. | 2026-10-21 (rcfworks): PropertyOnboarding.termsIp/termsUserAgent (migration 20261021120000); saveStep takes the request's evidence and audits agreement.accept. tests/property-onboarding.test.ts.</t>
        </is>
      </c>
    </row>
    <row r="316" s="75">
      <c r="A316" s="104" t="n">
        <v>157.78</v>
      </c>
      <c r="B316" s="105" t="inlineStr">
        <is>
          <t>P8-OPS-03</t>
        </is>
      </c>
      <c r="C316" s="81" t="n">
        <v>8</v>
      </c>
      <c r="D316" s="82" t="inlineStr">
        <is>
          <t>Integration, Hardening &amp; Launch</t>
        </is>
      </c>
      <c r="E316" s="139" t="inlineStr">
        <is>
          <t>OPS</t>
        </is>
      </c>
      <c r="F316" s="120" t="inlineStr">
        <is>
          <t>Code</t>
        </is>
      </c>
      <c r="G316" s="80" t="inlineStr">
        <is>
          <t>Stripe and Zoho webhooks reach production's private API</t>
        </is>
      </c>
      <c r="H316" s="107" t="inlineStr">
        <is>
          <t>Raised 2026-10-21 preparing Stripe go-live: production's API has no public address and sponsorx.net forwarded only three paths, so Stripe's and Zoho's webhooks could never reach it — a card payment would succeed at Stripe and the order never turn PAID. Staging hid it (its API is public).</t>
        </is>
      </c>
      <c r="I316" s="108" t="inlineStr">
        <is>
          <t>Code review</t>
        </is>
      </c>
      <c r="J316" s="108" t="n">
        <v>0.5</v>
      </c>
      <c r="K316" s="163" t="n">
        <v>46316</v>
      </c>
      <c r="L316" s="163" t="n"/>
      <c r="M316" s="110" t="inlineStr">
        <is>
          <t>rcfworks</t>
        </is>
      </c>
      <c r="N316" s="81" t="n">
        <v>0</v>
      </c>
      <c r="O316" s="80" t="n"/>
      <c r="P316" s="80" t="inlineStr">
        <is>
          <t>sponsorx.net forwards exactly /api/v1/webhooks/payments/stripe, /zoho/invoice and /zoho/crm to the private API untouched; the API's signature checks pass on a forwarded signed delivery and refuse a bad one; nothing else forwarded, no wildcards; the Stripe go-live steps name the production URL</t>
        </is>
      </c>
      <c r="Q316" s="82" t="inlineStr">
        <is>
          <t>§18, §38</t>
        </is>
      </c>
      <c r="R316" s="111" t="inlineStr">
        <is>
          <t>2026-10-21 (rcfworks): frontend/next.config.ts WEBHOOK_PATHS, pinned by frontend/tests/security-review.test.ts; SponsorX-Stripe-Integration.md §3/§6.</t>
        </is>
      </c>
    </row>
    <row r="317" s="75">
      <c r="A317" s="104" t="n">
        <v>157.79</v>
      </c>
      <c r="B317" s="105" t="inlineStr">
        <is>
          <t>P8-BE-07</t>
        </is>
      </c>
      <c r="C317" s="81" t="n">
        <v>8</v>
      </c>
      <c r="D317" s="82" t="inlineStr">
        <is>
          <t>Integration, Hardening &amp; Launch</t>
        </is>
      </c>
      <c r="E317" s="139" t="inlineStr">
        <is>
          <t>BE</t>
        </is>
      </c>
      <c r="F317" s="120" t="inlineStr">
        <is>
          <t>Code</t>
        </is>
      </c>
      <c r="G317" s="80" t="inlineStr">
        <is>
          <t>Issue the approved legal wording in the app</t>
        </is>
      </c>
      <c r="H317" s="107" t="inlineStr">
        <is>
          <t>Raised 2026-10-22, when the legal drafts in the SponsorX Legal folder (documents 1–7) were approved by rcfworks with Rodney's delegated authority. What people accept is fingerprinted, so the approved words become v2 of each agreement: Content Collaboration Agreement, Campaign Order, Guardian Agreement, Marketplace Seller and Payout Terms, Marketplace Order Terms. Every loader registers the newest file on first use. The fan page's consent boxes are re-versioned 2026-10-22, with the sponsor named in box 2. Also new: the notice under the button, the fan email footer, the fan privacy notice (GET /public/fan-privacy) and the 'Campaign Results Report' title and foot note. Governing law is left out until BTG names it (a v3). BTG's postal address is a go-live switch (BTG_POSTAL_ADDRESS).</t>
        </is>
      </c>
      <c r="I317" s="108" t="inlineStr">
        <is>
          <t>Done</t>
        </is>
      </c>
      <c r="J317" s="108" t="n">
        <v>1</v>
      </c>
      <c r="K317" s="163" t="n">
        <v>46317</v>
      </c>
      <c r="L317" s="163" t="n">
        <v>46317</v>
      </c>
      <c r="M317" s="110" t="inlineStr">
        <is>
          <t>rcfworks</t>
        </is>
      </c>
      <c r="N317" s="81" t="n">
        <v>1</v>
      </c>
      <c r="O317" s="80" t="inlineStr">
        <is>
          <t>P0-LEG-01…06, 2S0-LEG-01, 2S0-LEG-02, 3S0-LEG-01 (all approved 2026-10-22)</t>
        </is>
      </c>
      <c r="P317" s="80" t="inlineStr">
        <is>
          <t>Every agreement has an approved v2 with no counsel brackets, draft banners or blanks (v1 kept). v2 is in force for every tenant without a manual step. The fan wording is re-versioned, with the notice, footer and privacy notice served by the API. The rendered report is the Campaign Results Report with the approved foot note. Full backend suite green.</t>
        </is>
      </c>
      <c r="Q317" s="82" t="inlineStr">
        <is>
          <t>§12, §16, §22, §26</t>
        </is>
      </c>
      <c r="R317" s="111" t="inlineStr">
        <is>
          <t>Tests: approved-legal-wording.test.ts; suites that pinned v1 now read the version in force (tests/support/agreements.ts).</t>
        </is>
      </c>
    </row>
    <row r="318" s="75">
      <c r="A318" s="104" t="n">
        <v>157.94</v>
      </c>
      <c r="B318" s="105" t="inlineStr">
        <is>
          <t>P8-FE-08</t>
        </is>
      </c>
      <c r="C318" s="81" t="n">
        <v>8</v>
      </c>
      <c r="D318" s="82" t="inlineStr">
        <is>
          <t>Integration, Hardening &amp; Launch</t>
        </is>
      </c>
      <c r="E318" s="139" t="inlineStr">
        <is>
          <t>FE</t>
        </is>
      </c>
      <c r="F318" s="120" t="inlineStr">
        <is>
          <t>Code</t>
        </is>
      </c>
      <c r="G318" s="80" t="inlineStr">
        <is>
          <t>Show the approved fan-page and results wording</t>
        </is>
      </c>
      <c r="H318" s="107" t="inlineStr">
        <is>
          <t>Raised with P8-BE-07 (2026-10-22). Fan reward page: show `notice` and `eligibilityCheck`, the email-field label, and a link to the fan privacy notice. Unsubscribe confirmation page: the approved wording. Guardian set-up page: the approved acceptance box. Sponsor results screen and report page: the approved labels, captions and foot note, retitled Campaign Results Report with no 'ROI'.</t>
        </is>
      </c>
      <c r="I318" s="108" t="inlineStr">
        <is>
          <t>Done</t>
        </is>
      </c>
      <c r="J318" s="108" t="n">
        <v>1</v>
      </c>
      <c r="K318" s="163" t="n">
        <v>46317</v>
      </c>
      <c r="L318" s="163" t="n">
        <v>46317</v>
      </c>
      <c r="M318" s="110" t="inlineStr">
        <is>
          <t>rcfworks</t>
        </is>
      </c>
      <c r="N318" s="81" t="n">
        <v>0</v>
      </c>
      <c r="O318" s="80" t="inlineStr">
        <is>
          <t>P8-BE-07</t>
        </is>
      </c>
      <c r="P318" s="80" t="inlineStr">
        <is>
          <t>Each screen shows the approved words, taken from the API where the API serves them. No sponsor screen says 'ROI'.</t>
        </is>
      </c>
      <c r="Q318" s="82" t="inlineStr">
        <is>
          <t>§16, §22, Legal folder documents 3 and 5</t>
        </is>
      </c>
      <c r="R318" s="111" t="inlineStr">
        <is>
          <t>Done 2026-10-22 (rcfworks, at the user's request): fan page notice, eligibility check, email label, /r/privacy page, unsubscribe wording, guardian acceptance line (handoff page now shows the served agreement), no 'ROI' on sponsor screens, confidence caption and results foot note. Merged in #287 with all four CI checks green.</t>
        </is>
      </c>
    </row>
    <row r="319" s="75">
      <c r="A319" s="104" t="n">
        <v>157.95</v>
      </c>
      <c r="B319" s="105" t="inlineStr">
        <is>
          <t>P8-SEC-04</t>
        </is>
      </c>
      <c r="C319" s="81" t="n">
        <v>8</v>
      </c>
      <c r="D319" s="82" t="inlineStr">
        <is>
          <t>Integration, Hardening &amp; Launch</t>
        </is>
      </c>
      <c r="E319" s="139" t="inlineStr">
        <is>
          <t>SEC</t>
        </is>
      </c>
      <c r="F319" s="120" t="inlineStr">
        <is>
          <t>Code</t>
        </is>
      </c>
      <c r="G319" s="80" t="inlineStr">
        <is>
          <t>Patch the Next.js and DOMPurify advisories</t>
        </is>
      </c>
      <c r="H319" s="107" t="inlineStr">
        <is>
          <t>Raised 2026-10-23: new advisories turned CI red on every branch. Next.js 16.3.8 had two critical unauthenticated RCEs (GHSA-2464-fhr4-w9xw, GHSA-673q-mjm6-r5xr) and a high DoS (GHSA-p3m5-59mp-jv5r); DOMPurify 3.4.16, via jspdf, one critical and one high. Upgraded next and eslint-config-next to 16.4.2 and dompurify to 3.4.17.</t>
        </is>
      </c>
      <c r="I319" s="108" t="inlineStr">
        <is>
          <t>Done</t>
        </is>
      </c>
      <c r="J319" s="108" t="n">
        <v>0.5</v>
      </c>
      <c r="K319" s="163" t="n">
        <v>46318</v>
      </c>
      <c r="L319" s="163" t="n">
        <v>46318</v>
      </c>
      <c r="M319" s="110" t="inlineStr">
        <is>
          <t>rcfworks</t>
        </is>
      </c>
      <c r="N319" s="81" t="n">
        <v>0</v>
      </c>
      <c r="O319" s="80" t="n"/>
      <c r="P319" s="80" t="inlineStr">
        <is>
          <t>npm run audit:check is clean; builds, lint and every frontend, backend and runnable e2e test pass; staging and production run the patched build.</t>
        </is>
      </c>
      <c r="Q319" s="82" t="inlineStr">
        <is>
          <t>§26</t>
        </is>
      </c>
      <c r="R319" s="111" t="inlineStr">
        <is>
          <t>Merged in #292, synced to main in #293 (all CI green). Deployed to staging and production at 38f800e, 2026-10-23 11:55 UTC; both healthy.</t>
        </is>
      </c>
    </row>
    <row r="320" s="75">
      <c r="A320" s="104" t="n">
        <v>157.96</v>
      </c>
      <c r="B320" s="105" t="inlineStr">
        <is>
          <t>P8-OPS-04</t>
        </is>
      </c>
      <c r="C320" s="81" t="n">
        <v>8</v>
      </c>
      <c r="D320" s="82" t="inlineStr">
        <is>
          <t>Integration, Hardening &amp; Launch</t>
        </is>
      </c>
      <c r="E320" s="139" t="inlineStr">
        <is>
          <t>OPS</t>
        </is>
      </c>
      <c r="F320" s="120" t="inlineStr">
        <is>
          <t>Code + console</t>
        </is>
      </c>
      <c r="G320" s="80" t="inlineStr">
        <is>
          <t>Zoho Books sends invoice changes to SponsorX</t>
        </is>
      </c>
      <c r="H320" s="107" t="inlineStr">
        <is>
          <t>Raised 2026-10-25: SponsorX's invoice webhook had no caller, because the Books workflow planned on 2026-10-02 was never built. Built in Books org The Coffee Stage: the CRM Deal ID invoice field, the custom function sponsorx_send_invoice (signed with ZOHO_WEBHOOK_SECRET) and the workflow rule Send to SponsorX.</t>
        </is>
      </c>
      <c r="I320" s="108" t="inlineStr">
        <is>
          <t>Done</t>
        </is>
      </c>
      <c r="J320" s="108" t="n">
        <v>0.5</v>
      </c>
      <c r="K320" s="163" t="n">
        <v>46320</v>
      </c>
      <c r="L320" s="163" t="n">
        <v>46320</v>
      </c>
      <c r="M320" s="110" t="inlineStr">
        <is>
          <t>rcfworks</t>
        </is>
      </c>
      <c r="N320" s="81" t="inlineStr">
        <is>
          <t>0</t>
        </is>
      </c>
      <c r="O320" s="80" t="n"/>
      <c r="P320" s="80" t="inlineStr">
        <is>
          <t>A draft, a sent and a paid invoice each reach staging signed and APPLIED; staging's copy follows draft -&gt; sent -&gt; paid; a paid invoice carries its paid date</t>
        </is>
      </c>
      <c r="Q320" s="82" t="inlineStr">
        <is>
          <t>§18</t>
        </is>
      </c>
      <c r="R320" s="111" t="inlineStr">
        <is>
          <t>Done 2026-10-25 (rcfworks). Tested on staging with INV-000001 (deal 7554807000012994002): draft, sent and paid each arrived signed and APPLIED, and the order invoice went draft -&gt; sent -&gt; paid. Paid date fixed: the function reads the full invoice when the workflow copy has no last_payment_date; the retest at 04:32 UTC carried paidAt 2026-10-25. Not shown: AWAITING_PAYMENT -&gt; PAID (the test order was already PAID).</t>
        </is>
      </c>
    </row>
    <row r="321" s="75">
      <c r="A321" s="104" t="n">
        <v>157.97</v>
      </c>
      <c r="B321" s="105" t="inlineStr">
        <is>
          <t>P8-SEC-05</t>
        </is>
      </c>
      <c r="C321" s="81" t="n">
        <v>8</v>
      </c>
      <c r="D321" s="82" t="inlineStr">
        <is>
          <t>Integration, Hardening &amp; Launch</t>
        </is>
      </c>
      <c r="E321" s="139" t="inlineStr">
        <is>
          <t>SEC</t>
        </is>
      </c>
      <c r="F321" s="120" t="inlineStr">
        <is>
          <t>Code</t>
        </is>
      </c>
      <c r="G321" s="80" t="inlineStr">
        <is>
          <t>Patch the body-parser, zod and fast-uri advisories</t>
        </is>
      </c>
      <c r="H321" s="107" t="inlineStr">
        <is>
          <t>Raised 2026-10-25: new advisories turned CI's dependency scan red on every branch. body-parser 2.3.0 (high, production, via express), zod 4.6.5 (high, production), fast-uri 3.1.8 (moderate x4, dev only).</t>
        </is>
      </c>
      <c r="I321" s="108" t="inlineStr">
        <is>
          <t>Done</t>
        </is>
      </c>
      <c r="J321" s="108" t="n">
        <v>0.5</v>
      </c>
      <c r="K321" s="163" t="n">
        <v>46320</v>
      </c>
      <c r="L321" s="163" t="n">
        <v>46320</v>
      </c>
      <c r="M321" s="110" t="inlineStr">
        <is>
          <t>rcfworks</t>
        </is>
      </c>
      <c r="N321" s="81" t="inlineStr">
        <is>
          <t>0</t>
        </is>
      </c>
      <c r="O321" s="80" t="n"/>
      <c r="P321" s="80" t="inlineStr">
        <is>
          <t>npm run audit:check is clean; builds, lint and every frontend, backend and runnable e2e test pass; staging and production run the patched build</t>
        </is>
      </c>
      <c r="Q321" s="82" t="inlineStr">
        <is>
          <t>§26</t>
        </is>
      </c>
      <c r="R321" s="111" t="inlineStr">
        <is>
          <t>Done 2026-10-25 (rcfworks): #298, synced in #299. body-parser 2.4.0, zod 4.6.7, fast-uri 3.1.9. Local: FE 1,681, BE 3,511, e2e 31 pass. CI pinned to ubuntu-24.04 (Playwright 1.63 can't install Chromium on 26.04). release -&gt; a87b4713; all four services deployed; staging runs zod@4.6.7 / body-parser@2.4.0; health, /join, webhooks (401) and protected API (401) checked in both environments.</t>
        </is>
      </c>
    </row>
    <row r="322" s="75">
      <c r="A322" s="104" t="n">
        <v>157.98</v>
      </c>
      <c r="B322" s="105" t="inlineStr">
        <is>
          <t>P8-FE-09</t>
        </is>
      </c>
      <c r="C322" s="81" t="n">
        <v>8</v>
      </c>
      <c r="D322" s="82" t="inlineStr">
        <is>
          <t>Integration, Hardening &amp; Launch</t>
        </is>
      </c>
      <c r="E322" s="139" t="inlineStr">
        <is>
          <t>FE</t>
        </is>
      </c>
      <c r="F322" s="120" t="inlineStr">
        <is>
          <t>Code</t>
        </is>
      </c>
      <c r="G322" s="80" t="inlineStr">
        <is>
          <t>Fix the screen findings from the tester-guide dry run</t>
        </is>
      </c>
      <c r="H322" s="107" t="inlineStr">
        <is>
          <t>Raised 2026-10-26 from the tester-guide dry run on staging. Seven screen problems: (1) a real campaign's results page had no PDF / Excel export, only the samples did; (2) the home page's 'Trusted by leading brands' strip showed the mockup's brands (Nike, adidas, Red Bull, Monster Energy, Under Armour) as if they were partners; (3) 'Postgres · read &lt;time&gt;' showed on athlete pages; (4) the offer title said the sponsor twice when the campaign name starts with it; (5) BTG's approvals desk called a PNG draft 'Video · v1'; (6) 'This goes live as soon as the checks pass.' appeared twice under Submit on a new listing; (7) the admin's order view said 'Complete' while the athlete's page still said 'Published — BTG verifying'.</t>
        </is>
      </c>
      <c r="I322" s="108" t="inlineStr">
        <is>
          <t>Done</t>
        </is>
      </c>
      <c r="J322" s="108" t="n">
        <v>1</v>
      </c>
      <c r="K322" s="163" t="n">
        <v>46321</v>
      </c>
      <c r="L322" s="163" t="n">
        <v>46322</v>
      </c>
      <c r="M322" s="110" t="inlineStr">
        <is>
          <t>HeckerCreatives</t>
        </is>
      </c>
      <c r="N322" s="81" t="inlineStr">
        <is>
          <t>0</t>
        </is>
      </c>
      <c r="O322" s="80" t="n"/>
      <c r="P322" s="80" t="inlineStr">
        <is>
          <t>A real campaign's results page exports a PDF and an Excel workbook from its own report read, with reach by source kept apart; the home page shows no brand that hasn't agreed to be named; no athlete page names the database; each finding is fixed and covered by a test where the logic allows.</t>
        </is>
      </c>
      <c r="Q322" s="82" t="inlineStr">
        <is>
          <t>§9, §21, §22</t>
        </is>
      </c>
      <c r="R322" s="111" t="inlineStr">
        <is>
          <t>2026-10-27 (HeckerCreatives): public pages for the inert nav items, built on the landing's parts - /get-started (Get Started no longer goes to /login), /how-it-works and /about (BTG Sports Group, values, the four desks, SponsorX + NEXT); nav items live, page-transition + route map + e2e sweep updated. Device-matrix QA x2 (1,751 + 464 loads, 7 roles, 320-2560 + WebKit iPhone SE/iPad Mini, public pages also signed in). Fixed: iPad (768) sideways scroll on 11 table desks (sr-only column header escaped .sx-table-scroll - now position:relative); /login hydration mismatch under load (Clerk &lt;SignIn&gt; now mounts after hydration); signed-in header '&lt;Role&gt; Dashboard' overflow below 380px (reads 'Dashboard'); lg-only grids on 13 detail layouts + rules board (grid-cols-1); roster at 320; payout chip at 768; Safari select overflow (global rule); loader exit overflow; plus the morning's six 320px fixes. FE tsc + lint clean, vitest 1,712 (security-review graph test is load-sensitive near its 5 s timeout). Merged to main_development and main. | 2026-10-27 QA pass 4 (HeckerCreatives): found local node_modules predated P8-SEC-04/05 (next 16.3.8 vs 16.4.2 etc.) - npm ci, all checks re-run on the lockfile versions. Production build (next start) against the api container (boots with the shared env; OpenAPI lists /public/network-stats as public): walk 5/5, 0 console errors; axe on changed pages found only a pre-existing &lt;dl&gt; issue in the Arena tiles. Third review: stale comments, dead fixtures/buildReportFunnel, a vacuous test, untested Complete rule (now orderJourney + tests), route test for the public endpoint, docs updated. FE 1,712 / BE 3,503 (4 Windows-only); Next 16.4.2 build and lint clean. | 2026-10-26 QA pass 3 (HeckerCreatives): team e2e (public, public-links, landing-city, redeem-flow, P4/P5/P7 loops, marketplace-path) 35 passed; 2 blocked by the Clerk dev user cap, 2 first-compile timeouts passed on re-run. Checked tenant scope and the rate limit of /public/network-stats, viewer-timezone 'Updated' pill, hung-API timeout, property draft listing. Fixed: sample roster 'demo' job; campaignAfterSponsor on punctuation; approvals card 'job' label; internal names in demo views; sample report now exports through campaign-results labelled (sample), old fixture export deleted. FE 1,707 / BE 3,498 tests; build and lint clean. | 2026-10-26 QA pass 2 (HeckerCreatives): independent code review + wider walk (20 athlete pages desktop/phone, approvals edge cases, Complete flipping as posts verify, listing editor, student/advisor/public pages, console errors). Fixed: untyped uploads no longer called images; 'Postgres' removed for sponsors, public property page, student and advisor portals; sponsor roster duplicate React key (rows keyed by athlete+job, job shown, in export too); sponsor name no longer repeated on athlete list sub-lines or the admin approvals drawer; 'goes live' said once on listing pages (athlete and property). FE 1,704 / BE 3,499 tests (4 Windows-only files fail); build and lint clean; walk 6/6, 0 console errors. | 2026-10-26 follow-up (HeckerCreatives): QA findings fixed. Home 'Real Impact' card, closing 'The numbers' panel and /login figures now read GET /public/network-stats (athletes ACTIVE+FEATURED, campaigns COMPLETED, deliverables VERIFIED, rewards REDEEMED; zeros left out, hidden with no read; 'Attributed fan value' dropped, no source); docker-compose worker shares the api's env (was crash-looping on missing Clerk keys); unused variable removed, lint clean. FE 1,701 / BE 3,499 tests; build passes; walked live with the API up and down. Open for the owner: the home page's Featured athletes panel still shows sample athletes. | 2026-10-26 QA (HeckerCreatives): root build and lint pass; FE 1,694 tests; BE 3,497 pass on sponsorx_test (only the four known Windows-only files fail). Playwright walk as QA athlete, admin and sponsor on seeded qa_fe09_* rows (removed after) confirmed all seven fixes, incl. a real PDF and XLSX download. Found and fixed in QA: two 'POSTGRES' chips on athlete earnings (now 'SponsorX records'); the PDF's cost per 1,000 now prints cents like the screen. Not deployed. | 2026-10-26 (HeckerCreatives): on branch fix/P8-FE-09-dry-run-screen-findings. Real-campaign export built from GET /campaigns/{id}/report (campaign-results-report.ts + PDF/XLSX renderers); trustedBrands emptied and the strip hidden while empty; athlete pills read 'Updated &lt;time&gt;' (ArenaUpdated); campaignWithSponsor drops a repeated sponsor; GET /deliverables sends latestAsset.contentType and the desk names the upload's kind; duplicate listing sentence removed; GET /campaigns/{id}/ops sends a per-athlete verified count and 'Complete' waits for it. Frontend build, lint and 1,694 tests pass; backend typecheck and the ops / deliverables read tests pass.</t>
        </is>
      </c>
    </row>
    <row r="323" s="75">
      <c r="A323" s="104" t="n">
        <v>157.99</v>
      </c>
      <c r="B323" s="105" t="inlineStr">
        <is>
          <t>P8-BE-08</t>
        </is>
      </c>
      <c r="C323" s="81" t="n">
        <v>8</v>
      </c>
      <c r="D323" s="82" t="inlineStr">
        <is>
          <t>Integration, Hardening &amp; Launch</t>
        </is>
      </c>
      <c r="E323" s="139" t="inlineStr">
        <is>
          <t>BE</t>
        </is>
      </c>
      <c r="F323" s="120" t="inlineStr">
        <is>
          <t>Code</t>
        </is>
      </c>
      <c r="G323" s="80" t="inlineStr">
        <is>
          <t>Featured athletes list for the home page</t>
        </is>
      </c>
      <c r="H323" s="107" t="inlineStr">
        <is>
          <t>Public list of up to 4 athletes by the approved criteria (photo and every public field required); BTG pin, remove and approve.</t>
        </is>
      </c>
      <c r="I323" s="108" t="inlineStr">
        <is>
          <t>Done</t>
        </is>
      </c>
      <c r="J323" s="108" t="n">
        <v>3</v>
      </c>
      <c r="K323" s="163" t="n">
        <v>46322</v>
      </c>
      <c r="L323" s="163" t="n">
        <v>46322</v>
      </c>
      <c r="M323" s="110" t="inlineStr">
        <is>
          <t>rcfworks</t>
        </is>
      </c>
      <c r="N323" s="81" t="n">
        <v>1</v>
      </c>
      <c r="O323" s="80" t="n"/>
      <c r="P323" s="80" t="inlineStr">
        <is>
          <t>Only qualifying athletes, pinned first, at most 4; minors need approval; removed stay off; nothing private; tenant and role tests</t>
        </is>
      </c>
      <c r="Q323" s="82" t="inlineStr">
        <is>
          <t>§9, §11, §26</t>
        </is>
      </c>
      <c r="R323" s="111" t="inlineStr">
        <is>
          <t>2026-10-27 DONE (rcfworks): criteria approved by the user. Photo upload added (athletes had none). 3,540 backend tests pass.</t>
        </is>
      </c>
    </row>
    <row r="324" s="75">
      <c r="A324" s="104" t="n">
        <v>157.995</v>
      </c>
      <c r="B324" s="105" t="inlineStr">
        <is>
          <t>P8-FE-10</t>
        </is>
      </c>
      <c r="C324" s="81" t="n">
        <v>8</v>
      </c>
      <c r="D324" s="82" t="inlineStr">
        <is>
          <t>Integration, Hardening &amp; Launch</t>
        </is>
      </c>
      <c r="E324" s="139" t="inlineStr">
        <is>
          <t>FE</t>
        </is>
      </c>
      <c r="F324" s="120" t="inlineStr">
        <is>
          <t>Code</t>
        </is>
      </c>
      <c r="G324" s="80" t="inlineStr">
        <is>
          <t>Home page Featured athletes from the API</t>
        </is>
      </c>
      <c r="H324" s="107" t="inlineStr">
        <is>
          <t>Panel reads the API instead of samples; athlete photo upload; BTG pin, remove and approve controls.</t>
        </is>
      </c>
      <c r="I324" s="108" t="inlineStr">
        <is>
          <t>Done</t>
        </is>
      </c>
      <c r="J324" s="108" t="n">
        <v>3</v>
      </c>
      <c r="K324" s="163" t="n">
        <v>46322</v>
      </c>
      <c r="L324" s="163" t="n">
        <v>46322</v>
      </c>
      <c r="M324" s="110" t="inlineStr">
        <is>
          <t>HeckerCreatives</t>
        </is>
      </c>
      <c r="N324" s="81" t="n">
        <v>0</v>
      </c>
      <c r="O324" s="80" t="inlineStr">
        <is>
          <t>P8-BE-08</t>
        </is>
      </c>
      <c r="P324" s="80" t="inlineStr">
        <is>
          <t>Panel shows the API list and hides when empty; photo upload works; controls for BTG admin and Network Manager only</t>
        </is>
      </c>
      <c r="Q324" s="82" t="inlineStr">
        <is>
          <t>§9, §10</t>
        </is>
      </c>
      <c r="R324" s="111" t="inlineStr">
        <is>
          <t>2026-10-27 DONE (HeckerCreatives): five QA passes green; merged to main_development and promoted to main. | 2026-10-27 QA5 (HeckerCreatives): no bugs. Storage-level upload security 12/12 (presigned PUT pinned to type/size/key; SVG, .., other-tenant keys refused); BE/FE contract alignment 7/7; team e2e (public, landing-city, loop-p3-application, public@mobile) 11 passed; latest commit under next start 7/7 incl. the drawer's server action; API 33/33; BE suite 3,526 + 4 Windows-only. | 2026-10-27 QA4 (HeckerCreatives): full regression green (API 33, browser 101, drawer 8, roles 8, robustness 5, extras 17); applications desk unaffected (tabs, Escape/focus, decision bar, axe on drawer); NM uploads from the drawer; missing photo object, reduced motion, no-JS HTML ok. Fixed: 2,147,483,647 followers printed '2147M' - now '2.1B'. | 2026-10-27 QA3 (HeckerCreatives): found the Network Manager couldn't reach the controls (/admin/new-signups is BTG-admin only) - fixed: the Home page section now also opens in the approved athlete's drawer on /admin/applications. Prod server (next start) ok; NM, super, guardian, other-tenant roles ok; stale tab, double-click, focus, hostile name ok. Notes: CSP is report-only - enforcing it needs R2_PUBLIC_BASE_URL on the web service; guardians have no photo screen (pre-existing demo editor). | 2026-10-27 QA (HeckerCreatives): 33 live API probes + 94 browser checks on 11 devices (WebKit incl.) on a staged scenario (restored byte-for-byte); axe clean x3; API-down home still loads without the panel; minor approve/withdraw live. Fixed: /athletes/me reached the public bucket from the route (payments-pii would fail on CI) - now athletePhotoUrl() in the domain; 'Under 18' shown for no-age athletes - now 'Under 18 or no age on file'. npm run build green (worktree); BE suite 3,525 pass + known Windows-only files. | 2026-10-27 (HeckerCreatives): on feature/P8-FE-10-featured-athletes. Home panel reads GET /public/featured-athletes (server/featured-athletes.ts, 1-min keep, edge forward); rows show photo, name, sport/position, city/state, followers tagged Verified/Self-reported; job tag + sample figures dropped; no read or empty list hides it. Athlete photo editor (upload/change/remove, browser type/size check, direct PUT to the public bucket) on the athlete's edit page and BTG's athlete page. BTG 'Home page' section on /admin/new-signups/athletes/{id}: on-panel state, every reason off (missing fields named, minor awaiting approval), pin/unpin, remove/restore, approve/withdraw; drawn only when GET /athletes/{id}/home-page answers (BTG admin, Network Manager). Backend: GET /athletes/me returns photoUrl. FE vitest 1,729; BE DB tests 42/42 on sponsorx_test; walked live on MinIO (QA athlete restored after). | Raised 2026-10-27. API details in the Phase 1 doc.</t>
        </is>
      </c>
    </row>
    <row r="325" s="75">
      <c r="A325" s="104" t="n">
        <v>157.996</v>
      </c>
      <c r="B325" s="105" t="inlineStr">
        <is>
          <t>P8-BE-09</t>
        </is>
      </c>
      <c r="C325" s="81" t="n">
        <v>8</v>
      </c>
      <c r="D325" s="82" t="inlineStr">
        <is>
          <t>Integration, Hardening &amp; Launch</t>
        </is>
      </c>
      <c r="E325" s="139" t="inlineStr">
        <is>
          <t>BE</t>
        </is>
      </c>
      <c r="F325" s="120" t="inlineStr">
        <is>
          <t>Code</t>
        </is>
      </c>
      <c r="G325" s="80" t="inlineStr">
        <is>
          <t>Every document upload checked for a usable file</t>
        </is>
      </c>
      <c r="H325" s="107" t="inlineStr">
        <is>
          <t>Found 2026-10-28: an ID arrived as a near-black blurred photo and nothing stopped it. At the confirm step of all ten document uploads, open the file: real type (first bytes), opens, photo/scanned page not too small, dark, washed out, blank or blurred; PDF not password-locked, has pages. Refused files are deleted and audited, with the reason in plain words.</t>
        </is>
      </c>
      <c r="I325" s="108" t="inlineStr">
        <is>
          <t>Done</t>
        </is>
      </c>
      <c r="J325" s="108" t="n">
        <v>2</v>
      </c>
      <c r="K325" s="163" t="n">
        <v>46323</v>
      </c>
      <c r="L325" s="163" t="n">
        <v>46323</v>
      </c>
      <c r="M325" s="110" t="inlineStr">
        <is>
          <t>rcfworks</t>
        </is>
      </c>
      <c r="N325" s="81" t="n">
        <v>2</v>
      </c>
      <c r="O325" s="80" t="n"/>
      <c r="P325" s="80" t="inlineStr">
        <is>
          <t>Each of the ten uploads refuses a dark, blurred, blank, too-small, renamed, damaged or locked file with its reason, deletes and audits it; good files pass; tests cover every rule and flow</t>
        </is>
      </c>
      <c r="Q325" s="82" t="inlineStr">
        <is>
          <t>§26; 2S8-SEC-03</t>
        </is>
      </c>
      <c r="R325" s="111" t="inlineStr">
        <is>
          <t>2026-10-28 DONE (rcfworks): every document confirm (10 uploads) opens the file: renamed, damaged, locked, too small, dark, washed out, blank or blurred refused in words, deleted, audited. Limits calibrated on the real near-black upload. 3,592 backend tests pass. | 2026-10-28 (rcfworks): raised and started. The user: "do 1 and 2", "do A and B", all documents.</t>
        </is>
      </c>
    </row>
    <row r="326" s="75">
      <c r="A326" s="104" t="n">
        <v>157.997</v>
      </c>
      <c r="B326" s="105" t="inlineStr">
        <is>
          <t>P8-BE-10</t>
        </is>
      </c>
      <c r="C326" s="81" t="n">
        <v>8</v>
      </c>
      <c r="D326" s="82" t="inlineStr">
        <is>
          <t>Integration, Hardening &amp; Launch</t>
        </is>
      </c>
      <c r="E326" s="139" t="inlineStr">
        <is>
          <t>BE</t>
        </is>
      </c>
      <c r="F326" s="120" t="inlineStr">
        <is>
          <t>Code</t>
        </is>
      </c>
      <c r="G326" s="80" t="inlineStr">
        <is>
          <t>BTG sends a document back</t>
        </is>
      </c>
      <c r="H326" s="107" t="inlineStr">
        <is>
          <t>BTG sends any document it reviews back with a reason (sign-up IDs and guardian papers, coming-of-age ID, new legal name ID, handoff papers, organisation papers, sponsor proof of business): it stops counting, the file is deleted, the person is emailed the reason and their upload link, and the checks re-run on the new one.</t>
        </is>
      </c>
      <c r="I326" s="108" t="inlineStr">
        <is>
          <t>Done</t>
        </is>
      </c>
      <c r="J326" s="108" t="n">
        <v>2</v>
      </c>
      <c r="K326" s="163" t="n">
        <v>46323</v>
      </c>
      <c r="L326" s="163" t="n">
        <v>46323</v>
      </c>
      <c r="M326" s="110" t="inlineStr">
        <is>
          <t>rcfworks</t>
        </is>
      </c>
      <c r="N326" s="81" t="n">
        <v>1</v>
      </c>
      <c r="O326" s="80" t="inlineStr">
        <is>
          <t>P8-BE-09</t>
        </is>
      </c>
      <c r="P326" s="80" t="inlineStr">
        <is>
          <t>BTG can send back each kind with a reason; it stops counting and the file is gone; the person is emailed; a new upload re-runs the checks; other roles and tenants refused; tests per flow</t>
        </is>
      </c>
      <c r="Q326" s="82" t="inlineStr">
        <is>
          <t>§10, §26</t>
        </is>
      </c>
      <c r="R326" s="111" t="inlineStr">
        <is>
          <t>2026-10-28 DONE (rcfworks): BTG send-back with a reason on sign-ups (athlete and guardian), organisations, sponsor requests, handoffs and legal-name IDs: stops counting, file deleted, person emailed the reason and their upload link, flow back to waiting, audited. | 2026-10-28 (rcfworks): raised and started (the user: "do 1 and 2").</t>
        </is>
      </c>
    </row>
    <row r="327" s="75">
      <c r="A327" s="104" t="n">
        <v>157.998</v>
      </c>
      <c r="B327" s="105" t="inlineStr">
        <is>
          <t>P8-BE-11</t>
        </is>
      </c>
      <c r="C327" s="81" t="n">
        <v>8</v>
      </c>
      <c r="D327" s="82" t="inlineStr">
        <is>
          <t>Integration, Hardening &amp; Launch</t>
        </is>
      </c>
      <c r="E327" s="139" t="inlineStr">
        <is>
          <t>BE</t>
        </is>
      </c>
      <c r="F327" s="120" t="inlineStr">
        <is>
          <t>Code</t>
        </is>
      </c>
      <c r="G327" s="80" t="inlineStr">
        <is>
          <t>Documents read and compared</t>
        </is>
      </c>
      <c r="H327" s="107" t="inlineStr">
        <is>
          <t>After P8-BE-09 the server reads the document (PDF text, or OCR on our own server; nothing sent out, no text kept) and compares: the right name, the right kind, not expired, the athlete's date of birth. Result clear / flagged (findings in words) / unread. Flagged or unread holds the automatic approval (sign-up, organisation, sponsor request, guardian handoff, legal name) for BTG with the findings as reasons. BTG reads results via GET /document-checks.</t>
        </is>
      </c>
      <c r="I327" s="108" t="inlineStr">
        <is>
          <t>Done</t>
        </is>
      </c>
      <c r="J327" s="108" t="n">
        <v>3</v>
      </c>
      <c r="K327" s="163" t="n">
        <v>46323</v>
      </c>
      <c r="L327" s="163" t="n">
        <v>46323</v>
      </c>
      <c r="M327" s="110" t="inlineStr">
        <is>
          <t>rcfworks</t>
        </is>
      </c>
      <c r="N327" s="81" t="n">
        <v>1</v>
      </c>
      <c r="O327" s="80" t="inlineStr">
        <is>
          <t>P8-BE-09</t>
        </is>
      </c>
      <c r="P327" s="80" t="inlineStr">
        <is>
          <t>Every listed document gets a result; wrong name, kind, expired date or date of birth flagged in words; no text stored; each automatic approval held when flagged and unchanged when clear; BTG reads results; held legal name can be applied or rejected; tests for rules, flows, roles, tenants</t>
        </is>
      </c>
      <c r="Q327" s="82" t="inlineStr">
        <is>
          <t>§10, §26; Phase 2 automation rule</t>
        </is>
      </c>
      <c r="R327" s="111" t="inlineStr">
        <is>
          <t>2026-10-28 DONE (rcfworks): documents read on our own server (PDF text or tesseract OCR; no text stored); name, kind, expiry, birth date compared; flagged/unread holds sign-up, organisation, sponsor request, handoff and legal name for BTG with reasons; BTG apply/decline for a held legal name. | 2026-10-28 (rcfworks): raised and started (the user: "do A and B").</t>
        </is>
      </c>
    </row>
    <row r="328" s="75">
      <c r="A328" s="104" t="n">
        <v>157.999</v>
      </c>
      <c r="B328" s="105" t="inlineStr">
        <is>
          <t>P8-FE-11</t>
        </is>
      </c>
      <c r="C328" s="81" t="n">
        <v>8</v>
      </c>
      <c r="D328" s="82" t="inlineStr">
        <is>
          <t>Integration, Hardening &amp; Launch</t>
        </is>
      </c>
      <c r="E328" s="139" t="inlineStr">
        <is>
          <t>FE</t>
        </is>
      </c>
      <c r="F328" s="120" t="inlineStr">
        <is>
          <t>Code</t>
        </is>
      </c>
      <c r="G328" s="80" t="inlineStr">
        <is>
          <t>Document checks on screen</t>
        </is>
      </c>
      <c r="H328" s="107" t="inlineStr">
        <is>
          <t>Upload screens show the refusal reason and "Checking your document…" while confirming; BTG review screens show each document's check (Clear / Flagged with findings / Couldn't read) and a Send back button with a reason; a held legal name can be applied or rejected.</t>
        </is>
      </c>
      <c r="I328" s="108" t="inlineStr">
        <is>
          <t>Ready</t>
        </is>
      </c>
      <c r="J328" s="108" t="n">
        <v>2</v>
      </c>
      <c r="K328" s="163" t="n"/>
      <c r="L328" s="163" t="n"/>
      <c r="M328" s="110" t="inlineStr">
        <is>
          <t>HeckerCreatives</t>
        </is>
      </c>
      <c r="N328" s="81" t="n">
        <v>0</v>
      </c>
      <c r="O328" s="80" t="inlineStr">
        <is>
          <t>P8-BE-09, P8-BE-10, P8-BE-11</t>
        </is>
      </c>
      <c r="P328" s="80" t="inlineStr">
        <is>
          <t>People see why a file was refused; BTG sees each result and can send a document back; a held legal name can be applied or rejected</t>
        </is>
      </c>
      <c r="Q328" s="82" t="inlineStr">
        <is>
          <t>§10</t>
        </is>
      </c>
      <c r="R328" s="111" t="inlineStr">
        <is>
          <t>2026-10-28 (rcfworks): unblocked — P8-BE-09/10/11 done; every route and field is in the Phase 1 doc. | 2026-10-28 (rcfworks): raised with P8-BE-09/10/11 — frontend, for HeckerCreatives. API details in the Phase 1 doc.</t>
        </is>
      </c>
    </row>
    <row r="329" s="75">
      <c r="A329" s="104" t="n">
        <v>157.9991</v>
      </c>
      <c r="B329" s="105" t="inlineStr">
        <is>
          <t>P8-BE-12</t>
        </is>
      </c>
      <c r="C329" s="81" t="n">
        <v>8</v>
      </c>
      <c r="D329" s="82" t="inlineStr">
        <is>
          <t>Integration, Hardening &amp; Launch</t>
        </is>
      </c>
      <c r="E329" s="139" t="inlineStr">
        <is>
          <t>BE</t>
        </is>
      </c>
      <c r="F329" s="120" t="inlineStr">
        <is>
          <t>Code</t>
        </is>
      </c>
      <c r="G329" s="80" t="inlineStr">
        <is>
          <t>Cancel and change a campaign, automatically</t>
        </is>
      </c>
      <c r="H329" s="107" t="inlineStr">
        <is>
          <t>Rodney's questions (2026-10-28). Impact read before acting (cancel-impact, change-impact: every affected product grouped with its outcome, and the money). Cancel settles everything under the campaign: unaccepted offers/invites withdrawn, accepted orders not started cancelled (athletes emailed), delivered work still paid, rewards paused, placements released, NEXT ads released or refunded, Zoho Closed Lost. Change: name, dates, budget (not below committed). Applied at once when nothing is in progress; otherwise held for BTG with reasons and BTG admins emailed; BTG approves or declines. Sponsor admin (own) and BTG.</t>
        </is>
      </c>
      <c r="I329" s="108" t="inlineStr">
        <is>
          <t>Ready</t>
        </is>
      </c>
      <c r="J329" s="108" t="n">
        <v>3</v>
      </c>
      <c r="K329" s="163" t="n"/>
      <c r="L329" s="163" t="n"/>
      <c r="M329" s="110" t="inlineStr">
        <is>
          <t>rcfworks</t>
        </is>
      </c>
      <c r="N329" s="81" t="n">
        <v>1</v>
      </c>
      <c r="O329" s="80" t="n"/>
      <c r="P329" s="80" t="inlineStr">
        <is>
          <t>Impact lists every affected product, outcome and money; safe cancel/change applies at once and settles everything under the campaign; unsafe ones held with reasons and BTG emailed; BTG approves or declines; sponsor reaches only own campaigns; tests for outcomes, roles, tenants</t>
        </is>
      </c>
      <c r="Q329" s="82" t="inlineStr">
        <is>
          <t>§7, §21; Phase 2 automation rule</t>
        </is>
      </c>
      <c r="R329" s="111" t="inlineStr">
        <is>
          <t>2026-10-28 (rcfworks): raised from Rodney's questions; the user: automate, email BTG when it won't go through, show what's affected first. API contract in the Phase 1 doc.</t>
        </is>
      </c>
    </row>
    <row r="330" s="75">
      <c r="A330" s="104" t="n">
        <v>157.9992</v>
      </c>
      <c r="B330" s="105" t="inlineStr">
        <is>
          <t>P8-FE-12</t>
        </is>
      </c>
      <c r="C330" s="81" t="n">
        <v>8</v>
      </c>
      <c r="D330" s="82" t="inlineStr">
        <is>
          <t>Integration, Hardening &amp; Launch</t>
        </is>
      </c>
      <c r="E330" s="139" t="inlineStr">
        <is>
          <t>FE</t>
        </is>
      </c>
      <c r="F330" s="120" t="inlineStr">
        <is>
          <t>Code</t>
        </is>
      </c>
      <c r="G330" s="80" t="inlineStr">
        <is>
          <t>Cancel and Change buttons, with what they affect</t>
        </is>
      </c>
      <c r="H330" s="107" t="inlineStr">
        <is>
          <t>Change campaign and Cancel campaign on the sponsor's and BTG's campaign page (Edit campaign, which saves nothing, becomes Change). Before confirming, a modal: 'This affects N products', each group with its count and outcome, the money, BTG-approval note and refusals; Cancel asks for a reason; then the outcome (cancelled / saved / sent to BTG). BTG's Campaign requests list with Approve and Decline.</t>
        </is>
      </c>
      <c r="I330" s="108" t="inlineStr">
        <is>
          <t>Ready</t>
        </is>
      </c>
      <c r="J330" s="108" t="n">
        <v>2</v>
      </c>
      <c r="K330" s="163" t="n"/>
      <c r="L330" s="163" t="n"/>
      <c r="M330" s="110" t="inlineStr">
        <is>
          <t>HeckerCreatives</t>
        </is>
      </c>
      <c r="N330" s="81" t="n">
        <v>0</v>
      </c>
      <c r="O330" s="80" t="inlineStr">
        <is>
          <t>P8-BE-12</t>
        </is>
      </c>
      <c r="P330" s="80" t="inlineStr">
        <is>
          <t>Sponsor admin and BTG can cancel and change from the campaign page; the modal shows affected products, outcomes and money before confirming; held requests say they went to BTG; BTG approves or declines; other roles see no buttons</t>
        </is>
      </c>
      <c r="Q330" s="82" t="inlineStr">
        <is>
          <t>§7, §10</t>
        </is>
      </c>
      <c r="R330" s="111" t="inlineStr">
        <is>
          <t>2026-10-28 (rcfworks): raised for HeckerCreatives (the user). Build against the P8-BE-12 contract in the Phase 1 doc; wire when it lands.</t>
        </is>
      </c>
    </row>
  </sheetData>
  <autoFilter ref="A4:R330"/>
  <mergeCells count="2">
    <mergeCell ref="A2:R2"/>
    <mergeCell ref="A1:R1"/>
  </mergeCells>
  <conditionalFormatting sqref="I5:I330">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330">
    <cfRule type="expression" rank="0" priority="7" equalAverage="0" aboveAverage="0" dxfId="32" text="" percent="0" bottom="0">
      <formula>$I5="Done"</formula>
    </cfRule>
  </conditionalFormatting>
  <conditionalFormatting sqref="N5:N330">
    <cfRule type="cellIs" rank="0" priority="8" equalAverage="0" operator="greaterThanOrEqual" aboveAverage="0" dxfId="33" text="" percent="0" bottom="0">
      <formula>50</formula>
    </cfRule>
  </conditionalFormatting>
  <dataValidations count="1">
    <dataValidation sqref="I5:I330"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14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Done</t>
        </is>
      </c>
      <c r="J7" s="108" t="n">
        <v>3</v>
      </c>
      <c r="K7" s="109" t="n">
        <v>46301</v>
      </c>
      <c r="L7" s="109" t="n">
        <v>46301</v>
      </c>
      <c r="M7" s="110" t="inlineStr">
        <is>
          <t>rcfworks</t>
        </is>
      </c>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 | Stripe chosen by the owner 2026-10-06. Connect set up as a marketplace (you collect payments and pay recipients) in the BTG sandbox; sandbox keys stored in Railway staging (STRIPE_SECRET_KEY on api, STRIPE_PUBLISHABLE_KEY on api and web), never in chat. Contract: the Stripe Services Agreement accepted on BTG account. Adapter interface: backend/src/lib/payment-provider.ts.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Done</t>
        </is>
      </c>
      <c r="J8" s="108" t="n">
        <v>3</v>
      </c>
      <c r="K8" s="109" t="n">
        <v>46301</v>
      </c>
      <c r="L8" s="109" t="n">
        <v>46301</v>
      </c>
      <c r="M8" s="110" t="inlineStr">
        <is>
          <t>rcfworks</t>
        </is>
      </c>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 | Unblocked 2026-10-06: its only dependency, 2S0-PMO-03, is Done. | Review in documentation/SponsorX-Payments-PII-Review-2026-10.md. Card data: pass (hosted Checkout; webhook payloads minimised; refused webhooks no longer store raw events, migration 20261006043000). Payout account data: pass (id + status only). Verification documents: pass (private bucket, audited 5-min links; bucket-separation boot guard). Logs: fixed (logError/redactForLog on every console.error; Stripe scrub masks emails). Owner decisions 2026-10-06: O1 (support files by link not email), O2 (attachment retention), O4 (Zoho bodies trimmed after 90 days), O5 (card numbers refused in notes) fixed; O3 and O6 accepted in writing. payments-pii.test (+ phase2-support, tenant-isolation). Backend 2910 tests.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Done</t>
        </is>
      </c>
      <c r="J10" s="108" t="n">
        <v>1</v>
      </c>
      <c r="K10" s="109" t="n">
        <v>46302</v>
      </c>
      <c r="L10" s="109" t="n">
        <v>46302</v>
      </c>
      <c r="M10" s="110" t="inlineStr">
        <is>
          <t>rcfworks</t>
        </is>
      </c>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 | 2026-10-07: owner agreed RPO &lt;= 1 hour, RTO &lt;= 4 hours. Current backups already meet them (PITR on both environments with continuous WAL archiving, last archive minutes old; daily/weekly backups, plus monthly in production), recorded in documentation/SponsorX-Database-Backup-Runbook.md. RTO proven by 2S8-OPS-01.</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Done</t>
        </is>
      </c>
      <c r="J22" s="108" t="n">
        <v>3</v>
      </c>
      <c r="K22" s="109" t="n">
        <v>46296</v>
      </c>
      <c r="L22" s="109" t="n">
        <v>46297</v>
      </c>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 | Reviewed 2026-10-02: /athlete Phase 2 home — inventory performance (GET /sales/summary), payout status (GET /payouts/me byState, which also fixed paidOutCents counting only 50 payouts), upcoming campaigns and sales; own scope only.</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Done</t>
        </is>
      </c>
      <c r="J39" s="108" t="n">
        <v>5</v>
      </c>
      <c r="K39" s="109" t="n">
        <v>46295</v>
      </c>
      <c r="L39" s="109" t="n">
        <v>46301</v>
      </c>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 | 2026-10-06: Stripe build started (hosted Checkout, webhook verifier and event mapping). | Proven on staging 2026-10-06 against the Stripe sandbox: test sponsor ordered a listing ($1,000, order SX-BK6HZ86G), paid on checkout.stripe.com (declined card 0002 refused, then 4242 succeeded), SponsorX shows Paid; attempt SUCCEEDED with pi_3UNQsiKA9GZ8RRgK1bwYh0FH; payment event APPLIED within 2s; split exact. Webhooks registered (platform + thin) and PAYMENT_PROVIDER=stripe on staging only.</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Done</t>
        </is>
      </c>
      <c r="J40" s="108" t="n">
        <v>5</v>
      </c>
      <c r="K40" s="109" t="n">
        <v>46300</v>
      </c>
      <c r="L40" s="109" t="n">
        <v>46300</v>
      </c>
      <c r="M40" s="110" t="inlineStr">
        <is>
          <t>rcfworks</t>
        </is>
      </c>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 | Started 2026-10-05 against the stand-in payment provider; Stripe plugs in later through 2S5-INT-01. | POST /webhooks/payments/{provider}: signature over the raw body (with _PREVIOUS), 5-minute replay window, PaymentEvent unique per provider event id, applied by the payments.event job; states only move forward, early events deferred, conflicts held for BTG. payment-webhooks.test. Built on the stand-in; the Stripe verifier and event mapping are left for 2S5-INT-01. 2026-10-05</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Done</t>
        </is>
      </c>
      <c r="J41" s="108" t="n">
        <v>5</v>
      </c>
      <c r="K41" s="109" t="n">
        <v>46295</v>
      </c>
      <c r="L41" s="109" t="n">
        <v>46301</v>
      </c>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 | 2026-10-06: Stripe Connect Express onboarding build started. | Built and on staging; onboarding link and NEEDS_INFO status proven on staging. Final step (completing Stripe hosted onboarding to READY) needs a person: Stripe shows an hCaptcha to automated browsers. | Proven on staging 2026-10-06: the owner completed Stripe hosted onboarding for test team Stripe Test Hawks (acct_1UNQnWKA9GFzKcrb, test bank 6789); Stripe shows transfers and payouts active; SponsorX recorded READY automatically from the thin webhook at 07:54:46 UTC. Only eventually_due items remain (DOB, SSN last 4), which do not block payouts.</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Done</t>
        </is>
      </c>
      <c r="J44" s="108" t="n">
        <v>3</v>
      </c>
      <c r="K44" s="109" t="n">
        <v>46300</v>
      </c>
      <c r="L44" s="109" t="n">
        <v>46300</v>
      </c>
      <c r="M44" s="110" t="inlineStr">
        <is>
          <t>rcfworks</t>
        </is>
      </c>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 | Started 2026-10-05 against the stand-in payment provider; Stripe plugs in later through 2S5-INT-01. | Provider refunds reverse the ledger and block payouts (partial or mid-send refunds held for BTG); disputes OPEN &gt; UNDER_REVIEW &gt; WON | LOST, never moved by the system: opening freezes the order, BTG resolves to the provider outcome, LOST reverses the books and records money owed back. payment-disputes.test. 2026-10-05</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Done</t>
        </is>
      </c>
      <c r="J45" s="108" t="n">
        <v>5</v>
      </c>
      <c r="K45" s="109" t="n">
        <v>46295</v>
      </c>
      <c r="L45" s="109" t="n">
        <v>46300</v>
      </c>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 | Last clause added: an open dispute freezes the order in the payee balance, adds a fifth payout check (dispute) and stops approval and sending. Every clause has its own test in payout-eligibility.test. 2026-10-05</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Done</t>
        </is>
      </c>
      <c r="J46" s="108" t="n">
        <v>3</v>
      </c>
      <c r="K46" s="109" t="n">
        <v>46295</v>
      </c>
      <c r="L46" s="109" t="n">
        <v>46300</v>
      </c>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 | Started 2026-10-05 against the stand-in payment provider; Stripe plugs in later through 2S5-INT-01. | payouts.send through sendPayoutToProvider with an idempotency key per attempt; payout.paid / failed / returned webhooks track it to completion; failures retried 1/6/24h then to BTG (payout.failedForBtg email); returned payouts reverse the journal. Approval follows the Phase 2 automation (automatic when checks pass). payout-execution.test. 2026-10-05</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inlineStr">
        <is>
          <t>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Done</t>
        </is>
      </c>
      <c r="J57" s="108" t="n">
        <v>5</v>
      </c>
      <c r="K57" s="109" t="n">
        <v>46294</v>
      </c>
      <c r="L57" s="109" t="n">
        <v>46303</v>
      </c>
      <c r="M57" s="110" t="inlineStr">
        <is>
          <t>HeckerCreatives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 | Re-checked 2026-10-07: not met. Console lacks disputes, payment events held/failed, payouts awaiting approval (REQUESTED), refunds to send, delivery issues, frozen payouts; its Disputes card text is stale. Disputes and payment events need 2S5-FE-07/08 first. | 2026-10-08 re-checked on main_development: NOT MET. The backend serves every exception (/disputes, /payment-events, /refunds, /delivery-issues, /payouts), and each has its own desk, but the console (/admin/marketplace) still says 'Disputes aren't counted yet' (stale) and does not surface held/failed payment events, refunds to send, delivery issues, payouts awaiting approval or frozen payouts. Frontend work — for HeckerCreatives. | 2026-10-08 HANDED TO HeckerCreatives (the user's decision; frontend work). About half a day to a day, frontend only — the API already serves every count. On /admin/marketplace (components/marketplace-desk.tsx, the P1-ART-20 queue strip): (1) replace the stale 'Disputes aren't counted yet' line with a Disputes tile (GET /disputes counts by state; open disputes also mean frozen payout money, so the tile covers 'frozen payouts'), linking /admin/payments/disputes; (2) add tiles for payment events waiting on BTG (GET /payment-events waitingOnBtg → /admin/payments/events), refunds to send (GET /refunds counts.open → /admin/refunds), delivery issues (GET /delivery-issues tab counts → /admin/delivery-issues) and payouts awaiting approval (GET /payouts counts.REQUESTED → /admin/payouts); (3) update the desk's unit tests and e2e/admin-marketplace-desk.spec.ts. Done when every exception type shows in the console with its count and a link to the desk that actions it. | 2026-10-08 (HeckerCreatives, via Claude): the brief built — five link tiles under the queue strip (Disputes, Payment events, Refunds to send, Delivery issues, Payouts to approve), each the API's own count linking the desk that actions it; the stale disputes line gone. Verified: unit tests (linkTiles), eslint, tsc; e2e/admin-marketplace-desk.spec.ts cross-checks every tile against GET /disputes, /payment-events, /refunds, /delivery-issues, /payouts as the same admin and opens a desk from a tile; backend suites behind those endpoints green on a clean test DB. Done.</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Done</t>
        </is>
      </c>
      <c r="J60" s="108" t="n">
        <v>5</v>
      </c>
      <c r="K60" s="109" t="n">
        <v>46300</v>
      </c>
      <c r="L60" s="109" t="n">
        <v>46300</v>
      </c>
      <c r="M60" s="110" t="inlineStr">
        <is>
          <t>rcfworks</t>
        </is>
      </c>
      <c r="N60" s="85" t="n">
        <v>0</v>
      </c>
      <c r="O60" s="84" t="inlineStr">
        <is>
          <t>2S4-FE-02</t>
        </is>
      </c>
      <c r="P60" s="84" t="inlineStr">
        <is>
          <t>The full marketplace path runs green in CI</t>
        </is>
      </c>
      <c r="Q60" s="86" t="inlineStr">
        <is>
          <t>Spec §11</t>
        </is>
      </c>
      <c r="R60" s="111" t="inlineStr">
        <is>
          <t>Started 2026-10-05: its blocker 2S4-FE-02 is Done; scope includes making CI green (stale loop specs, the e2e 429, P9-QA-01 clauses 4-5). | e2e/marketplace-path.spec.ts walks team + athlete onboarding, roster, listing, purchase within the spending limit, the exact split, payment, delivery, automatic payout and reserve release to CLOSED with nobody approving. Stale loop-p3/p4/p5/p7 specs and next-edition-e2e clauses 4-5 updated for automation; the 429s were Clerk getUser on every request (now only at first link). CI fully green, run 37281259338. 2026-10-05 | Merged to main_development 2026-10-05 (PR #153).</t>
        </is>
      </c>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Done</t>
        </is>
      </c>
      <c r="J61" s="108" t="n">
        <v>5</v>
      </c>
      <c r="K61" s="109" t="n">
        <v>46300</v>
      </c>
      <c r="L61" s="109" t="n">
        <v>46300</v>
      </c>
      <c r="M61" s="110" t="inlineStr">
        <is>
          <t>rcfworks</t>
        </is>
      </c>
      <c r="N61" s="81" t="n">
        <v>0</v>
      </c>
      <c r="O61" s="80" t="inlineStr">
        <is>
          <t>2S5-INT-02</t>
        </is>
      </c>
      <c r="P61" s="80" t="inlineStr">
        <is>
          <t>Every failure mode is handled without financial inconsistency</t>
        </is>
      </c>
      <c r="Q61" s="82" t="inlineStr">
        <is>
          <t>Spec §11, §38</t>
        </is>
      </c>
      <c r="R61" s="111" t="inlineStr">
        <is>
          <t>Started 2026-10-05 against the stand-in payment provider; Stripe plugs in later through 2S5-INT-01. | payment-failures.test breaks duplicates, reordering, declined cards, expired reservations, failed payouts, provider outages (STANDIN_OUTAGE, timeouts), DB failure mid-event and reward outages, asserting the books balance after each. Wallet provider outages split to 2S6-QA-01 (no wallet adapter yet), owner decision 2026-10-05. 2026-10-05</t>
        </is>
      </c>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Done</t>
        </is>
      </c>
      <c r="J62" s="108" t="n">
        <v>5</v>
      </c>
      <c r="K62" s="109" t="n">
        <v>46296</v>
      </c>
      <c r="L62" s="109" t="n">
        <v>46297</v>
      </c>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 | Reviewed 2026-10-02: tests/phase2-reconciliation.test.ts — a full cycle through the API (card, Zoho invoice, manual pay, line and order refunds, payouts incl. a rejection, reserve release); trial balance, ledger vs payments vs payouts, per-payee identity; tolerance exactly 0 cents. Found no money bug.</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Done</t>
        </is>
      </c>
      <c r="J64" s="108" t="n">
        <v>3</v>
      </c>
      <c r="K64" s="109" t="n">
        <v>46300</v>
      </c>
      <c r="L64" s="109" t="n">
        <v>46300</v>
      </c>
      <c r="M64" s="110" t="inlineStr">
        <is>
          <t>rcfworks</t>
        </is>
      </c>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 | Started 2026-10-05; review runs once 2S8-QA-01 is green. | OWASP Top 10 review in documentation/SponsorX-Security-Review-2026-10.md, with fixes and tests (deliverable file keys, staging stand-in secret, contact-form copy, headers, Clerk sign-out, webhook raw body, rate-limit expiry). Production audit 0 (next 16.3.8); one dev-only allowlisted advisory, reviewBy 2027-01-05. Nightly CI security job + secret scan. _PREVIOUS rotation for five secrets + documentation/SponsorX-Secrets-Rotation.md. Open owner decisions listed in the review. 2026-10-05 | Merged to main_development 2026-10-05 (PR #153). Follow-ups raised as 2S8-SEC-03/04/05, 2S8-QA-07 and 2S8-PMO-02.</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Done</t>
        </is>
      </c>
      <c r="J65" s="108" t="n">
        <v>3</v>
      </c>
      <c r="K65" s="109" t="n">
        <v>46302</v>
      </c>
      <c r="L65" s="109" t="n">
        <v>46302</v>
      </c>
      <c r="M65" s="110" t="inlineStr">
        <is>
          <t>rcfworks</t>
        </is>
      </c>
      <c r="N65" s="81" t="n">
        <v>0</v>
      </c>
      <c r="O65" s="80" t="inlineStr">
        <is>
          <t>2S0-OPS-01</t>
        </is>
      </c>
      <c r="P65" s="80" t="inlineStr">
        <is>
          <t>Documented restore test passes and meets the agreed RPO/RTO</t>
        </is>
      </c>
      <c r="Q65" s="82" t="inlineStr">
        <is>
          <t>Spec §38</t>
        </is>
      </c>
      <c r="R65" s="111" t="inlineStr">
        <is>
          <t>2026-09-28 WAITING ON: Phase 1 completion. | 2026-10-07: staging PITR restore matched live exactly, usable in ~9.5 min (RPO/RTO met); rollback 41 s / roll-forward 51 s; alerting built (/health/full, /api/v1/public/health, health-monitor.yml every 15 min, Slack on change). Done after deploy + a delivered test alert. | 2026-10-07: deployed to staging and production (aae0ca2); /api/v1/public/health returns ok in both (db, redis, storage, backups archived &lt; 1 min). Test alert delivered to Slack (health-monitor run 37584104464); monitor now checks both environments every 15 min. Restore test passed within RPO/RTO; rollback exercised.</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Simulated outside users onboard on staging, transact, and get paid, before anything goes live — new people each run, signing up through the normal pages, never the tester facility (npm run uat:phase2). The first real outside team is checked at go-live: 2S8-PMO-03. Changed 2026-10-09 with the owner's authority.</t>
        </is>
      </c>
      <c r="I66" s="108" t="inlineStr">
        <is>
          <t>Done</t>
        </is>
      </c>
      <c r="J66" s="108" t="n">
        <v>5</v>
      </c>
      <c r="K66" s="109" t="n">
        <v>46302</v>
      </c>
      <c r="L66" s="109" t="n">
        <v>46304</v>
      </c>
      <c r="M66" s="110" t="inlineStr">
        <is>
          <t>rcfworks</t>
        </is>
      </c>
      <c r="N66" s="85" t="n">
        <v>0</v>
      </c>
      <c r="O66" s="84" t="inlineStr">
        <is>
          <t>2S8-QA-01</t>
        </is>
      </c>
      <c r="P66" s="84" t="inlineStr">
        <is>
          <t>All 14 Phase 2 acceptance criteria demonstrated, or explicitly deferred with the reason (#11 wallet, parked), and signed off; the simulated-user run passes on staging with its evidence recorded</t>
        </is>
      </c>
      <c r="Q66" s="86" t="inlineStr">
        <is>
          <t>Spec §12</t>
        </is>
      </c>
      <c r="R66" s="111" t="inlineStr">
        <is>
          <t>2026-09-28 WAITING ON: Phase 2 QA (2S8-QA-01), which waits on the checkout frontend (2S4-FE-02) and so on the payment provider. | 2026-10-07: sign-off record documentation/SponsorX-Phase2-Acceptance-Signoff.md — 12 of 14 criteria demonstrated, #13 Zoho partly (simulated Zoho only; no live marketplace order checked in the Zoho sandbox), #11 wallet not built. Still needed: real external users on staging (18-step UAT plan in the doc, ~1 week) and the owner sign-off. | 2026-10-09: simulated-user UAT PASSED on staging, all 17 steps (run 2610090617, order SX-OA44ZADS, Stripe transfers tr_1UOYJrKA9GZ8RRgKdFIIEdPe / tr_1UOYJtKA9GZ8RRgKV0Wi39bU, Zoho records read back from the sandbox). #13 Zoho now Demonstrated; #11 wallet deferred (Rodney, until further notice). Evidence: documentation/uat-evidence/phase2-2610090617/. WAITING ON: the sign-off record signed (the user, with Rodney's delegated authority). | 2026-10-09: Code review — PR #180 (its e2e check fails on /admin/audit, a P1-FE-31 frontend fault already failing on main_development since e0187f0, not this PR). Done when the sign-off is signed. | 2026-10-09: SIGNED OFF — Phase 2 accepted (13 demonstrated, #11 deferred), signed by rcfworks with Rodney's delegated authority. 2S8-PMO-03 stays Blocked on go-live.</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Done</t>
        </is>
      </c>
      <c r="J72" s="108" t="n">
        <v>3</v>
      </c>
      <c r="K72" s="109" t="n">
        <v>46296</v>
      </c>
      <c r="L72" s="109" t="n">
        <v>46302</v>
      </c>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 | Verified 2026-10-07 in the browser: an independent athlete (no team) builds items, lists them, sees one go live automatically and one held with its reason (restricted words) then live after BTG; pause/resume shown; audit rows present.</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Done</t>
        </is>
      </c>
      <c r="J73" s="108" t="n">
        <v>4</v>
      </c>
      <c r="K73" s="109" t="n">
        <v>46295</v>
      </c>
      <c r="L73" s="109" t="n">
        <v>46302</v>
      </c>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 | Verified 2026-10-07: athlete and team each set up payouts, request, and follow to Paid on the stand-in; team page figures equal the ledger ($151.05 booked, $135.64 paid, $15.41 reserve; reconciles: true).</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Done</t>
        </is>
      </c>
      <c r="J74" s="108" t="n">
        <v>3</v>
      </c>
      <c r="K74" s="109" t="n">
        <v>46295</v>
      </c>
      <c r="L74" s="109" t="n">
        <v>46302</v>
      </c>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 | Verified 2026-10-07: a payout held for BTG is approved on /admin/payouts and reaches Paid; another is sent back with a required note (money returns, email queued); payout.approve / payout.reject and the rest are in the audit log.</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Done</t>
        </is>
      </c>
      <c r="J75" s="108" t="n">
        <v>2</v>
      </c>
      <c r="K75" s="109" t="n">
        <v>46295</v>
      </c>
      <c r="L75" s="109" t="n">
        <v>46303</v>
      </c>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 | Verified 2026-10-07: pay by card, decline then retry, Paid, and the payment.received email queued for the sponsor. Open: on staging no receipt has been delivered (test sponsors use @example.com, which Resend rejects); needs one staging payment by a sponsor with a real address. Also found: the receipt goes to the signed-in user, not the billing contact the checkout copy names. | 2026-10-08 checked staging read-only: NOT MET. The only payment.received receipt ever queued on staging (2026-10-06) went to an @example.com address and failed; none has been delivered. Needs one staging payment by a sponsor with a real inbox (the dev Clerk instance is at its 100-user cap, so an existing sponsor login is needed). The billing-contact vs signed-in-user recipient question is still open. | 2026-10-08 FIXED (backend, order-mail.ts tellSponsorPaid): the receipt now goes to the billing contact confirmed at checkout, as the checkout copy promises; the sponsor user who placed/paid gets a copy when that is a different address (case-insensitive), one receipt when it is the same. Tests: phase2-order-automation (new same-address case, mutation-checked), payment-webhooks, phase2-payouts updated; full backend suite 3,008/3,008. Still Code review until deployed to staging and one test payment with a real billing email shows the receipt delivered. | 2026-10-08 DONE — every clause met. Pay by card, decline then retry, Paid: verified 2026-10-07 (and staging order SX-BK6HZ86G paid on Stripe 2026-10-06). A sponsor email confirms the payment: proven on staging after the receipt fix (release #176, deployed 6669472) by `npm run smoke:receipt` (backend/scripts/smoke-receipt.mjs) — order SX-KLNH17FX placed and paid, its payment.received receipt sent to the billing contact delivered+smoke-20261008041202@resend.dev and accepted by Resend (notify.email job completed). The sponsor's copy is queued to the test sponsor's @example.com address, which Resend refuses (expected on staging).</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Done</t>
        </is>
      </c>
      <c r="J76" s="108" t="n">
        <v>2</v>
      </c>
      <c r="K76" s="109" t="n">
        <v>46296</v>
      </c>
      <c r="L76" s="109" t="n">
        <v>46297</v>
      </c>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 | Reviewed 2026-10-02: the athlete seller is named in the shop card, cart line, checkout, sponsor order page, BTG listing queue and BTG order page; seller count by id.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Done</t>
        </is>
      </c>
      <c r="J102" s="108" t="n">
        <v>2</v>
      </c>
      <c r="K102" s="109" t="n">
        <v>46296</v>
      </c>
      <c r="L102" s="109" t="n">
        <v>46302</v>
      </c>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 | 2026-10-07: delivery proven on staging — two contact-form messages (one with a PNG attachment, stored privately and sent as a secure link per 2S0-SEC-01 O1) sent to support@sponsorx.net and forwarded to the BTG inbox, plus copies to the sender; 4/4 emails sent, 0 failed. Queue retries and the support address on guardian/rejection emails covered by phase2-support tests.</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Done</t>
        </is>
      </c>
      <c r="J103" s="108" t="n">
        <v>1</v>
      </c>
      <c r="K103" s="109" t="n">
        <v>46302</v>
      </c>
      <c r="L103" s="109" t="n">
        <v>46302</v>
      </c>
      <c r="M103" s="110" t="inlineStr">
        <is>
          <t>rcfworks</t>
        </is>
      </c>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 | 2026-10-07: Cloudflare Email Routing on sponsorx.net (MX route1-3.mx.cloudflare.net + SPF + DKIM); support@sponsorx.net forwards to infinex1@icarrefound.org (owner choice, temporary; move to Zoho Desk later). SUPPORT_MAILBOX_READY=true on staging and production. Test messages from the staging contact form sent and received (owner confirmed).</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Done</t>
        </is>
      </c>
      <c r="J116" s="108" t="n">
        <v>1</v>
      </c>
      <c r="K116" s="109" t="n">
        <v>46297</v>
      </c>
      <c r="L116" s="109" t="n">
        <v>46297</v>
      </c>
      <c r="M116" s="110" t="inlineStr">
        <is>
          <t>rcfworks</t>
        </is>
      </c>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 | Reviewed 2026-10-02: causes found and isolated — a shared test tenant id (np_tenant), a slug shared with the walkthrough seed (riley-carter), a platform-wide coming-of-age sweep run with the clock 91 days ahead, and test servers bound to all addresses on macOS. Guard tests/suite-isolation.static.test.ts. Six consecutive clean runs; the only remaining failures are P9-QA-01 clauses 4-5, awaiting its owner for the new artwork gate (P9-BE-16).</t>
        </is>
      </c>
    </row>
    <row r="117">
      <c r="A117" s="112" t="n">
        <v>60.6</v>
      </c>
      <c r="B117" s="113" t="inlineStr">
        <is>
          <t>2S8-OPS-02</t>
        </is>
      </c>
      <c r="C117" s="85" t="n">
        <v>8</v>
      </c>
      <c r="D117" s="86" t="inlineStr">
        <is>
          <t>Sprint 8 · QA, security &amp; rollout</t>
        </is>
      </c>
      <c r="E117" s="121" t="inlineStr">
        <is>
          <t>OPS</t>
        </is>
      </c>
      <c r="F117" s="122" t="inlineStr">
        <is>
          <t>Code</t>
        </is>
      </c>
      <c r="G117" s="84" t="inlineStr">
        <is>
          <t>Pin the database time zone to UTC</t>
        </is>
      </c>
      <c r="H117" s="116" t="inlineStr">
        <is>
          <t>Timestamp columns hold UTC as timestamp-without-time-zone, but some SQL compares them with now() in the session's time zone: worker/jobs/expire-invitations.mts and the edition function in migration 20260925120000. They are correct only if the database session runs in UTC; on the local dev database (Asia/Manila) they are 8 hours off. Pin the time zone: ALTER DATABASE … SET timezone='UTC' on staging and production (and docker-compose, CI), and make the two SQL sites use now() AT TIME ZONE 'UTC' so they don't depend on it.</t>
        </is>
      </c>
      <c r="I117" s="108" t="inlineStr">
        <is>
          <t>Done</t>
        </is>
      </c>
      <c r="J117" s="108" t="n">
        <v>1</v>
      </c>
      <c r="K117" s="109" t="n">
        <v>46300</v>
      </c>
      <c r="L117" s="109" t="n">
        <v>46300</v>
      </c>
      <c r="M117" s="110" t="inlineStr">
        <is>
          <t>rcfworks</t>
        </is>
      </c>
      <c r="N117" s="85" t="n"/>
      <c r="O117" s="84" t="n"/>
      <c r="P117" s="84" t="inlineStr">
        <is>
          <t>Every environment's database runs in UTC, and no SQL depends on the session time zone; a test running under a non-UTC session passes</t>
        </is>
      </c>
      <c r="Q117" s="86" t="inlineStr">
        <is>
          <t>2S8-QA-04 investigation (2026-10-02)</t>
        </is>
      </c>
      <c r="R117" s="111" t="inlineStr">
        <is>
          <t>Raised 2026-10-02 by the 2S8-QA-04 investigation. | Started 2026-10-05. | Migration 20261005100000_utc_time_zone pins the database to UTC and redefines adslot_guard_sale; expire-invitations uses now() AT TIME ZONE UTC; Prisma + worker pools force TimeZone=UTC; docker-compose and CI pinned; utc-session.test passes under Manila and LA sessions. Done once the next deploy applies the migration on staging and production. | Merged to main_development 2026-10-05 (PR #153); Done once main is deployed to staging and production. | Staging deployed 2026-10-05 at 9865881: migration applied, database reports TimeZone=UTC (session and database setting). Production deploy pending; Done once it runs. | Production deployed 2026-10-05 at 9865881 (32 migrations applied); production and staging databases both report TimeZone=UTC (session and database setting). Every environment now runs in UTC.</t>
        </is>
      </c>
    </row>
    <row r="118" s="75">
      <c r="A118" s="112" t="n">
        <v>60.7</v>
      </c>
      <c r="B118" s="113" t="inlineStr">
        <is>
          <t>2S8-QA-05</t>
        </is>
      </c>
      <c r="C118" s="85" t="n">
        <v>8</v>
      </c>
      <c r="D118" s="86" t="inlineStr">
        <is>
          <t>Sprint 8 · QA, security &amp; rollout</t>
        </is>
      </c>
      <c r="E118" s="121" t="inlineStr">
        <is>
          <t>QA</t>
        </is>
      </c>
      <c r="F118" s="122" t="inlineStr">
        <is>
          <t>Code</t>
        </is>
      </c>
      <c r="G118" s="84" t="inlineStr">
        <is>
          <t>Three robustness gaps found while isolating the suite</t>
        </is>
      </c>
      <c r="H118" s="116" t="inlineStr">
        <is>
          <t>(1) Two applicants with the same display name at the same moment can collide on the athlete slug (uniqueSlug in application-intake.ts checks then inserts), so one gets a 500. (2) The walkthrough seed (worker/jobs/seed-personas.mts) only skips rows whose id exists, so a real applicant who already took the slug riley-carter would make it fail. (3) The payee's payout page rounds each order's figure up to zero, so a payee who owes money back after a refund that follows a payout doesn't see it.</t>
        </is>
      </c>
      <c r="I118" s="108" t="inlineStr">
        <is>
          <t>Done</t>
        </is>
      </c>
      <c r="J118" s="108" t="n">
        <v>1</v>
      </c>
      <c r="K118" s="109" t="n">
        <v>46300</v>
      </c>
      <c r="L118" s="109" t="n">
        <v>46300</v>
      </c>
      <c r="M118" s="110" t="inlineStr">
        <is>
          <t>rcfworks</t>
        </is>
      </c>
      <c r="N118" s="85" t="n"/>
      <c r="O118" s="84" t="n"/>
      <c r="P118" s="84" t="inlineStr">
        <is>
          <t>Same-name applicants never error; the seed runs on a non-empty database; a negative balance after a refund shows on the payee's payout page</t>
        </is>
      </c>
      <c r="Q118" s="86" t="inlineStr">
        <is>
          <t>2S8-QA-04 investigation (2026-10-02)</t>
        </is>
      </c>
      <c r="R118" s="111" t="inlineStr">
        <is>
          <t>Raised 2026-10-02 by the 2S8-QA-04 investigation. | Started 2026-10-05. | Same-name slugs retry under a savepoint (athlete-slug-race.test, 6 concurrent); seed-personas picks a free slug and skips on an email clash (pilot-school.test); GET /payouts/me returns balanceCents/owedBackCents and the athlete + property payout pages show money owed back (phase2-payouts.test, payouts-live.test). 2026-10-05 | Merged to main_development 2026-10-05 (PR #153).</t>
        </is>
      </c>
    </row>
    <row r="119" s="75">
      <c r="A119" s="112" t="n">
        <v>36.8</v>
      </c>
      <c r="B119" s="113" t="inlineStr">
        <is>
          <t>2S4-BE-12</t>
        </is>
      </c>
      <c r="C119" s="85" t="n">
        <v>4</v>
      </c>
      <c r="D119" s="86" t="inlineStr">
        <is>
          <t>Sprint 4 · Cart, reservations &amp; orders</t>
        </is>
      </c>
      <c r="E119" s="121" t="inlineStr">
        <is>
          <t>BE</t>
        </is>
      </c>
      <c r="F119" s="122" t="inlineStr">
        <is>
          <t>Code</t>
        </is>
      </c>
      <c r="G119" s="84" t="inlineStr">
        <is>
          <t>Cancelling a paid line: by the sponsor, by the seller; BTG only on disagreement</t>
        </is>
      </c>
      <c r="H119" s="116" t="inlineStr">
        <is>
          <t>A paid line not yet delivered. The sponsor cancels free until 3 days before its first date (refunded at once); closer than that the sponsor asks the seller, who has 72 hours (or until the first date): agreeing refunds the line, saying no or not answering sends it to BTG (keep or refund). From the first date: report a problem instead. The seller can cancel a line they can't deliver, with a reason; the sponsor is refunded at once. Two seller cancellations in 90 days hold that seller's new listings for BTG. Cancellation refunds don't stop the sponsor's spending limit rising.</t>
        </is>
      </c>
      <c r="I119" s="108" t="inlineStr">
        <is>
          <t>Done</t>
        </is>
      </c>
      <c r="J119" s="108" t="n">
        <v>3</v>
      </c>
      <c r="K119" s="109" t="n">
        <v>46297</v>
      </c>
      <c r="L119" s="109" t="n">
        <v>46297</v>
      </c>
      <c r="M119" s="110" t="inlineStr">
        <is>
          <t>rcfworks</t>
        </is>
      </c>
      <c r="N119" s="85" t="inlineStr">
        <is>
          <t>2S4-FE-06</t>
        </is>
      </c>
      <c r="O119" s="84" t="inlineStr">
        <is>
          <t>2S4-BE-07, 2S4-BE-11, 2S3-BE-06</t>
        </is>
      </c>
      <c r="P119" s="84" t="inlineStr">
        <is>
          <t>A sponsor cancels free before the cut-off and asks the seller after it; the seller agrees, declines or misses the deadline, and only the last two reach BTG; a seller cancels with a reason and the sponsor is refunded; a second seller cancellation within 90 days holds that seller's new listings; every refund happens once under concurrent clicks and the sweep</t>
        </is>
      </c>
      <c r="Q119" s="86" t="inlineStr">
        <is>
          <t>BTG admin review item 13, 2026-10-02</t>
        </is>
      </c>
      <c r="R119" s="111" t="inlineStr">
        <is>
          <t>Raised 2026-10-02 from the BTG admin review (item 13). Owner decisions: free cancellation until 3 days before; 2 seller cancellations in 90 days. | Reviewed 2026-10-02: 2311/2313 backend tests on two runs (only the known next-edition-e2e clauses 4-5 fail); every acceptance clause has a passing test in phase2-line-cancellation.</t>
        </is>
      </c>
    </row>
    <row r="120" s="75">
      <c r="A120" s="112" t="n">
        <v>36.9</v>
      </c>
      <c r="B120" s="113" t="inlineStr">
        <is>
          <t>2S4-BE-13</t>
        </is>
      </c>
      <c r="C120" s="85" t="n">
        <v>4</v>
      </c>
      <c r="D120" s="86" t="inlineStr">
        <is>
          <t>Sprint 4 · Cart, reservations &amp; orders</t>
        </is>
      </c>
      <c r="E120" s="121" t="inlineStr">
        <is>
          <t>BE</t>
        </is>
      </c>
      <c r="F120" s="122" t="inlineStr">
        <is>
          <t>Code</t>
        </is>
      </c>
      <c r="G120" s="84" t="inlineStr">
        <is>
          <t>Refunds to send</t>
        </is>
      </c>
      <c r="H120" s="116" t="inlineStr">
        <is>
          <t>Every refund of money actually received (a cancellation, an agreed problem refund, BTG's refund, a payment that arrived after cancellation) makes one row on Finance's Refunds to send list. Card refunds go back through the payment provider when it can (the staging stand-in does at once; production leaves the row open until a provider is connected). Finance marks the rest refunded with a method, reference and date; the sponsor is emailed and sees Refund on its way, then Refund sent. Zoho-invoiced orders remind Finance to issue a credit note.</t>
        </is>
      </c>
      <c r="I120" s="108" t="inlineStr">
        <is>
          <t>Done</t>
        </is>
      </c>
      <c r="J120" s="108" t="n">
        <v>2</v>
      </c>
      <c r="K120" s="109" t="n">
        <v>46297</v>
      </c>
      <c r="L120" s="109" t="n">
        <v>46297</v>
      </c>
      <c r="M120" s="110" t="inlineStr">
        <is>
          <t>rcfworks</t>
        </is>
      </c>
      <c r="N120" s="85" t="inlineStr">
        <is>
          <t>2S4-FE-06</t>
        </is>
      </c>
      <c r="O120" s="84" t="inlineStr">
        <is>
          <t>2S4-BE-10, 2S4-BE-12</t>
        </is>
      </c>
      <c r="P120" s="84" t="inlineStr">
        <is>
          <t>Each refund path makes exactly one row and an unpaid order makes none; BTG admin and Finance alone can mark a row sent, with a reference; the sponsor sees the refund's state and never a method or a reference</t>
        </is>
      </c>
      <c r="Q120" s="86" t="inlineStr">
        <is>
          <t>BTG admin review item 13, 2026-10-02</t>
        </is>
      </c>
      <c r="R120" s="111" t="inlineStr">
        <is>
          <t>Raised 2026-10-02 from the BTG admin review (item 13). | Reviewed 2026-10-02: each refund cause asserted; a card paid after cancellation gets its own row per attempt.</t>
        </is>
      </c>
    </row>
    <row r="121" s="75">
      <c r="A121" s="112" t="n">
        <v>38.6</v>
      </c>
      <c r="B121" s="113" t="inlineStr">
        <is>
          <t>2S4-FE-06</t>
        </is>
      </c>
      <c r="C121" s="85" t="n">
        <v>4</v>
      </c>
      <c r="D121" s="86" t="inlineStr">
        <is>
          <t>Sprint 4 · Cart, reservations &amp; orders</t>
        </is>
      </c>
      <c r="E121" s="121" t="inlineStr">
        <is>
          <t>FE</t>
        </is>
      </c>
      <c r="F121" s="122" t="inlineStr">
        <is>
          <t>Code</t>
        </is>
      </c>
      <c r="G121" s="84" t="inlineStr">
        <is>
          <t>Cancellations and refunds, on screen</t>
        </is>
      </c>
      <c r="H121" s="116" t="inlineStr">
        <is>
          <t>Built from the Claude Design file OrderCancellations. Sponsor: Cancel this session or Ask the seller to cancel, with the free-until date; the seller's answer; the refund's state. Seller: Can't deliver this session? (with the 90-day warning); answer a cancellation request. BTG: escalated cancellations on the Delivery issues desk. BTG and Finance: the Refunds to send page and the Mark refunded dialog.</t>
        </is>
      </c>
      <c r="I121" s="108" t="inlineStr">
        <is>
          <t>Done</t>
        </is>
      </c>
      <c r="J121" s="108" t="n">
        <v>3</v>
      </c>
      <c r="K121" s="109" t="n">
        <v>46297</v>
      </c>
      <c r="L121" s="109" t="n">
        <v>46297</v>
      </c>
      <c r="M121" s="110" t="inlineStr">
        <is>
          <t>rcfworks</t>
        </is>
      </c>
      <c r="N121" s="85" t="n"/>
      <c r="O121" s="84" t="inlineStr">
        <is>
          <t>2S4-BE-12, 2S4-BE-13</t>
        </is>
      </c>
      <c r="P121" s="84" t="inlineStr">
        <is>
          <t>Each party sees its next step and deadline: the sponsor can cancel or ask, the seller can cancel or answer, BTG decides only escalated requests, and Finance can mark a refund sent with a reference</t>
        </is>
      </c>
      <c r="Q121" s="86" t="inlineStr">
        <is>
          <t>BTG admin review item 13, 2026-10-02</t>
        </is>
      </c>
      <c r="R121" s="111" t="inlineStr">
        <is>
          <t>Raised 2026-10-02. Waiting for the OrderCancellations design from Claude Design. | Design received 2026-10-02 (OrderCancellations.dc.html); build started. | Reviewed 2026-10-02: all 14 design states built; frontend 1068/1068, tsc and eslint clean.</t>
        </is>
      </c>
    </row>
    <row r="122" s="75">
      <c r="A122" s="112" t="n">
        <v>44.1</v>
      </c>
      <c r="B122" s="113" t="inlineStr">
        <is>
          <t>2S5-BE-06</t>
        </is>
      </c>
      <c r="C122" s="85" t="n">
        <v>5</v>
      </c>
      <c r="D122" s="86" t="inlineStr">
        <is>
          <t>Sprint 5 · Payments, ledger &amp; payouts</t>
        </is>
      </c>
      <c r="E122" s="121" t="inlineStr">
        <is>
          <t>BE</t>
        </is>
      </c>
      <c r="F122" s="122" t="inlineStr">
        <is>
          <t>Code</t>
        </is>
      </c>
      <c r="G122" s="84" t="inlineStr">
        <is>
          <t>Payouts approved automatically</t>
        </is>
      </c>
      <c r="H122" s="116" t="inlineStr">
        <is>
          <t>A payout request is approved the moment it's made when the four checks pass (payment in, delivery confirmed, payout account ready, holding period passed), the payee isn't on hold, and it's under $2,000. A first payout needs no extra review. To BTG instead: the payout account changed in the last 7 days, or the payee's automatic approvals in 7 days (Phase 1 earnings included) would reach $5,000. BTG sees the reasons; the payee sees 'BTG is reviewing this payout'.</t>
        </is>
      </c>
      <c r="I122" s="108" t="inlineStr">
        <is>
          <t>Done</t>
        </is>
      </c>
      <c r="J122" s="108" t="n">
        <v>2</v>
      </c>
      <c r="K122" s="109" t="n">
        <v>46297</v>
      </c>
      <c r="L122" s="109" t="n">
        <v>46297</v>
      </c>
      <c r="M122" s="110" t="inlineStr">
        <is>
          <t>rcfworks</t>
        </is>
      </c>
      <c r="N122" s="85" t="inlineStr">
        <is>
          <t>2S5-FE-06</t>
        </is>
      </c>
      <c r="O122" s="84" t="inlineStr">
        <is>
          <t>2S5-BE-05</t>
        </is>
      </c>
      <c r="P122" s="84" t="inlineStr">
        <is>
          <t>A payout passing every check under $2,000 is approved without a person, a first payout included; a recent account change, the 7-day $5,000 total, a hold, or $2,000 or more sends it to BTG with the reason; two requests at once can't both pass the 7-day total</t>
        </is>
      </c>
      <c r="Q122" s="86" t="inlineStr">
        <is>
          <t>BTG admin review item 14, 2026-10-02</t>
        </is>
      </c>
      <c r="R122" s="111" t="inlineStr">
        <is>
          <t>Raised 2026-10-02 from the BTG admin review (item 14). Owner decisions: $2,000 limit; no first-payout review if the provider account is good; both safeguards. | Reviewed 2026-10-02: backend 2348/2350 on two runs (only next-edition-e2e 4-5); limit, first payout, account change, 7-day cap, hold and concurrency tested.</t>
        </is>
      </c>
    </row>
    <row r="123" s="75">
      <c r="A123" s="112" t="n">
        <v>44.2</v>
      </c>
      <c r="B123" s="113" t="inlineStr">
        <is>
          <t>2S5-BE-07</t>
        </is>
      </c>
      <c r="C123" s="85" t="n">
        <v>5</v>
      </c>
      <c r="D123" s="86" t="inlineStr">
        <is>
          <t>Sprint 5 · Payments, ledger &amp; payouts</t>
        </is>
      </c>
      <c r="E123" s="121" t="inlineStr">
        <is>
          <t>BE</t>
        </is>
      </c>
      <c r="F123" s="122" t="inlineStr">
        <is>
          <t>Code</t>
        </is>
      </c>
      <c r="G123" s="84" t="inlineStr">
        <is>
          <t>Failed payouts retried automatically</t>
        </is>
      </c>
      <c r="H123" s="116" t="inlineStr">
        <is>
          <t>Temporary provider failures retry up to 3 times (about 1, 6 and 24 hours); an account failure emails the payee to fix it and retries once the account is ready; anything else, or a failure that doesn't clear, goes to BTG, whose Retry still works.</t>
        </is>
      </c>
      <c r="I123" s="108" t="inlineStr">
        <is>
          <t>Done</t>
        </is>
      </c>
      <c r="J123" s="108" t="n">
        <v>1</v>
      </c>
      <c r="K123" s="109" t="n">
        <v>46297</v>
      </c>
      <c r="L123" s="109" t="n">
        <v>46297</v>
      </c>
      <c r="M123" s="110" t="inlineStr">
        <is>
          <t>rcfworks</t>
        </is>
      </c>
      <c r="N123" s="85" t="inlineStr">
        <is>
          <t>2S5-FE-06</t>
        </is>
      </c>
      <c r="O123" s="84" t="inlineStr">
        <is>
          <t>2S5-BE-05</t>
        </is>
      </c>
      <c r="P123" s="84" t="inlineStr">
        <is>
          <t>Temporary failures retry on the schedule and stop after 3; an account failure emails the payee and retries when the account is ready; only the rest reach BTG; no retry is sent twice</t>
        </is>
      </c>
      <c r="Q123" s="86" t="inlineStr">
        <is>
          <t>BTG admin review item 15, 2026-10-02</t>
        </is>
      </c>
      <c r="R123" s="111" t="inlineStr">
        <is>
          <t>Raised 2026-10-02 from the BTG admin review (item 15). | Reviewed 2026-10-02: TEMPORARY, ACCOUNT and OTHER failures tested; sweep idempotent.</t>
        </is>
      </c>
    </row>
    <row r="124" s="75">
      <c r="A124" s="112" t="n">
        <v>44.3</v>
      </c>
      <c r="B124" s="113" t="inlineStr">
        <is>
          <t>2S5-BE-08</t>
        </is>
      </c>
      <c r="C124" s="85" t="n">
        <v>5</v>
      </c>
      <c r="D124" s="86" t="inlineStr">
        <is>
          <t>Sprint 5 · Payments, ledger &amp; payouts</t>
        </is>
      </c>
      <c r="E124" s="121" t="inlineStr">
        <is>
          <t>BE</t>
        </is>
      </c>
      <c r="F124" s="122" t="inlineStr">
        <is>
          <t>Code</t>
        </is>
      </c>
      <c r="G124" s="84" t="inlineStr">
        <is>
          <t>Phase 1 earnings approved for payout automatically</t>
        </is>
      </c>
      <c r="H124" s="116" t="inlineStr">
        <is>
          <t>An earning that becomes eligible moves on to approved for payout when it isn't held or disputed, the athlete isn't on hold, it's under $2,000 and within the athlete's 7-day $5,000 automatic total. Otherwise it stays eligible for Finance with the reasons. Paid stays with Finance until a provider is connected.</t>
        </is>
      </c>
      <c r="I124" s="108" t="inlineStr">
        <is>
          <t>Done</t>
        </is>
      </c>
      <c r="J124" s="108" t="n">
        <v>1</v>
      </c>
      <c r="K124" s="109" t="n">
        <v>46297</v>
      </c>
      <c r="L124" s="109" t="n">
        <v>46297</v>
      </c>
      <c r="M124" s="110" t="inlineStr">
        <is>
          <t>rcfworks</t>
        </is>
      </c>
      <c r="N124" s="85" t="inlineStr">
        <is>
          <t>2S5-FE-06</t>
        </is>
      </c>
      <c r="O124" s="84" t="inlineStr">
        <is>
          <t>P7-BE-02, 2S5-BE-06</t>
        </is>
      </c>
      <c r="P124" s="84" t="inlineStr">
        <is>
          <t>An eligible earning within the rule is approved for payout without a person; one outside it stays eligible with its reasons; held and disputed earnings are never touched; paid stays manual</t>
        </is>
      </c>
      <c r="Q124" s="86" t="inlineStr">
        <is>
          <t>BTG admin review item 17, 2026-10-02</t>
        </is>
      </c>
      <c r="R124" s="111" t="inlineStr">
        <is>
          <t>Raised 2026-10-02 from the BTG admin review (item 17). | Reviewed 2026-10-02: auto-approve, reasons, HELD/DISPUTED untouched, PAID manual tested.</t>
        </is>
      </c>
    </row>
    <row r="125" s="75">
      <c r="A125" s="112" t="n">
        <v>47.6</v>
      </c>
      <c r="B125" s="113" t="inlineStr">
        <is>
          <t>2S5-FE-06</t>
        </is>
      </c>
      <c r="C125" s="85" t="n">
        <v>5</v>
      </c>
      <c r="D125" s="86" t="inlineStr">
        <is>
          <t>Sprint 5 · Payments, ledger &amp; payouts</t>
        </is>
      </c>
      <c r="E125" s="121" t="inlineStr">
        <is>
          <t>FE</t>
        </is>
      </c>
      <c r="F125" s="122" t="inlineStr">
        <is>
          <t>Code</t>
        </is>
      </c>
      <c r="G125" s="84" t="inlineStr">
        <is>
          <t>Automatic payouts, on screen</t>
        </is>
      </c>
      <c r="H125" s="116" t="inlineStr">
        <is>
          <t>Small changes to the existing payout screens, no new design. BTG: Approved automatically, the reasons a payout waits, the retry status, and a needs-BTG view. Payees: Approved automatically, BTG is reviewing this payout, Fix your payout account. Finance: Approved automatically on Phase 1 earnings.</t>
        </is>
      </c>
      <c r="I125" s="108" t="inlineStr">
        <is>
          <t>Done</t>
        </is>
      </c>
      <c r="J125" s="108" t="n">
        <v>1</v>
      </c>
      <c r="K125" s="109" t="n">
        <v>46297</v>
      </c>
      <c r="L125" s="109" t="n">
        <v>46297</v>
      </c>
      <c r="M125" s="110" t="inlineStr">
        <is>
          <t>rcfworks</t>
        </is>
      </c>
      <c r="N125" s="85" t="n"/>
      <c r="O125" s="84" t="inlineStr">
        <is>
          <t>2S5-BE-06, 2S5-BE-07, 2S5-BE-08</t>
        </is>
      </c>
      <c r="P125" s="84" t="inlineStr">
        <is>
          <t>Each payout and earning shows whether it was approved automatically or why it waits, and BTG's list defaults to what needs BTG</t>
        </is>
      </c>
      <c r="Q125" s="86" t="inlineStr">
        <is>
          <t>BTG admin review items 14, 15 and 17, 2026-10-02</t>
        </is>
      </c>
      <c r="R125" s="111" t="inlineStr">
        <is>
          <t>Raised 2026-10-02 from the BTG admin review. | Reviewed 2026-10-02: payout and earnings screens show approved automatically, reasons and retry status.</t>
        </is>
      </c>
    </row>
    <row r="126" s="75">
      <c r="A126" s="112" t="n">
        <v>60.8</v>
      </c>
      <c r="B126" s="113" t="inlineStr">
        <is>
          <t>2S8-QA-06</t>
        </is>
      </c>
      <c r="C126" s="85" t="n">
        <v>8</v>
      </c>
      <c r="D126" s="86" t="inlineStr">
        <is>
          <t>Sprint 8 · QA, security &amp; rollout</t>
        </is>
      </c>
      <c r="E126" s="121" t="inlineStr">
        <is>
          <t>QA</t>
        </is>
      </c>
      <c r="F126" s="122" t="inlineStr">
        <is>
          <t>Code</t>
        </is>
      </c>
      <c r="G126" s="84" t="inlineStr">
        <is>
          <t>Database rules installed by a deploy match the tests</t>
        </is>
      </c>
      <c r="H126" s="116" t="inlineStr">
        <is>
          <t>CI re-applies prisma/sql after migrating; a deploy only migrates. The contract gate's lock on an order's acceptance and billing contact (2S4-FE-02) lived only in prisma/sql, so staging and production lacked it. Migration 20261004000000 installs it, and a guard test builds a database from the migrations alone and fails if applying prisma/sql changes anything.</t>
        </is>
      </c>
      <c r="I126" s="108" t="inlineStr">
        <is>
          <t>Done</t>
        </is>
      </c>
      <c r="J126" s="108" t="n">
        <v>1</v>
      </c>
      <c r="K126" s="109" t="n">
        <v>46298</v>
      </c>
      <c r="L126" s="109" t="n">
        <v>46298</v>
      </c>
      <c r="M126" s="110" t="inlineStr">
        <is>
          <t>rcfworks</t>
        </is>
      </c>
      <c r="N126" s="85" t="n"/>
      <c r="O126" s="84" t="inlineStr">
        <is>
          <t>2S4-FE-02</t>
        </is>
      </c>
      <c r="P126" s="84" t="inlineStr">
        <is>
          <t>A database built only by migrations has every rule in prisma/sql; the guard fails on any drift</t>
        </is>
      </c>
      <c r="Q126" s="86" t="inlineStr">
        <is>
          <t>Found 2026-10-03 by a failing phase2-orders test on a fresh database</t>
        </is>
      </c>
      <c r="R126" s="111" t="inlineStr">
        <is>
          <t>Raised and closed 2026-10-03. Fix 4fccf98; guard tests/sql-rules-in-migrations.test.ts (verified to fail without the fix).</t>
        </is>
      </c>
    </row>
    <row r="127" s="75">
      <c r="A127" s="112" t="n">
        <v>62.1</v>
      </c>
      <c r="B127" s="113" t="inlineStr">
        <is>
          <t>2S8-SEC-03</t>
        </is>
      </c>
      <c r="C127" s="85" t="n">
        <v>8</v>
      </c>
      <c r="D127" s="86" t="inlineStr">
        <is>
          <t>Sprint 8 · QA, security &amp; rollout</t>
        </is>
      </c>
      <c r="E127" s="121" t="inlineStr">
        <is>
          <t>SEC</t>
        </is>
      </c>
      <c r="F127" s="122" t="inlineStr">
        <is>
          <t>Code</t>
        </is>
      </c>
      <c r="G127" s="84" t="inlineStr">
        <is>
          <t>Pin type and size on every private upload</t>
        </is>
      </c>
      <c r="H127" s="116" t="inlineStr">
        <is>
          <t>The private-bucket upload URLs (account, onboarding, organisation, sponsor-request, hand-off, support and profile-change documents) pin neither content type nor length. Their confirm step checks size but not type, and does not delete an oversized object. Pin {signContentType, contentLength} at each presign, compare the object's type and size on confirm, and delete it on a mismatch.</t>
        </is>
      </c>
      <c r="I127" s="108" t="inlineStr">
        <is>
          <t>Done</t>
        </is>
      </c>
      <c r="J127" s="108" t="n">
        <v>1</v>
      </c>
      <c r="K127" s="109" t="n">
        <v>46300</v>
      </c>
      <c r="L127" s="109" t="n">
        <v>46300</v>
      </c>
      <c r="M127" s="110" t="inlineStr">
        <is>
          <t>rcfworks</t>
        </is>
      </c>
      <c r="N127" s="85" t="n"/>
      <c r="O127" s="84" t="inlineStr">
        <is>
          <t>2S8-SEC-02</t>
        </is>
      </c>
      <c r="P127" s="84" t="inlineStr">
        <is>
          <t>Every private upload URL is signed for one type and size; a mismatched object is refused and deleted on confirm, proven end to end</t>
        </is>
      </c>
      <c r="Q127" s="86" t="inlineStr">
        <is>
          <t>documentation/SponsorX-Security-Review-2026-10.md §A04 (Open, Medium)</t>
        </is>
      </c>
      <c r="R127" s="111" t="inlineStr">
        <is>
          <t>Raised 2026-10-05 by 2S8-SEC-02. | All ten private presigns pin type + length; every confirm/register step HEADs the object and refuses (422), deletes and audits a mismatch. private-upload-pins.test runs each flow against an in-process bucket that checks signatures like R2. 2026-10-05</t>
        </is>
      </c>
    </row>
    <row r="128" s="75">
      <c r="A128" s="112" t="n">
        <v>62.2</v>
      </c>
      <c r="B128" s="113" t="inlineStr">
        <is>
          <t>2S8-SEC-04</t>
        </is>
      </c>
      <c r="C128" s="85" t="n">
        <v>8</v>
      </c>
      <c r="D128" s="86" t="inlineStr">
        <is>
          <t>Sprint 8 · QA, security &amp; rollout</t>
        </is>
      </c>
      <c r="E128" s="121" t="inlineStr">
        <is>
          <t>SEC</t>
        </is>
      </c>
      <c r="F128" s="122" t="inlineStr">
        <is>
          <t>Code</t>
        </is>
      </c>
      <c r="G128" s="84" t="inlineStr">
        <is>
          <t>A replayed invoice webhook can't roll an invoice back</t>
        </is>
      </c>
      <c r="H128" s="116" t="inlineStr">
        <is>
          <t>Zoho Books sends no timestamp, so replaying an old, correctly signed invoice webhook could roll an invoice's status back. Make the ingest refuse a payload that would move the stored state backwards (paid never goes back to sent).</t>
        </is>
      </c>
      <c r="I128" s="108" t="inlineStr">
        <is>
          <t>Done</t>
        </is>
      </c>
      <c r="J128" s="108" t="n">
        <v>1</v>
      </c>
      <c r="K128" s="109" t="n">
        <v>46300</v>
      </c>
      <c r="L128" s="109" t="n">
        <v>46300</v>
      </c>
      <c r="M128" s="110" t="inlineStr">
        <is>
          <t>rcfworks</t>
        </is>
      </c>
      <c r="N128" s="85" t="n"/>
      <c r="O128" s="84" t="inlineStr">
        <is>
          <t>2S8-SEC-02</t>
        </is>
      </c>
      <c r="P128" s="84" t="inlineStr">
        <is>
          <t>A replayed older invoice webhook leaves the stored status unchanged; paid never returns to sent</t>
        </is>
      </c>
      <c r="Q128" s="86" t="inlineStr">
        <is>
          <t>documentation/SponsorX-Security-Review-2026-10.md §A04 (Open, Low)</t>
        </is>
      </c>
      <c r="R128" s="111" t="inlineStr">
        <is>
          <t>Raised 2026-10-05 by 2S8-SEC-02. | Invoice ingest refuses a backwards move (paid never returns to sent), audits invoice.staleRefused, answers 202 so Zoho does not retry; invoice-replay.test replays signed bytes through the real route. A genuine backwards move in Zoho is held for BTG too (no timestamp to tell them apart). 2026-10-05</t>
        </is>
      </c>
    </row>
    <row r="129" s="75">
      <c r="A129" s="112" t="n">
        <v>62.3</v>
      </c>
      <c r="B129" s="113" t="inlineStr">
        <is>
          <t>2S8-SEC-05</t>
        </is>
      </c>
      <c r="C129" s="85" t="n">
        <v>8</v>
      </c>
      <c r="D129" s="86" t="inlineStr">
        <is>
          <t>Sprint 8 · QA, security &amp; rollout</t>
        </is>
      </c>
      <c r="E129" s="121" t="inlineStr">
        <is>
          <t>SEC</t>
        </is>
      </c>
      <c r="F129" s="122" t="inlineStr">
        <is>
          <t>Code</t>
        </is>
      </c>
      <c r="G129" s="84" t="inlineStr">
        <is>
          <t>Small hardening items from the security review</t>
        </is>
      </c>
      <c r="H129" s="116" t="inlineStr">
        <is>
          <t>(1) GET /athletes/:id/rates answers 200 [] for a real athlete but 403 for a missing id, revealing which ids exist. (2) Restrict Zoho CRM notification module and ids to an enum and digits. (3) Turn off JavaScript in the PDF renderer once the report is confirmed to need none. (4) Stop the worker logging non-fan email addresses. (5) Add import "server-only" to frontend/src/server/{api,edge,payouts}.ts. (6) Run one git-history secret scan (e.g. gitleaks).</t>
        </is>
      </c>
      <c r="I129" s="108" t="inlineStr">
        <is>
          <t>Done</t>
        </is>
      </c>
      <c r="J129" s="108" t="n">
        <v>1</v>
      </c>
      <c r="K129" s="109" t="n">
        <v>46300</v>
      </c>
      <c r="L129" s="109" t="n">
        <v>46300</v>
      </c>
      <c r="M129" s="110" t="inlineStr">
        <is>
          <t>rcfworks</t>
        </is>
      </c>
      <c r="N129" s="85" t="n"/>
      <c r="O129" s="84" t="inlineStr">
        <is>
          <t>2S8-SEC-02</t>
        </is>
      </c>
      <c r="P129" s="84" t="inlineStr">
        <is>
          <t>Each item is fixed with a test, or recorded as declined with a reason in the security review</t>
        </is>
      </c>
      <c r="Q129" s="86" t="inlineStr">
        <is>
          <t>documentation/SponsorX-Security-Review-2026-10.md §A01, §A09, §A10, Follow-ups</t>
        </is>
      </c>
      <c r="R129" s="111" t="inlineStr">
        <is>
          <t>Raised 2026-10-05 by 2S8-SEC-02. | Rates probe answers the same 403; Zoho CRM module enum + digit ids; PDF renderer JS off; worker logs mask emails; server-only on frontend/src/server/{api,edge,payouts}.ts; git-history secret scan (868 commits) clean via npm run secrets:scan:history. security-hardening.test. 2026-10-05</t>
        </is>
      </c>
    </row>
    <row r="130" s="75">
      <c r="A130" s="112" t="n">
        <v>62.4</v>
      </c>
      <c r="B130" s="113" t="inlineStr">
        <is>
          <t>2S8-QA-07</t>
        </is>
      </c>
      <c r="C130" s="85" t="n">
        <v>8</v>
      </c>
      <c r="D130" s="86" t="inlineStr">
        <is>
          <t>Sprint 8 · QA, security &amp; rollout</t>
        </is>
      </c>
      <c r="E130" s="121" t="inlineStr">
        <is>
          <t>QA</t>
        </is>
      </c>
      <c r="F130" s="122" t="inlineStr">
        <is>
          <t>Code</t>
        </is>
      </c>
      <c r="G130" s="84" t="inlineStr">
        <is>
          <t>Guard tests cover writes and same-tenant access</t>
        </is>
      </c>
      <c r="H130" s="116" t="inlineStr">
        <is>
          <t>tenant-scope.static checks reads only, and tenant-isolation sweeps across tenants but not within one (sponsor vs sponsor, athlete vs athlete). Extend both so an unscoped write or a same-tenant cross-account read fails the suite.</t>
        </is>
      </c>
      <c r="I130" s="108" t="inlineStr">
        <is>
          <t>Done</t>
        </is>
      </c>
      <c r="J130" s="108" t="n">
        <v>2</v>
      </c>
      <c r="K130" s="109" t="n">
        <v>46300</v>
      </c>
      <c r="L130" s="109" t="n">
        <v>46300</v>
      </c>
      <c r="M130" s="110" t="inlineStr">
        <is>
          <t>rcfworks</t>
        </is>
      </c>
      <c r="N130" s="85" t="n"/>
      <c r="O130" s="84" t="inlineStr">
        <is>
          <t>2S8-SEC-02</t>
        </is>
      </c>
      <c r="P130" s="84" t="inlineStr">
        <is>
          <t>The guard tests fail on an unscoped write and on a same-tenant cross-account read, shown by a deliberately broken route</t>
        </is>
      </c>
      <c r="Q130" s="86" t="inlineStr">
        <is>
          <t>documentation/SponsorX-Security-Review-2026-10.md, Other checks (Open, Info)</t>
        </is>
      </c>
      <c r="R130" s="111" t="inlineStr">
        <is>
          <t>Raised 2026-10-05 by 2S8-SEC-02. | tenant-scope.static now checks writes (3 fixed, 42 justified per call site); tenant-isolation adds same-tenant second sponsor and athlete across 197 record routes. Proven by a scratch break of GET /briefs/:id and respondToOffer. No real leak found. 2026-10-05</t>
        </is>
      </c>
    </row>
    <row r="131" s="75">
      <c r="A131" s="112" t="n">
        <v>62.5</v>
      </c>
      <c r="B131" s="113" t="inlineStr">
        <is>
          <t>2S8-PMO-02</t>
        </is>
      </c>
      <c r="C131" s="85" t="n">
        <v>8</v>
      </c>
      <c r="D131" s="86" t="inlineStr">
        <is>
          <t>Sprint 8 · QA, security &amp; rollout</t>
        </is>
      </c>
      <c r="E131" s="121" t="inlineStr">
        <is>
          <t>PMO</t>
        </is>
      </c>
      <c r="F131" s="122" t="inlineStr">
        <is>
          <t>Document</t>
        </is>
      </c>
      <c r="G131" s="84" t="inlineStr">
        <is>
          <t>Security settings the owner decides</t>
        </is>
      </c>
      <c r="H131" s="116" t="inlineStr">
        <is>
          <t>Seven decisions from the security review: (1) a full CSP, report-only first; (2) HSTS includeSubDomains / preload; (3) Clerk authorizedParties, listing every web origin first; (4) how long intake, onboarding, sign-up and sponsor-request links live; (5) whether a profile claimant confirms their email before an advisor verifies; (6) set PAYMENT_PROVIDER=none explicitly on Railway production; (7) set STANDIN_PROVIDER_SECRET explicitly on staging.</t>
        </is>
      </c>
      <c r="I131" s="108" t="inlineStr">
        <is>
          <t>Done</t>
        </is>
      </c>
      <c r="J131" s="108" t="n">
        <v>1</v>
      </c>
      <c r="K131" s="109" t="n">
        <v>46301</v>
      </c>
      <c r="L131" s="109" t="n">
        <v>46302</v>
      </c>
      <c r="M131" s="110" t="inlineStr">
        <is>
          <t>rcfworks</t>
        </is>
      </c>
      <c r="N131" s="85" t="n"/>
      <c r="O131" s="84" t="inlineStr">
        <is>
          <t>2S8-SEC-02</t>
        </is>
      </c>
      <c r="P131" s="84" t="inlineStr">
        <is>
          <t>Each of the seven decisions is recorded in the security review, and every setting chosen is applied on Railway</t>
        </is>
      </c>
      <c r="Q131" s="86" t="inlineStr">
        <is>
          <t>documentation/SponsorX-Security-Review-2026-10.md, Decisions for the owner</t>
        </is>
      </c>
      <c r="R131" s="111" t="inlineStr">
        <is>
          <t>Raised 2026-10-05 by 2S8-SEC-02. | Owner decided all seven 2026-10-06, recorded in documentation/SponsorX-Security-Review-2026-10.md. Applied on Railway: (6) PAYMENT_PROVIDER=none on production; (7) STANDIN_PROVIDER_SECRET on staging; (3) CLERK_AUTHORIZED_PARTIES on api+web, staging and production. Built and tested: (1) CSP report-only + /public/csp-report; (2) HSTS includeSubDomains, no preload; (3) Clerk authorizedParties; (4) 14-day links, intake purpose prefix, /public/links/renew, old links accepted until 2026-10-20; (5) profile claim email confirmation (PENDING_EMAIL). Done once deployed to staging and production. | Acceptance met 2026-10-07: all seven decisions recorded in the security review; every Railway setting applied (PAYMENT_PROVIDER=none production, STANDIN_PROVIDER_SECRET staging, CLERK_AUTHORIZED_PARTIES api+web both environments). Code live on staging (acbb23a→0f5d66a) and verified: HSTS includeSubDomains, CSP report-only + csp-report 202, links/renew, claim migrations, Clerk sign-in with authorizedParties (test team dashboard loads, no 401/403). Production picks up the code on the next deploy (release moves after the 8 pm CI).</t>
        </is>
      </c>
    </row>
    <row r="132" s="75">
      <c r="A132" s="112" t="n">
        <v>47.7</v>
      </c>
      <c r="B132" s="113" t="inlineStr">
        <is>
          <t>2S5-FE-07</t>
        </is>
      </c>
      <c r="C132" s="85" t="n">
        <v>5</v>
      </c>
      <c r="D132" s="86" t="inlineStr">
        <is>
          <t>Sprint 5 · Payments, ledger &amp; payouts</t>
        </is>
      </c>
      <c r="E132" s="121" t="inlineStr">
        <is>
          <t>FE</t>
        </is>
      </c>
      <c r="F132" s="122" t="inlineStr">
        <is>
          <t>Code</t>
        </is>
      </c>
      <c r="G132" s="84" t="inlineStr">
        <is>
          <t>BTG's payment exceptions page</t>
        </is>
      </c>
      <c r="H132" s="116" t="inlineStr">
        <is>
          <t>A page at /admin/payments/events listing provider events that need BTG: HELD (a payment succeeding after a recorded failure, a wrong amount, a partial refund), and FAILED (deferred too long). It shows the reason, and BTG closes each with a note. The API serves GET /payment-events and POST /payment-events/{id}/resolve; the emails already link here.</t>
        </is>
      </c>
      <c r="I132" s="108" t="inlineStr">
        <is>
          <t>Done</t>
        </is>
      </c>
      <c r="J132" s="108" t="n">
        <v>1</v>
      </c>
      <c r="K132" s="109" t="n">
        <v>46302</v>
      </c>
      <c r="L132" s="109" t="n">
        <v>46302</v>
      </c>
      <c r="M132" s="110" t="inlineStr">
        <is>
          <t>HeckerCreatives</t>
        </is>
      </c>
      <c r="N132" s="85" t="n"/>
      <c r="O132" s="84" t="inlineStr">
        <is>
          <t>2S5-INT-02</t>
        </is>
      </c>
      <c r="P132" s="84" t="inlineStr">
        <is>
          <t>BTG sees every held or failed payment event with its reason and can close it with a note; the list shows only their tenant</t>
        </is>
      </c>
      <c r="Q132" s="86" t="inlineStr">
        <is>
          <t>backend/src/routes/v1/payments.ts</t>
        </is>
      </c>
      <c r="R132" s="111" t="inlineStr">
        <is>
          <t>Raised 2026-10-05 by 2S5-INT-02 (API built, screen not). Built 2026-10-07 (HeckerCreatives, via Claude) on feature/P2-FE-screens — spec docs/superpowers/specs/2026-10-07-phase2-frontend-screens-design.md. QA'd on real data 2026-10-07 (e2e/qa-phase2*.spec.ts) and moved to Done by the owner.</t>
        </is>
      </c>
    </row>
    <row r="133" s="75">
      <c r="A133" s="112" t="n">
        <v>47.8</v>
      </c>
      <c r="B133" s="113" t="inlineStr">
        <is>
          <t>2S5-FE-08</t>
        </is>
      </c>
      <c r="C133" s="85" t="n">
        <v>5</v>
      </c>
      <c r="D133" s="86" t="inlineStr">
        <is>
          <t>Sprint 5 · Payments, ledger &amp; payouts</t>
        </is>
      </c>
      <c r="E133" s="121" t="inlineStr">
        <is>
          <t>FE</t>
        </is>
      </c>
      <c r="F133" s="122" t="inlineStr">
        <is>
          <t>Code</t>
        </is>
      </c>
      <c r="G133" s="84" t="inlineStr">
        <is>
          <t>Dispute list and resolve pages for BTG</t>
        </is>
      </c>
      <c r="H133" s="116" t="inlineStr">
        <is>
          <t>/admin/payments/disputes and /admin/payments/disputes/{id}: list disputes (OPEN, UNDER_REVIEW, WON, LOST) with the frozen order and amount; a BTG admin moves one to review with a note and resolves it to the provider's outcome. For a partial loss, BTG names the lines. Finance can see but not resolve. The API serves /disputes; the dispute emails link to the detail page.</t>
        </is>
      </c>
      <c r="I133" s="108" t="inlineStr">
        <is>
          <t>Done</t>
        </is>
      </c>
      <c r="J133" s="108" t="n">
        <v>2</v>
      </c>
      <c r="K133" s="109" t="n">
        <v>46302</v>
      </c>
      <c r="L133" s="109" t="n">
        <v>46302</v>
      </c>
      <c r="M133" s="110" t="inlineStr">
        <is>
          <t>HeckerCreatives</t>
        </is>
      </c>
      <c r="N133" s="85" t="n"/>
      <c r="O133" s="84" t="inlineStr">
        <is>
          <t>2S5-BE-03</t>
        </is>
      </c>
      <c r="P133" s="84" t="inlineStr">
        <is>
          <t>BTG reviews and resolves a dispute on screen to the provider's outcome; Finance sees the dispute but has no resolve button</t>
        </is>
      </c>
      <c r="Q133" s="86" t="inlineStr">
        <is>
          <t>backend/src/routes/v1/payments.ts; documentation/SponsorX-Phase2-State-Machines.md</t>
        </is>
      </c>
      <c r="R133" s="111" t="inlineStr">
        <is>
          <t>Raised 2026-10-05 by 2S5-BE-03 (API built, screens not). Built 2026-10-07 (HeckerCreatives, via Claude) on feature/P2-FE-screens — spec docs/superpowers/specs/2026-10-07-phase2-frontend-screens-design.md. QA'd on real data 2026-10-07 (e2e/qa-phase2*.spec.ts) and moved to Done by the owner.</t>
        </is>
      </c>
    </row>
    <row r="134" s="75">
      <c r="A134" s="112" t="n">
        <v>47.9</v>
      </c>
      <c r="B134" s="113" t="inlineStr">
        <is>
          <t>2S5-FE-09</t>
        </is>
      </c>
      <c r="C134" s="85" t="n">
        <v>5</v>
      </c>
      <c r="D134" s="86" t="inlineStr">
        <is>
          <t>Sprint 5 · Payments, ledger &amp; payouts</t>
        </is>
      </c>
      <c r="E134" s="121" t="inlineStr">
        <is>
          <t>FE</t>
        </is>
      </c>
      <c r="F134" s="122" t="inlineStr">
        <is>
          <t>Code</t>
        </is>
      </c>
      <c r="G134" s="84" t="inlineStr">
        <is>
          <t>Frozen money on the payee's payout page</t>
        </is>
      </c>
      <c r="H134" s="116" t="inlineStr">
        <is>
          <t>GET /payouts/me now marks an order frozen while a dispute is open, and the payout checks include a fifth rule, dispute. On the athlete and property money pages, show the frozen order apart from the requestable balance, with only: "BTG is reviewing a problem with the sponsor's payment".</t>
        </is>
      </c>
      <c r="I134" s="108" t="inlineStr">
        <is>
          <t>Done</t>
        </is>
      </c>
      <c r="J134" s="108" t="n">
        <v>1</v>
      </c>
      <c r="K134" s="109" t="n">
        <v>46302</v>
      </c>
      <c r="L134" s="109" t="n">
        <v>46302</v>
      </c>
      <c r="M134" s="110" t="inlineStr">
        <is>
          <t>HeckerCreatives</t>
        </is>
      </c>
      <c r="N134" s="85" t="n"/>
      <c r="O134" s="84" t="inlineStr">
        <is>
          <t>2S5-BE-04</t>
        </is>
      </c>
      <c r="P134" s="84" t="inlineStr">
        <is>
          <t>A payee with a disputed order sees it frozen with that sentence, and can request only the other orders' money</t>
        </is>
      </c>
      <c r="Q134" s="86" t="inlineStr">
        <is>
          <t>backend/src/domain/payouts.ts</t>
        </is>
      </c>
      <c r="R134" s="111" t="inlineStr">
        <is>
          <t>Raised 2026-10-05 by 2S5-BE-04 (API built, screen not). Built 2026-10-07 (HeckerCreatives, via Claude) on feature/P2-FE-screens — spec docs/superpowers/specs/2026-10-07-phase2-frontend-screens-design.md. QA'd on real data 2026-10-07 (e2e/qa-phase2*.spec.ts) and moved to Done by the owner.</t>
        </is>
      </c>
    </row>
    <row r="135" s="75">
      <c r="A135" s="112" t="n">
        <v>47.91</v>
      </c>
      <c r="B135" s="113" t="inlineStr">
        <is>
          <t>2S5-FE-10</t>
        </is>
      </c>
      <c r="C135" s="85" t="n">
        <v>5</v>
      </c>
      <c r="D135" s="86" t="inlineStr">
        <is>
          <t>Sprint 5 · Payments, ledger &amp; payouts</t>
        </is>
      </c>
      <c r="E135" s="121" t="inlineStr">
        <is>
          <t>FE</t>
        </is>
      </c>
      <c r="F135" s="122" t="inlineStr">
        <is>
          <t>Code</t>
        </is>
      </c>
      <c r="G135" s="84" t="inlineStr">
        <is>
          <t>Payout send attempts and returns on screen</t>
        </is>
      </c>
      <c r="H135" s="116" t="inlineStr">
        <is>
          <t>Payouts now carry sendAttempts, returnedAt and returnCount. Show them on BTG's payout detail, and on the payee's payout history: a returned payout reads 'Returned by your bank: fix your payout account'.</t>
        </is>
      </c>
      <c r="I135" s="108" t="inlineStr">
        <is>
          <t>Done</t>
        </is>
      </c>
      <c r="J135" s="108" t="n">
        <v>1</v>
      </c>
      <c r="K135" s="109" t="n">
        <v>46302</v>
      </c>
      <c r="L135" s="109" t="n">
        <v>46302</v>
      </c>
      <c r="M135" s="110" t="inlineStr">
        <is>
          <t>HeckerCreatives</t>
        </is>
      </c>
      <c r="N135" s="85" t="n"/>
      <c r="O135" s="84" t="inlineStr">
        <is>
          <t>2S5-BE-05</t>
        </is>
      </c>
      <c r="P135" s="84" t="inlineStr">
        <is>
          <t>BTG sees each payout's attempts and any return; a payee whose payout was returned is told to fix their account</t>
        </is>
      </c>
      <c r="Q135" s="86" t="inlineStr">
        <is>
          <t>backend/src/domain/payouts.ts</t>
        </is>
      </c>
      <c r="R135" s="111" t="inlineStr">
        <is>
          <t>Raised 2026-10-05 by 2S5-BE-05 (API built, screen not). Built 2026-10-07 (HeckerCreatives, via Claude) on feature/P2-FE-screens — spec docs/superpowers/specs/2026-10-07-phase2-frontend-screens-design.md. QA'd on real data 2026-10-07 (e2e/qa-phase2*.spec.ts) and moved to Done by the owner.</t>
        </is>
      </c>
    </row>
    <row r="136" s="75">
      <c r="A136" s="112" t="n">
        <v>47.92</v>
      </c>
      <c r="B136" s="113" t="inlineStr">
        <is>
          <t>2S5-FE-11</t>
        </is>
      </c>
      <c r="C136" s="85" t="n">
        <v>5</v>
      </c>
      <c r="D136" s="86" t="inlineStr">
        <is>
          <t>Sprint 5 · Payments, ledger &amp; payouts</t>
        </is>
      </c>
      <c r="E136" s="121" t="inlineStr">
        <is>
          <t>FE</t>
        </is>
      </c>
      <c r="F136" s="122" t="inlineStr">
        <is>
          <t>Code</t>
        </is>
      </c>
      <c r="G136" s="84" t="inlineStr">
        <is>
          <t>Checkout says 'busy, try again' when the provider is down</t>
        </is>
      </c>
      <c r="H136" s="116" t="inlineStr">
        <is>
          <t>When the payment provider is down, opening checkout answers 503 with code busy, and nothing is recorded. The sponsor's pay-by-card button should show 'The payment service is busy. Try again in a minute.' rather than a generic error.</t>
        </is>
      </c>
      <c r="I136" s="108" t="inlineStr">
        <is>
          <t>Done</t>
        </is>
      </c>
      <c r="J136" s="108" t="n">
        <v>1</v>
      </c>
      <c r="K136" s="109" t="n">
        <v>46302</v>
      </c>
      <c r="L136" s="109" t="n">
        <v>46302</v>
      </c>
      <c r="M136" s="110" t="inlineStr">
        <is>
          <t>HeckerCreatives</t>
        </is>
      </c>
      <c r="N136" s="85" t="n"/>
      <c r="O136" s="84" t="inlineStr">
        <is>
          <t>2S8-QA-02</t>
        </is>
      </c>
      <c r="P136" s="84" t="inlineStr">
        <is>
          <t>With the provider down, the sponsor sees the busy message and can retry; the order is unchanged</t>
        </is>
      </c>
      <c r="Q136" s="86" t="inlineStr">
        <is>
          <t>backend/src/lib/payment-provider.ts (STANDIN_OUTAGE)</t>
        </is>
      </c>
      <c r="R136" s="111" t="inlineStr">
        <is>
          <t>Raised 2026-10-05 by 2S8-QA-02 (API built, screen not). Built 2026-10-07 (HeckerCreatives, via Claude) on feature/P2-FE-screens — spec docs/superpowers/specs/2026-10-07-phase2-frontend-screens-design.md. QA'd on real data 2026-10-07 (e2e/qa-phase2*.spec.ts) and moved to Done by the owner.</t>
        </is>
      </c>
    </row>
    <row r="137" s="75">
      <c r="A137" s="112" t="n">
        <v>47.93</v>
      </c>
      <c r="B137" s="113" t="inlineStr">
        <is>
          <t>2S5-FE-12</t>
        </is>
      </c>
      <c r="C137" s="85" t="n">
        <v>5</v>
      </c>
      <c r="D137" s="86" t="inlineStr">
        <is>
          <t>Sprint 5 · Payments, ledger &amp; payouts</t>
        </is>
      </c>
      <c r="E137" s="121" t="inlineStr">
        <is>
          <t>FE</t>
        </is>
      </c>
      <c r="F137" s="122" t="inlineStr">
        <is>
          <t>Code</t>
        </is>
      </c>
      <c r="G137" s="84" t="inlineStr">
        <is>
          <t>Provider refunds on Finance's refund list</t>
        </is>
      </c>
      <c r="H137" s="116" t="inlineStr">
        <is>
          <t>Finance's refund list gains the cause PROVIDER_REFUNDED: a refund the provider made directly, already sent. Show it as 'Refunded by the payment provider' with the provider's reference, and no 'send refund' action.</t>
        </is>
      </c>
      <c r="I137" s="108" t="inlineStr">
        <is>
          <t>Done</t>
        </is>
      </c>
      <c r="J137" s="108" t="n">
        <v>1</v>
      </c>
      <c r="K137" s="109" t="n">
        <v>46302</v>
      </c>
      <c r="L137" s="109" t="n">
        <v>46302</v>
      </c>
      <c r="M137" s="110" t="inlineStr">
        <is>
          <t>HeckerCreatives</t>
        </is>
      </c>
      <c r="N137" s="85" t="n"/>
      <c r="O137" s="84" t="inlineStr">
        <is>
          <t>2S5-BE-03</t>
        </is>
      </c>
      <c r="P137" s="84" t="inlineStr">
        <is>
          <t>A provider-made refund shows on Finance's list with its reference and cannot be sent again</t>
        </is>
      </c>
      <c r="Q137" s="86" t="inlineStr">
        <is>
          <t>backend/src/domain/refunds.ts</t>
        </is>
      </c>
      <c r="R137" s="111" t="inlineStr">
        <is>
          <t>Raised 2026-10-05 by 2S5-BE-03 (API built, screen not). Built 2026-10-07 (HeckerCreatives, via Claude) on feature/P2-FE-screens — spec docs/superpowers/specs/2026-10-07-phase2-frontend-screens-design.md. QA'd on real data 2026-10-07 (e2e/qa-phase2*.spec.ts) and moved to Done by the owner.</t>
        </is>
      </c>
    </row>
    <row r="138" s="75">
      <c r="A138" s="112" t="n">
        <v>52.3</v>
      </c>
      <c r="B138" s="113" t="inlineStr">
        <is>
          <t>2S6-QA-01</t>
        </is>
      </c>
      <c r="C138" s="85" t="n">
        <v>6</v>
      </c>
      <c r="D138" s="86" t="inlineStr">
        <is>
          <t>Sprint 6 · Wallet rewards &amp; notifications</t>
        </is>
      </c>
      <c r="E138" s="121" t="inlineStr">
        <is>
          <t>QA</t>
        </is>
      </c>
      <c r="F138" s="122" t="inlineStr">
        <is>
          <t>Code</t>
        </is>
      </c>
      <c r="G138" s="84" t="inlineStr">
        <is>
          <t>Wallet provider outage testing</t>
        </is>
      </c>
      <c r="H138" s="116" t="inlineStr">
        <is>
          <t>Split from 2S8-QA-02, whose other failure modes are done. Once the wallet pass adapters exist, break them: Apple or Google Wallet down or timing out while a pass is issued or updated. Nothing is half-written, the queue retries, and the reward ledger stays consistent.</t>
        </is>
      </c>
      <c r="I138" s="108" t="inlineStr">
        <is>
          <t>Blocked</t>
        </is>
      </c>
      <c r="J138" s="108" t="n">
        <v>1</v>
      </c>
      <c r="K138" s="109" t="n"/>
      <c r="L138" s="109" t="n"/>
      <c r="M138" s="110" t="n"/>
      <c r="N138" s="85" t="n"/>
      <c r="O138" s="84" t="inlineStr">
        <is>
          <t>2S6-INT-01, 2S6-INT-02</t>
        </is>
      </c>
      <c r="P138" s="84" t="inlineStr">
        <is>
          <t>A wallet provider outage during issue or update leaves no half-written pass or reward, and the retry completes it once</t>
        </is>
      </c>
      <c r="Q138" s="86" t="inlineStr">
        <is>
          <t>Split from 2S8-QA-02 on 2026-10-05</t>
        </is>
      </c>
      <c r="R138" s="111" t="inlineStr">
        <is>
          <t>Raised 2026-10-05: no wallet adapter exists yet, so this part of 2S8-QA-02 cannot be tested.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139" s="75">
      <c r="A139" s="112" t="n">
        <v>62.6</v>
      </c>
      <c r="B139" s="113" t="inlineStr">
        <is>
          <t>2S8-SEC-06</t>
        </is>
      </c>
      <c r="C139" s="85" t="n">
        <v>8</v>
      </c>
      <c r="D139" s="86" t="inlineStr">
        <is>
          <t>Sprint 8 · QA, security &amp; rollout</t>
        </is>
      </c>
      <c r="E139" s="121" t="inlineStr">
        <is>
          <t>SEC</t>
        </is>
      </c>
      <c r="F139" s="122" t="inlineStr">
        <is>
          <t>Code</t>
        </is>
      </c>
      <c r="G139" s="84" t="inlineStr">
        <is>
          <t>Replace the full-access live Stripe key with a restricted key</t>
        </is>
      </c>
      <c r="H139" s="116" t="inlineStr">
        <is>
          <t>Production's live Stripe secret key (created 2026-10-06, stored only in Railway production api) has full access, because the restricted-key permissions for Accounts v2 payout accounts were unclear. Work out the minimal permission set in the sandbox (Checkout Sessions, Charges and Refunds, Transfers, Webhook Endpoints, plus whichever Accounts v2 configuration permissions creating a recipient account needs), prove the smoke script passes with it, then have the owner create the restricted live key, swap it into Railway production, and delete the full-access key.</t>
        </is>
      </c>
      <c r="I139" s="108" t="inlineStr">
        <is>
          <t>Done</t>
        </is>
      </c>
      <c r="J139" s="108" t="n">
        <v>1</v>
      </c>
      <c r="K139" s="109" t="n">
        <v>46301</v>
      </c>
      <c r="L139" s="109" t="n">
        <v>46301</v>
      </c>
      <c r="M139" s="110" t="inlineStr">
        <is>
          <t>rcfworks</t>
        </is>
      </c>
      <c r="N139" s="85" t="n"/>
      <c r="O139" s="84" t="inlineStr">
        <is>
          <t>2S5-INT-03</t>
        </is>
      </c>
      <c r="P139" s="84" t="inlineStr">
        <is>
          <t>Production uses a restricted live key that the sandbox smoke run proved sufficient; the full-access live key is deleted in Stripe</t>
        </is>
      </c>
      <c r="Q139" s="86" t="inlineStr">
        <is>
          <t>documentation/SponsorX-Stripe-Integration.md; documentation/SponsorX-Secrets-Rotation.md</t>
        </is>
      </c>
      <c r="R139" s="111" t="inlineStr">
        <is>
          <t>Raised 2026-10-06 when the live key was created. | 2026-10-06: restricted sandbox key passed the smoke run 17/17 with the app on it alone (customers and balance refused). Owner created the identical live restricted key (rk_live_…QVaC, "SponsorX production (restricted)"); swapped into Railway production api; read-only check: v2 accounts, refunds, transfers allowed, customers and balance refused (403). Full-access key sk_live_…QUac expired by the owner. Note: the key can also create BTG own-bank payouts (bundled with a required permission).</t>
        </is>
      </c>
    </row>
    <row r="140" s="75">
      <c r="A140" s="112" t="n">
        <v>12.98</v>
      </c>
      <c r="B140" s="113" t="inlineStr">
        <is>
          <t>2S1-FE-14</t>
        </is>
      </c>
      <c r="C140" s="85" t="n">
        <v>1</v>
      </c>
      <c r="D140" s="86" t="inlineStr">
        <is>
          <t>Sprint 1 · External property onboarding</t>
        </is>
      </c>
      <c r="E140" s="121" t="inlineStr">
        <is>
          <t>FE</t>
        </is>
      </c>
      <c r="F140" s="122" t="inlineStr">
        <is>
          <t>Code</t>
        </is>
      </c>
      <c r="G140" s="84" t="inlineStr">
        <is>
          <t>BTG admin page for a support message and its attachments</t>
        </is>
      </c>
      <c r="H140" s="116" t="inlineStr">
        <is>
          <t>Support-desk emails no longer carry attachments (2S0-SEC-01 O1); they link to /admin/support/&lt;id&gt;. Build that page: the sender, topic, text and each attachment's name, type and size from GET /support-messages/:id, and an Open button per file that fetches GET /support-messages/:id/attachments/:attachmentId (a five-minute audited link). BTG admin only.</t>
        </is>
      </c>
      <c r="I140" s="108" t="inlineStr">
        <is>
          <t>Done</t>
        </is>
      </c>
      <c r="J140" s="108" t="n">
        <v>1</v>
      </c>
      <c r="K140" s="109" t="n">
        <v>46302</v>
      </c>
      <c r="L140" s="109" t="n">
        <v>46302</v>
      </c>
      <c r="M140" s="110" t="inlineStr">
        <is>
          <t>HeckerCreatives</t>
        </is>
      </c>
      <c r="N140" s="85" t="n"/>
      <c r="O140" s="84" t="inlineStr">
        <is>
          <t>2S0-SEC-01</t>
        </is>
      </c>
      <c r="P140" s="84" t="inlineStr">
        <is>
          <t>A BTG admin following the support email's link sees the message and opens each attachment; nobody else can</t>
        </is>
      </c>
      <c r="Q140" s="86" t="inlineStr">
        <is>
          <t>documentation/SponsorX-Payments-PII-Review-2026-10.md (frontend follow-ups)</t>
        </is>
      </c>
      <c r="R140" s="111" t="inlineStr">
        <is>
          <t>Raised 2026-10-06 by 2S0-SEC-01 (API built, screen not). Built 2026-10-07 (HeckerCreatives, via Claude) on feature/P2-FE-screens — spec docs/superpowers/specs/2026-10-07-phase2-frontend-screens-design.md. QA'd on real data 2026-10-07 (e2e/qa-phase2*.spec.ts) and moved to Done by the owner.</t>
        </is>
      </c>
    </row>
    <row r="141" s="75">
      <c r="A141" s="112" t="n">
        <v>60.9</v>
      </c>
      <c r="B141" s="113" t="inlineStr">
        <is>
          <t>2S8-QA-08</t>
        </is>
      </c>
      <c r="C141" s="85" t="n">
        <v>8</v>
      </c>
      <c r="D141" s="86" t="inlineStr">
        <is>
          <t>Sprint 8 · QA, security &amp; rollout</t>
        </is>
      </c>
      <c r="E141" s="121" t="inlineStr">
        <is>
          <t>QA</t>
        </is>
      </c>
      <c r="F141" s="122" t="inlineStr">
        <is>
          <t>Code</t>
        </is>
      </c>
      <c r="G141" s="84" t="inlineStr">
        <is>
          <t>private-upload-pins test fails intermittently in the full suite</t>
        </is>
      </c>
      <c r="H141" s="116" t="inlineStr">
        <is>
          <t>backend/tests/private-upload-pins.test.ts passes alone but has failed in about 1 of 6 full parallel runs (its setup, with a duplicate key on a fixed pu_ id, then 11 tests skipped). Its cleanup deletes by tenant and swallows errors, so a row that couldn't be deleted survives into the next run. Make its ids unique per run (or make the cleanup report what it couldn't delete) so the suite never flakes on it.</t>
        </is>
      </c>
      <c r="I141" s="108" t="inlineStr">
        <is>
          <t>Done</t>
        </is>
      </c>
      <c r="J141" s="108" t="n">
        <v>1</v>
      </c>
      <c r="K141" s="109" t="n">
        <v>46301</v>
      </c>
      <c r="L141" s="109" t="n">
        <v>46301</v>
      </c>
      <c r="M141" s="110" t="inlineStr">
        <is>
          <t>rcfworks</t>
        </is>
      </c>
      <c r="N141" s="85" t="n"/>
      <c r="O141" s="84" t="inlineStr">
        <is>
          <t>2S8-SEC-03</t>
        </is>
      </c>
      <c r="P141" s="84" t="inlineStr">
        <is>
          <t>The full backend suite passes 5 runs in a row with this file included</t>
        </is>
      </c>
      <c r="Q141" s="86" t="inlineStr">
        <is>
          <t>backend/tests/private-upload-pins.test.ts</t>
        </is>
      </c>
      <c r="R141" s="111" t="inlineStr">
        <is>
          <t>Raised 2026-10-06; seen twice (2026-10-06). | Every id, slug and email in private-upload-pins.test.ts is now unique to the run (random suffix), so a leftover row can never collide; the cleanup now warns which tables it could not clear. Full backend suite passed 5 runs in a row (180 files, 2910 tests each), no cleanup warnings. 2026-10-06</t>
        </is>
      </c>
    </row>
    <row r="142" s="75">
      <c r="A142" s="112" t="n">
        <v>62.51</v>
      </c>
      <c r="B142" s="113" t="inlineStr">
        <is>
          <t>2S8-FE-01</t>
        </is>
      </c>
      <c r="C142" s="85" t="n">
        <v>8</v>
      </c>
      <c r="D142" s="86" t="inlineStr">
        <is>
          <t>Sprint 8 · QA, security &amp; rollout</t>
        </is>
      </c>
      <c r="E142" s="121" t="inlineStr">
        <is>
          <t>FE</t>
        </is>
      </c>
      <c r="F142" s="122" t="inlineStr">
        <is>
          <t>Code</t>
        </is>
      </c>
      <c r="G142" s="84" t="inlineStr">
        <is>
          <t>Expired emailed links: show why and offer a fresh link</t>
        </is>
      </c>
      <c r="H142" s="116" t="inlineStr">
        <is>
          <t>Emailed links now expire after 14 days (2S8-PMO-02 decision 4). When a link page gets 410 link_expired from the API, show the plain message and a 'Send me a fresh link' button calling POST /api/v1/public/links/renew {kind, token}. Pages: /join, /join/confirm, /guardian/setup, /coming-of-age, /onboarding/[token], /onboarding/confirm, /sponsor-request/[token], /sponsor-request/confirm, /guardian/handoff. (Reactivation has its own page.)</t>
        </is>
      </c>
      <c r="I142" s="108" t="inlineStr">
        <is>
          <t>Done</t>
        </is>
      </c>
      <c r="J142" s="108" t="n">
        <v>2</v>
      </c>
      <c r="K142" s="109" t="n">
        <v>46302</v>
      </c>
      <c r="L142" s="109" t="n">
        <v>46302</v>
      </c>
      <c r="M142" s="110" t="inlineStr">
        <is>
          <t>HeckerCreatives</t>
        </is>
      </c>
      <c r="N142" s="85" t="n"/>
      <c r="O142" s="84" t="inlineStr">
        <is>
          <t>2S8-PMO-02</t>
        </is>
      </c>
      <c r="P142" s="84" t="inlineStr">
        <is>
          <t>Every emailed-link page shows the expired message and can request a fresh link; a fresh link arrives by email</t>
        </is>
      </c>
      <c r="Q142" s="86" t="inlineStr">
        <is>
          <t>documentation/SponsorX-Security-Review-2026-10.md (decision 4)</t>
        </is>
      </c>
      <c r="R142"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3" s="75">
      <c r="A143" s="112" t="n">
        <v>62.52</v>
      </c>
      <c r="B143" s="113" t="inlineStr">
        <is>
          <t>2S8-FE-02</t>
        </is>
      </c>
      <c r="C143" s="85" t="n">
        <v>8</v>
      </c>
      <c r="D143" s="86" t="inlineStr">
        <is>
          <t>Sprint 8 · QA, security &amp; rollout</t>
        </is>
      </c>
      <c r="E143" s="121" t="inlineStr">
        <is>
          <t>FE</t>
        </is>
      </c>
      <c r="F143" s="122" t="inlineStr">
        <is>
          <t>Code</t>
        </is>
      </c>
      <c r="G143" s="84" t="inlineStr">
        <is>
          <t>Profile claim: confirm-your-email screens</t>
        </is>
      </c>
      <c r="H143" s="116" t="inlineStr">
        <is>
          <t>Claimants now confirm their email before the school can verify (2S8-PMO-02 decision 5). (1) After 'That's me' on the claim form, say 'check your email' (the claim state is now PENDING_EMAIL). (2) /athletes/[slug] reads the claim= flag (confirmed, expired-resent, closed, invalid) and shows a message. (3) A proper confirmation page that POSTs the token on a button press (POST /public/athlete-claims/confirm-email), so mail-client link scanners can't confirm a claim by prefetching the GET link; then point the email at it.</t>
        </is>
      </c>
      <c r="I143" s="108" t="inlineStr">
        <is>
          <t>Done</t>
        </is>
      </c>
      <c r="J143" s="108" t="n">
        <v>1</v>
      </c>
      <c r="K143" s="109" t="n">
        <v>46302</v>
      </c>
      <c r="L143" s="109" t="n">
        <v>46302</v>
      </c>
      <c r="M143" s="110" t="inlineStr">
        <is>
          <t>HeckerCreatives</t>
        </is>
      </c>
      <c r="N143" s="85" t="n"/>
      <c r="O143" s="84" t="inlineStr">
        <is>
          <t>2S8-PMO-02</t>
        </is>
      </c>
      <c r="P143" s="84" t="inlineStr">
        <is>
          <t>A claimant is told to check their email, confirms on a page with a button, and sees the outcome on the profile</t>
        </is>
      </c>
      <c r="Q143" s="86" t="inlineStr">
        <is>
          <t>documentation/SponsorX-Security-Review-2026-10.md (decision 5)</t>
        </is>
      </c>
      <c r="R143"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4" s="75">
      <c r="A144" s="112" t="n">
        <v>64.5</v>
      </c>
      <c r="B144" s="113" t="inlineStr">
        <is>
          <t>2S8-PMO-03</t>
        </is>
      </c>
      <c r="C144" s="85" t="n">
        <v>8</v>
      </c>
      <c r="D144" s="86" t="inlineStr">
        <is>
          <t>Sprint 8 · QA, security &amp; rollout</t>
        </is>
      </c>
      <c r="E144" s="121" t="inlineStr">
        <is>
          <t>PMO</t>
        </is>
      </c>
      <c r="F144" s="122" t="inlineStr">
        <is>
          <t>Document</t>
        </is>
      </c>
      <c r="G144" s="84" t="inlineStr">
        <is>
          <t>First real outside team at go-live</t>
        </is>
      </c>
      <c r="H144" s="116" t="inlineStr">
        <is>
          <t>Split from 2S8-PMO-01 on 2026-10-09. The first real outside team, its athlete and a real sponsor onboard, transact and get paid on production — the real-person check the simulated UAT can't give (does a person get stuck in sign-up or payout set-up?). Waits for the owner's go-live; not part of Phase 2's sign-off.</t>
        </is>
      </c>
      <c r="I144" s="108" t="inlineStr">
        <is>
          <t>Blocked</t>
        </is>
      </c>
      <c r="J144" s="108" t="n">
        <v>1</v>
      </c>
      <c r="K144" s="109" t="n"/>
      <c r="L144" s="109" t="n"/>
      <c r="M144" s="110" t="n"/>
      <c r="N144" s="85" t="n">
        <v>0</v>
      </c>
      <c r="O144" s="84" t="inlineStr">
        <is>
          <t>2S8-PMO-01, the owner's go-live (payments on in production)</t>
        </is>
      </c>
      <c r="P144" s="84" t="inlineStr">
        <is>
          <t>A real outside team, athlete and sponsor complete sign-up, a paid order and a payout on production; anything they got stuck on is recorded and raised as a task</t>
        </is>
      </c>
      <c r="Q144" s="86" t="inlineStr">
        <is>
          <t>documentation/SponsorX-Phase2-Acceptance-Signoff.md</t>
        </is>
      </c>
      <c r="R144" s="111" t="inlineStr">
        <is>
          <t>2026-10-09 raised by 2S8-PMO-01 (definition change, owner's authority). WAITING ON: go-live.</t>
        </is>
      </c>
    </row>
  </sheetData>
  <autoFilter ref="A4:R144"/>
  <mergeCells count="2">
    <mergeCell ref="A2:R2"/>
    <mergeCell ref="A1:R1"/>
  </mergeCells>
  <conditionalFormatting sqref="I5:I14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44">
    <cfRule type="expression" rank="0" priority="7" equalAverage="0" aboveAverage="0" dxfId="32" text="" percent="0" bottom="0">
      <formula>$I5="Done"</formula>
    </cfRule>
  </conditionalFormatting>
  <conditionalFormatting sqref="N5:N144">
    <cfRule type="cellIs" rank="0" priority="8" equalAverage="0" operator="greaterThanOrEqual" aboveAverage="0" dxfId="33" text="" percent="0" bottom="0">
      <formula>50</formula>
    </cfRule>
  </conditionalFormatting>
  <dataValidations count="1">
    <dataValidation sqref="I5:I14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Done</t>
        </is>
      </c>
      <c r="J5" s="108" t="n">
        <v>3</v>
      </c>
      <c r="K5" s="109" t="n">
        <v>46310</v>
      </c>
      <c r="L5" s="109" t="n">
        <v>46310</v>
      </c>
      <c r="M5" s="110" t="inlineStr">
        <is>
          <t>rcfworks</t>
        </is>
      </c>
      <c r="N5" s="81" t="n">
        <v>0</v>
      </c>
      <c r="O5" s="80" t="inlineStr">
        <is>
          <t>Phase 2 complete</t>
        </is>
      </c>
      <c r="P5" s="80" t="inlineStr">
        <is>
          <t>Written definitions for every attribution class, with the reporting language each is allowed to use</t>
        </is>
      </c>
      <c r="Q5" s="82" t="inlineStr">
        <is>
          <t>Spec §17.4, §22</t>
        </is>
      </c>
      <c r="R5" s="111" t="inlineStr">
        <is>
          <t>Drafted 2026-10-15 (rcfworks) for the owner's approval: documentation/SponsorX-Attribution-Claims.md — four classes, evidence, the words each may/never use, never summed, no ROI from modelled/estimated, provenance, zero not a guess. Unblocks 3S6-BE-01; legal review is 3S0-LEG-01. | Done 2026-10-15: merged (#230), acceptance met.</t>
        </is>
      </c>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Done</t>
        </is>
      </c>
      <c r="J6" s="108" t="n">
        <v>3</v>
      </c>
      <c r="K6" s="109" t="n">
        <v>46310</v>
      </c>
      <c r="L6" s="109" t="n">
        <v>46310</v>
      </c>
      <c r="M6" s="110" t="inlineStr">
        <is>
          <t>rcfworks</t>
        </is>
      </c>
      <c r="N6" s="85" t="n">
        <v>0</v>
      </c>
      <c r="O6" s="84" t="inlineStr">
        <is>
          <t>Phase 2 complete</t>
        </is>
      </c>
      <c r="P6" s="84" t="inlineStr">
        <is>
          <t>Governance policy written: versioning, confidence, explanation, override, monitoring and rollback</t>
        </is>
      </c>
      <c r="Q6" s="86" t="inlineStr">
        <is>
          <t>Spec §15</t>
        </is>
      </c>
      <c r="R6" s="111" t="inlineStr">
        <is>
          <t>Drafted 2026-10-15 (rcfworks) for the owner's approval: documentation/SponsorX-Model-Governance.md — versioning per tenant, draft→validated→active→retired, automatic validation inside safe ranges and a second person outside (automation first), confidence/explanation, overrides, rollback and compare without deploy, per-tenant switches, who, monitoring. | Done 2026-10-15: merged to main (#221/#223 via #222), acceptance met, tests green.</t>
        </is>
      </c>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Done</t>
        </is>
      </c>
      <c r="J7" s="108" t="n">
        <v>3</v>
      </c>
      <c r="K7" s="109" t="n">
        <v>46307</v>
      </c>
      <c r="L7" s="109" t="n">
        <v>46307</v>
      </c>
      <c r="M7" s="110" t="inlineStr">
        <is>
          <t>rcfworks</t>
        </is>
      </c>
      <c r="N7" s="81" t="n">
        <v>5</v>
      </c>
      <c r="O7" s="80" t="inlineStr">
        <is>
          <t>Phase 2 complete</t>
        </is>
      </c>
      <c r="P7" s="80" t="inlineStr">
        <is>
          <t>Every event type inventoried with its definition, source and known gaps</t>
        </is>
      </c>
      <c r="Q7" s="82" t="inlineStr">
        <is>
          <t>Spec §21</t>
        </is>
      </c>
      <c r="R7" s="111" t="inlineStr">
        <is>
          <t>documentation/SponsorX-Event-Taxonomy-Audit.md: 9 event families, about 320 audit actions in 72 families (Appendix A, generated from the code), 22 job names, 22 sweeps; 17 known gaps (G1–G17) with follow-ups. Highest: reward-event geography never filled (G2), GeoLite unset in every environment (G3), MetricDaily has no timestamp and is overwritten (G7), notify.campaignLive has no consumer (G1). Gaps raised as tasks 2026-10-12: G7 → 3S0-BE-01, G1 → 3S0-BE-02, G9 → 3S0-BE-03, G4 → 3S0-BE-04, G2/G3 → 3S0-BE-05 (+ 3S0-FE-01).</t>
        </is>
      </c>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Done</t>
        </is>
      </c>
      <c r="J8" s="108" t="n">
        <v>5</v>
      </c>
      <c r="K8" s="109" t="n">
        <v>46307</v>
      </c>
      <c r="L8" s="109" t="n">
        <v>46307</v>
      </c>
      <c r="M8" s="110" t="inlineStr">
        <is>
          <t>rcfworks</t>
        </is>
      </c>
      <c r="N8" s="85" t="n">
        <v>0</v>
      </c>
      <c r="O8" s="84" t="inlineStr">
        <is>
          <t>3S0-DATA-01</t>
        </is>
      </c>
      <c r="P8" s="84" t="inlineStr">
        <is>
          <t>Warehouse schema designed and reviewed; the daily campaign fact table and its dimensions are specified</t>
        </is>
      </c>
      <c r="Q8" s="86" t="inlineStr">
        <is>
          <t>Spec §19</t>
        </is>
      </c>
      <c r="R8" s="111" t="inlineStr">
        <is>
          <t>documentation/SponsorX-Warehouse-Schema.md: separate Postgres on Railway (raw → stg → dw → sem); fact_campaign_daily at campaign × athlete × channel × inventory × day, fully specified; 8 dimensions (sponsor, property, athlete type 2); semantic metrics; companion facts; zero-tolerance reconciliation for 3S1-QA-01. Appendix SQL run clean on Postgres 2026-10-12. Awaiting the user's review sign-off (§10) — the "reviewed" clause. v1.1: O1 closed by 3S0-BE-06; marketplace fact + ledger/payment snapshots fully specified; §11 maps Spec §19's product tables to tasks and existing code (Builds-on lines added to 9 Phase 3 tasks). Signed off 2026-10-12 by rcfworks with Rodney's delegated authority (§10). SUPERSEDED 2026-10-13: replaced by the fact ledger (3S1-BE-01…); retired by 3S1-OPS-02.</t>
        </is>
      </c>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Done</t>
        </is>
      </c>
      <c r="J9" s="108" t="n">
        <v>3</v>
      </c>
      <c r="K9" s="109" t="n">
        <v>46307</v>
      </c>
      <c r="L9" s="109" t="n">
        <v>46307</v>
      </c>
      <c r="M9" s="110" t="inlineStr">
        <is>
          <t>rcfworks</t>
        </is>
      </c>
      <c r="N9" s="81" t="n">
        <v>0</v>
      </c>
      <c r="O9" s="80" t="inlineStr">
        <is>
          <t>3S0-DATA-02</t>
        </is>
      </c>
      <c r="P9" s="80" t="inlineStr">
        <is>
          <t>Warehouse and transformation tooling selected, provisioned and cost-modelled</t>
        </is>
      </c>
      <c r="Q9" s="82" t="inlineStr">
        <is>
          <t>Spec §20</t>
        </is>
      </c>
      <c r="R9" s="111" t="inlineStr">
        <is>
          <t>Selected: Postgres on Railway, US East; transforms as SQL files run by the worker (no dbt) — .claude/stack-decision.md Addendum C. Provisioned 2026-10-12: Postgres-warehouse (staging) and Postgres-warehouse-production, PITR + daily/weekly(/monthly) backups; warehouse_reader read-only login with allow-listed column grants on each product DB; WAREHOUSE_DATABASE_URL + WAREHOUSE_SOURCE_DATABASE_URL on both api services. Verified: run 1 in each environment matched the app on all 28 tables (staging 191 rows, production 7), no personal data; reader refused email, User and writes. Cost model: ≈$3.50/month per environment now, $9–14/month both in year one. SUPERSEDED 2026-10-13: replaced by the fact ledger (3S1-BE-01…); retired by 3S1-OPS-02.</t>
        </is>
      </c>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Done</t>
        </is>
      </c>
      <c r="J10" s="108" t="n">
        <v>5</v>
      </c>
      <c r="K10" s="109" t="n">
        <v>46307</v>
      </c>
      <c r="L10" s="109" t="n">
        <v>46307</v>
      </c>
      <c r="M10" s="110" t="inlineStr">
        <is>
          <t>rcfworks</t>
        </is>
      </c>
      <c r="N10" s="81" t="n">
        <v>0</v>
      </c>
      <c r="O10" s="80" t="inlineStr">
        <is>
          <t>3S0-DATA-02</t>
        </is>
      </c>
      <c r="P10" s="80" t="inlineStr">
        <is>
          <t>Ingestion runs on schedule and is safe to re-run</t>
        </is>
      </c>
      <c r="Q10" s="82" t="inlineStr">
        <is>
          <t>Spec §21</t>
        </is>
      </c>
      <c r="R10" s="111" t="inlineStr">
        <is>
          <t>backend/worker/warehouse/: allow-list (sources.mts, 28 tables, no personal data), ingest.mts (APPEND by watermark−48h, VERSIONED by row hash with deleted versions; one REPEATABLE READ READ ONLY snapshot; advisory lock; raw._ingest_run log), migrations/*.sql. Worker runs it hourly when WAREHOUSE_DATABASE_URL is set. Tests: tests/warehouse-ingest.test.ts (13, against product + warehouse Postgres). Running hourly on staging since 2026-10-12 (run 1: all 28 tables matched the app, 191 rows, no personal data). SUPERSEDED 2026-10-13: replaced by the fact ledger (3S1-BE-01…); retired by 3S1-OPS-02.</t>
        </is>
      </c>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Done</t>
        </is>
      </c>
      <c r="J11" s="108" t="n">
        <v>5</v>
      </c>
      <c r="K11" s="109" t="n">
        <v>46308</v>
      </c>
      <c r="L11" s="109" t="n">
        <v>46308</v>
      </c>
      <c r="M11" s="110" t="inlineStr">
        <is>
          <t>rcfworks</t>
        </is>
      </c>
      <c r="N11" s="85" t="n">
        <v>0</v>
      </c>
      <c r="O11" s="84" t="inlineStr">
        <is>
          <t>3S1-DATA-01</t>
        </is>
      </c>
      <c r="P11" s="84" t="inlineStr">
        <is>
          <t>Warehouse metrics reconcile to transactional campaign, order and payment totals within defined tolerance</t>
        </is>
      </c>
      <c r="Q11" s="86" t="inlineStr">
        <is>
          <t>Spec §19, §22</t>
        </is>
      </c>
      <c r="R11" s="111" t="inlineStr">
        <is>
          <t>backend/worker/warehouse/: migrations/0002_model.sql (dims, fact_campaign_daily, fact_marketplace_order_line, two snapshots; computed keys), transforms/10–60 (stg, dims with type-2 history, facts, snapshots, sem views) rebuilt after every hourly copy in one transaction, reconcile.mts (11 zero-tolerance checks). Tests: tests/warehouse-model.test.ts (14). Live proof on staging and production follows the deploy. Review 2026-10-13: the hourly run records its build time and a like-for-like double-check; money snapshots are a diary; the warehouse rule is enforced by tests/warehouse-boundary.test.ts. Incremental build raised as 3S1-DATA-04. Live 2026-10-13 (release 91ca9e8): run 16 in staging (build 112 ms) and production (129 ms), hourly double-check clean in both, zero differences. Staging has no campaigns yet, so the campaign checks have nothing to compare; marketplace, ledger and payment checks matched on real data. SUPERSEDED 2026-10-13: replaced by the fact ledger (3S1-BE-01…); retired by 3S1-OPS-02.</t>
        </is>
      </c>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Done</t>
        </is>
      </c>
      <c r="J12" s="108" t="n">
        <v>3</v>
      </c>
      <c r="K12" s="109" t="n">
        <v>46309</v>
      </c>
      <c r="L12" s="109" t="n">
        <v>46310</v>
      </c>
      <c r="M12" s="110" t="inlineStr">
        <is>
          <t>rcfworks</t>
        </is>
      </c>
      <c r="N12" s="81" t="n">
        <v>0</v>
      </c>
      <c r="O12" s="80" t="inlineStr">
        <is>
          <t>3S1-OPS-04</t>
        </is>
      </c>
      <c r="P12" s="80" t="inlineStr">
        <is>
          <t>Benchmarks compute with sample sizes exposed and refresh on schedule</t>
        </is>
      </c>
      <c r="Q12" s="82" t="inlineStr">
        <is>
          <t>Spec §19</t>
        </is>
      </c>
      <c r="R12" s="111" t="inlineStr">
        <is>
          <t>Re-pointed 2026-10-13 to the fact ledger (3S1-BE-01…): reads the daily summaries in the app database, not the warehouse. Acceptance checked and moved to Done 2026-10-15 (rcfworks): criterion met, tests green, live in staging and production.</t>
        </is>
      </c>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Nightly fact check</t>
        </is>
      </c>
      <c r="H13" s="116" t="inlineStr">
        <is>
          <t>Automated proof that the warehouse agrees with the source system. Run it every night, not once at launch.</t>
        </is>
      </c>
      <c r="I13" s="108" t="inlineStr">
        <is>
          <t>Done</t>
        </is>
      </c>
      <c r="J13" s="108" t="n">
        <v>3</v>
      </c>
      <c r="K13" s="109" t="n">
        <v>46308</v>
      </c>
      <c r="L13" s="109" t="n">
        <v>46310</v>
      </c>
      <c r="M13" s="110" t="inlineStr">
        <is>
          <t>rcfworks</t>
        </is>
      </c>
      <c r="N13" s="85" t="n">
        <v>0</v>
      </c>
      <c r="O13" s="84" t="inlineStr">
        <is>
          <t>3S1-OPS-04</t>
        </is>
      </c>
      <c r="P13" s="84" t="inlineStr">
        <is>
          <t>A nightly check that the daily summaries equal the sum of the facts and that the facts agree with the app's current records; a mismatch emails BTG admins once (and once on recovery) and shows on the admin integration-health data</t>
        </is>
      </c>
      <c r="Q13" s="86" t="inlineStr">
        <is>
          <t>Spec §22</t>
        </is>
      </c>
      <c r="R13" s="111" t="inlineStr">
        <is>
          <t>backend/src/domain/fact-nightly.ts runNightlyFactCheck: worker hourly tick, runs once a day at/after 19:00 UTC (FactCheckRun unique day — migration 20261013150000_fact_check_run; dead run taken over after 1h; a run that errored retried next tick, never emailed). Both checks, read-only, every tenant. Emails each tenant's active BTG admins once when its figures stop matching (facts.checkFailed: plain-words differences, records untouched, link to integrations) and once on recovery (facts.checkRecovered: since when) — only where FACT_CHECK_EMAILS=on. GET /operations/integration-health gains `facts` (last run, matches, failingSince, differences in words, emails, lastError) for the caller's tenant. Tests: fact-nightly.test.ts (7). Full suite 204 files / 3,219 tests green twice. Screen: 3S1-FE-01 raised. Acceptance checked and moved to Done 2026-10-15 (rcfworks): criterion met, tests green, live in staging and production.</t>
        </is>
      </c>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Done</t>
        </is>
      </c>
      <c r="J14" s="108" t="n">
        <v>5</v>
      </c>
      <c r="K14" s="109" t="n">
        <v>46309</v>
      </c>
      <c r="L14" s="109" t="n">
        <v>46310</v>
      </c>
      <c r="M14" s="110" t="inlineStr">
        <is>
          <t>rcfworks</t>
        </is>
      </c>
      <c r="N14" s="81" t="n">
        <v>0</v>
      </c>
      <c r="O14" s="80" t="inlineStr">
        <is>
          <t>3S1-OPS-04</t>
        </is>
      </c>
      <c r="P14" s="80" t="inlineStr">
        <is>
          <t>Feature snapshots generate on schedule and are retrievable by entity and date</t>
        </is>
      </c>
      <c r="Q14" s="82" t="inlineStr">
        <is>
          <t>Spec §19</t>
        </is>
      </c>
      <c r="R14" s="111" t="inlineStr">
        <is>
          <t>Re-pointed 2026-10-13 to the fact ledger (3S1-BE-01…): reads the daily summaries in the app database, not the warehouse. Acceptance checked and moved to Done 2026-10-15 (rcfworks): criterion met, tests green, live in staging and production.</t>
        </is>
      </c>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Done</t>
        </is>
      </c>
      <c r="J15" s="108" t="n">
        <v>5</v>
      </c>
      <c r="K15" s="109" t="n">
        <v>46309</v>
      </c>
      <c r="L15" s="109" t="n">
        <v>46310</v>
      </c>
      <c r="M15" s="110" t="inlineStr">
        <is>
          <t>rcfworks</t>
        </is>
      </c>
      <c r="N15" s="85" t="n">
        <v>0</v>
      </c>
      <c r="O15" s="84" t="inlineStr">
        <is>
          <t>3S2-BE-01</t>
        </is>
      </c>
      <c r="P15" s="84" t="inlineStr">
        <is>
          <t>Every recommended price exposes model version, confidence and factor breakdown</t>
        </is>
      </c>
      <c r="Q15" s="86" t="inlineStr">
        <is>
          <t>Spec §17.1, §22</t>
        </is>
      </c>
      <c r="R15" s="111" t="inlineStr">
        <is>
          <t>Acceptance checked and moved to Done 2026-10-15 (rcfworks): criterion met, tests green, live in staging and production.</t>
        </is>
      </c>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Done</t>
        </is>
      </c>
      <c r="J16" s="108" t="n">
        <v>3</v>
      </c>
      <c r="K16" s="109" t="n">
        <v>46309</v>
      </c>
      <c r="L16" s="109" t="n">
        <v>46310</v>
      </c>
      <c r="M16" s="110" t="inlineStr">
        <is>
          <t>rcfworks</t>
        </is>
      </c>
      <c r="N16" s="81" t="n">
        <v>0</v>
      </c>
      <c r="O16" s="80" t="inlineStr">
        <is>
          <t>3S2-BE-02</t>
        </is>
      </c>
      <c r="P16" s="80" t="inlineStr">
        <is>
          <t>Admin can override a price only with the right permission and a recorded reason; the recommendation is unchanged</t>
        </is>
      </c>
      <c r="Q16" s="82" t="inlineStr">
        <is>
          <t>Spec §17.1, §22</t>
        </is>
      </c>
      <c r="R16" s="111" t="inlineStr">
        <is>
          <t>Acceptance checked and moved to Done 2026-10-15 (rcfworks): criterion met, tests green, live in staging and production. QA 2026-10-15 (HeckerCreatives): an override above $10,000 CPM was accepted on the wire — now 400 (OVERRIDE_MAX_CENTS, contract + test); an unknown ?view on the desk is now 400 like an unknown kind/risk (PricingDeskQuery, documented in the spec).</t>
        </is>
      </c>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Done</t>
        </is>
      </c>
      <c r="J17" s="108" t="n">
        <v>5</v>
      </c>
      <c r="K17" s="109" t="n">
        <v>46308</v>
      </c>
      <c r="L17" s="109" t="n">
        <v>46308</v>
      </c>
      <c r="M17" s="110" t="inlineStr">
        <is>
          <t>HeckerCreatives</t>
        </is>
      </c>
      <c r="N17" s="85" t="n">
        <v>0</v>
      </c>
      <c r="O17" s="84" t="inlineStr">
        <is>
          <t>3S2-BE-02</t>
        </is>
      </c>
      <c r="P17" s="84" t="inlineStr">
        <is>
          <t>Panel shows the full factor breakdown and confidence for any inventory item</t>
        </is>
      </c>
      <c r="Q17" s="86" t="inlineStr">
        <is>
          <t>Spec §16 P3-01</t>
        </is>
      </c>
      <c r="R17" s="111" t="inlineStr">
        <is>
          <t>UI built 2026-10-13 (branch feature/3S-FE-phase3-screens): /admin/intelligence/pricing, against the proposed contract in documentation/SponsorX-Phase3-Screen-Contracts.md. Until 3S2-BE-02 is mounted the screen shows EnginePending and no figures (owner decision: FE only, honest empty states); ?demo=sample previews the live layout in development only. Marked Done by the owner 2026-10-13 (UI complete); when 3S2-BE-02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(3S2-BE-01/02/03); walked live 2026-10-15 as BTG admin + Sales, desktop + phone: 16 priced items, factor breakdown, an override saved as its own record (recommendation unchanged), Sales locked out of the override. Contract as proposed; v1 prices athlete items only.</t>
        </is>
      </c>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Done</t>
        </is>
      </c>
      <c r="J18" s="108" t="n">
        <v>3</v>
      </c>
      <c r="K18" s="109" t="n">
        <v>46309</v>
      </c>
      <c r="L18" s="109" t="n">
        <v>46310</v>
      </c>
      <c r="M18" s="110" t="inlineStr">
        <is>
          <t>rcfworks</t>
        </is>
      </c>
      <c r="N18" s="81" t="n">
        <v>0</v>
      </c>
      <c r="O18" s="80" t="inlineStr">
        <is>
          <t>3S2-BE-01</t>
        </is>
      </c>
      <c r="P18" s="80" t="inlineStr">
        <is>
          <t>A sponsor brief captures all matching inputs including exclusions</t>
        </is>
      </c>
      <c r="Q18" s="82" t="inlineStr">
        <is>
          <t>Spec §19</t>
        </is>
      </c>
      <c r="R18" s="111" t="inlineStr">
        <is>
          <t>Acceptance checked and moved to Done 2026-10-15 (rcfworks): criterion met, tests green, live in staging and production. QA 2026-10-15 (HeckerCreatives): BTG never saw the four new brief fields — now shown as 'Sponsor asks' on the brief desk, the Matching Studio header and above the explorer's ranking (briefAsksLine). Round two: NETWORK_MGR could not use either matching desk (no campaignBrief read while §29 has them saving shortlists) — read granted own-tenant, matrix row corrected, authz digest updated; repeated channels/tiers/exclusions in a brief body now stored as a set.</t>
        </is>
      </c>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Done</t>
        </is>
      </c>
      <c r="J19" s="108" t="n">
        <v>5</v>
      </c>
      <c r="K19" s="109" t="n">
        <v>46309</v>
      </c>
      <c r="L19" s="109" t="n">
        <v>46310</v>
      </c>
      <c r="M19" s="110" t="inlineStr">
        <is>
          <t>rcfworks</t>
        </is>
      </c>
      <c r="N19" s="85" t="n">
        <v>0</v>
      </c>
      <c r="O19" s="84" t="inlineStr">
        <is>
          <t>3S3-BE-01</t>
        </is>
      </c>
      <c r="P19" s="84" t="inlineStr">
        <is>
          <t>Brief produces ranked recommendations with explanation factors within the agreed response time</t>
        </is>
      </c>
      <c r="Q19" s="86" t="inlineStr">
        <is>
          <t>Spec §17.2, §22</t>
        </is>
      </c>
      <c r="R19" s="111" t="inlineStr">
        <is>
          <t>Acceptance checked and moved to Done 2026-10-15 (rcfworks): criterion met, tests green, live in staging and production.</t>
        </is>
      </c>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Done</t>
        </is>
      </c>
      <c r="J20" s="108" t="n">
        <v>3</v>
      </c>
      <c r="K20" s="109" t="n">
        <v>46309</v>
      </c>
      <c r="L20" s="109" t="n">
        <v>46310</v>
      </c>
      <c r="M20" s="110" t="inlineStr">
        <is>
          <t>rcfworks</t>
        </is>
      </c>
      <c r="N20" s="81" t="n">
        <v>0</v>
      </c>
      <c r="O20" s="80" t="inlineStr">
        <is>
          <t>3S3-BE-02</t>
        </is>
      </c>
      <c r="P20" s="80" t="inlineStr">
        <is>
          <t>Match explorer never returns unavailable or category-conflicted inventory</t>
        </is>
      </c>
      <c r="Q20" s="82" t="inlineStr">
        <is>
          <t>Spec §22</t>
        </is>
      </c>
      <c r="R20" s="111" t="inlineStr">
        <is>
          <t>Acceptance checked and moved to Done 2026-10-15 (rcfworks): criterion met, tests green, live in staging and production.</t>
        </is>
      </c>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Done</t>
        </is>
      </c>
      <c r="J21" s="108" t="n">
        <v>5</v>
      </c>
      <c r="K21" s="109" t="n">
        <v>46308</v>
      </c>
      <c r="L21" s="109" t="n">
        <v>46308</v>
      </c>
      <c r="M21" s="110" t="inlineStr">
        <is>
          <t>HeckerCreatives</t>
        </is>
      </c>
      <c r="N21" s="85" t="n">
        <v>0</v>
      </c>
      <c r="O21" s="84" t="inlineStr">
        <is>
          <t>3S3-BE-02</t>
        </is>
      </c>
      <c r="P21" s="84" t="inlineStr">
        <is>
          <t>Explorer ranks, explains and saves shortlists</t>
        </is>
      </c>
      <c r="Q21" s="86" t="inlineStr">
        <is>
          <t>Spec §16 P3-02</t>
        </is>
      </c>
      <c r="R21" s="111" t="inlineStr">
        <is>
          <t>UI built 2026-10-13 (branch feature/3S-FE-phase3-screens): /admin/intelligence/matching, against the proposed contract in documentation/SponsorX-Phase3-Screen-Contracts.md. Until 3S3-BE-02 is mounted the screen shows EnginePending and no figures (owner decision: FE only, honest empty states); ?demo=sample previews the live layout in development only. Marked Done by the owner 2026-10-13 (UI complete); when 3S3-BE-02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(3S3-BE-01/02/03); walked live 2026-10-15: ranked athletes/properties/inventory for a real brief, factor drawer, shortlist saved. Change: Sales reads but cannot save (API 403) so the screen offers picks/Save only to BTG admins, campaign and network managers (canSaveShortlist). Sponsor brief drawer now sends excludedCategories, channels, audienceTiers, audienceMinFollowers.</t>
        </is>
      </c>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Done</t>
        </is>
      </c>
      <c r="J22" s="108" t="n">
        <v>3</v>
      </c>
      <c r="K22" s="109" t="n">
        <v>46309</v>
      </c>
      <c r="L22" s="109" t="n">
        <v>46310</v>
      </c>
      <c r="M22" s="110" t="inlineStr">
        <is>
          <t>rcfworks</t>
        </is>
      </c>
      <c r="N22" s="81" t="n">
        <v>0</v>
      </c>
      <c r="O22" s="80" t="inlineStr">
        <is>
          <t>3S1-DATA-02</t>
        </is>
      </c>
      <c r="P22" s="80" t="inlineStr">
        <is>
          <t>Pacing computes nightly for every active campaign</t>
        </is>
      </c>
      <c r="Q22" s="82" t="inlineStr">
        <is>
          <t>Spec §17.3</t>
        </is>
      </c>
      <c r="R22" s="111" t="inlineStr">
        <is>
          <t>Acceptance checked and moved to Done 2026-10-15 (rcfworks): criterion met, tests green, live in staging and production.</t>
        </is>
      </c>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Done</t>
        </is>
      </c>
      <c r="J23" s="108" t="n">
        <v>5</v>
      </c>
      <c r="K23" s="109" t="n">
        <v>46309</v>
      </c>
      <c r="L23" s="109" t="n">
        <v>46310</v>
      </c>
      <c r="M23" s="110" t="inlineStr">
        <is>
          <t>rcfworks</t>
        </is>
      </c>
      <c r="N23" s="85" t="n">
        <v>0</v>
      </c>
      <c r="O23" s="84" t="inlineStr">
        <is>
          <t>3S4-DATA-01</t>
        </is>
      </c>
      <c r="P23" s="84" t="inlineStr">
        <is>
          <t>Forecast refreshes automatically and persists historical forecasts</t>
        </is>
      </c>
      <c r="Q23" s="86" t="inlineStr">
        <is>
          <t>Spec §17.3, §22</t>
        </is>
      </c>
      <c r="R23" s="111" t="inlineStr">
        <is>
          <t>Acceptance checked and moved to Done 2026-10-15 (rcfworks): criterion met, tests green, live in staging and production. QA 2026-10-15 (HeckerCreatives): a guarantee could be set on a campaign past its end date (still ACTIVE, never forecast) — now 422 'ended on …' (setGuarantee, test fo_Z).</t>
        </is>
      </c>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Done</t>
        </is>
      </c>
      <c r="J24" s="108" t="n">
        <v>3</v>
      </c>
      <c r="K24" s="109" t="n">
        <v>46309</v>
      </c>
      <c r="L24" s="109" t="n">
        <v>46310</v>
      </c>
      <c r="M24" s="110" t="inlineStr">
        <is>
          <t>rcfworks</t>
        </is>
      </c>
      <c r="N24" s="81" t="n">
        <v>0</v>
      </c>
      <c r="O24" s="80" t="inlineStr">
        <is>
          <t>3S4-BE-01</t>
        </is>
      </c>
      <c r="P24" s="80" t="inlineStr">
        <is>
          <t>At-risk campaigns generate actionable alerts before campaign end, not after</t>
        </is>
      </c>
      <c r="Q24" s="82" t="inlineStr">
        <is>
          <t>Spec §17.3, §22</t>
        </is>
      </c>
      <c r="R24" s="111" t="inlineStr">
        <is>
          <t>Acceptance checked and moved to Done 2026-10-15 (rcfworks): criterion met, tests green, live in staging and production.</t>
        </is>
      </c>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Done</t>
        </is>
      </c>
      <c r="J25" s="108" t="n">
        <v>5</v>
      </c>
      <c r="K25" s="109" t="n">
        <v>46308</v>
      </c>
      <c r="L25" s="109" t="n">
        <v>46308</v>
      </c>
      <c r="M25" s="110" t="inlineStr">
        <is>
          <t>HeckerCreatives</t>
        </is>
      </c>
      <c r="N25" s="85" t="n">
        <v>0</v>
      </c>
      <c r="O25" s="84" t="inlineStr">
        <is>
          <t>3S4-BE-01</t>
        </is>
      </c>
      <c r="P25" s="84" t="inlineStr">
        <is>
          <t>Dashboard shows pacing and risk for every active campaign</t>
        </is>
      </c>
      <c r="Q25" s="86" t="inlineStr">
        <is>
          <t>Spec §16 P3-03</t>
        </is>
      </c>
      <c r="R25" s="111" t="inlineStr">
        <is>
          <t>UI built 2026-10-13 (branch feature/3S-FE-phase3-screens): /admin/intelligence/forecasts, against the proposed contract in documentation/SponsorX-Phase3-Screen-Contracts.md. Until 3S4-BE-01 is mounted the screen shows EnginePending and no figures (owner decision: FE only, honest empty states); ?demo=sample previews the live layout in development only. Marked Done by the owner 2026-10-13 (UI complete); when 3S4-BE-01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(3S4-DATA-01, 3S4-BE-01/02); walked live 2026-10-15: 2 active campaigns forecast, at-risk alert, pacing chart. Added the engine's one write the proposal lacked: the guarantee control on the detail page (PUT …/guarantee, BTG admins + campaign managers; Sales locked; applies from tonight's forecast).
QA round three 2026-10-19: the detail now renders the API's makeGoods as a Make-goods card (status, substitute, decider, run window) instead of only linking to the centre.</t>
        </is>
      </c>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Done</t>
        </is>
      </c>
      <c r="J26" s="108" t="n">
        <v>5</v>
      </c>
      <c r="K26" s="109" t="n">
        <v>46310</v>
      </c>
      <c r="L26" s="109" t="n">
        <v>46310</v>
      </c>
      <c r="M26" s="110" t="inlineStr">
        <is>
          <t>rcfworks</t>
        </is>
      </c>
      <c r="N26" s="81" t="n">
        <v>0</v>
      </c>
      <c r="O26" s="80" t="inlineStr">
        <is>
          <t>3S4-BE-01</t>
        </is>
      </c>
      <c r="P26" s="80" t="inlineStr">
        <is>
          <t>Recommendations respect sponsor target, availability, exclusivity and estimated value equivalence</t>
        </is>
      </c>
      <c r="Q26" s="82" t="inlineStr">
        <is>
          <t>Spec §22</t>
        </is>
      </c>
      <c r="R26" s="111" t="inlineStr">
        <is>
          <t>Built 2026-10-15 (branch development/bob/be_batch_0924): nightly shortfall per at-risk campaign (guarantee − forecast, valued at what the sponsor paid per unit) with substitutes from the tenant's inventory — match engine's exclusivity/brand-safety filter, then the purchase paths' availability check over 14 days from tomorrow (user, 2026-10-15); each option has available / exclusivity / target checks, estimated delivery, equivalency and cost impact; up to 5 passing + 2 closer near-misses. GET /intelligence/make-goods, permission makeGood (RBAC §31). documentation/SponsorX-Make-Goods.md; tests/makegood.test.ts. Acceptance checked and moved to Done 2026-10-15 (rcfworks): criterion met, tests green, live in staging and production.</t>
        </is>
      </c>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Done</t>
        </is>
      </c>
      <c r="J27" s="108" t="n">
        <v>3</v>
      </c>
      <c r="K27" s="109" t="n">
        <v>46310</v>
      </c>
      <c r="L27" s="109" t="n">
        <v>46310</v>
      </c>
      <c r="M27" s="110" t="inlineStr">
        <is>
          <t>rcfworks</t>
        </is>
      </c>
      <c r="N27" s="85" t="n">
        <v>0</v>
      </c>
      <c r="O27" s="84" t="inlineStr">
        <is>
          <t>3S5-BE-01</t>
        </is>
      </c>
      <c r="P27" s="84" t="inlineStr">
        <is>
          <t>Make-good approval is recorded, audited and reflected in the campaign</t>
        </is>
      </c>
      <c r="Q27" s="86" t="inlineStr">
        <is>
          <t>Spec §18</t>
        </is>
      </c>
      <c r="R27" s="111" t="inlineStr">
        <is>
          <t>Built 2026-10-15: POST /intelligence/make-goods/{id}/approve by BTG admins and campaign managers with a note, plus automatic approval by SponsorX when every safety check passes (user, 2026-10-15: all checks, ≥90% coverage, no extra cost, no minor/school/age-gated category, verified estimate, ≥80% of flight gone); otherwise held with the reasons. Live re-check under the inventory lock, units committed (InventoryCommitment MAKE_GOOD), decision final (DB trigger), audited (makeGood.approve / makeGood.autoApprove), shown on the campaign detail and forecast. Note: the verified-estimate and 80%-of-flight conditions were proposed in the build and approved by the user 2026-10-15; they bind only the automatic approval (a person can approve any passing substitute at any time). Acceptance checked and moved to Done 2026-10-15 (rcfworks): criterion met, tests green, live in staging and production.</t>
        </is>
      </c>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Done</t>
        </is>
      </c>
      <c r="J28" s="108" t="n">
        <v>5</v>
      </c>
      <c r="K28" s="109" t="n">
        <v>46308</v>
      </c>
      <c r="L28" s="109" t="n">
        <v>46308</v>
      </c>
      <c r="M28" s="110" t="inlineStr">
        <is>
          <t>HeckerCreatives</t>
        </is>
      </c>
      <c r="N28" s="81" t="n">
        <v>0</v>
      </c>
      <c r="O28" s="80" t="inlineStr">
        <is>
          <t>3S5-BE-01</t>
        </is>
      </c>
      <c r="P28" s="80" t="inlineStr">
        <is>
          <t>Centre surfaces shortfalls and lets a manager approve a substitution</t>
        </is>
      </c>
      <c r="Q28" s="82" t="inlineStr">
        <is>
          <t>Spec §16 P3-04</t>
        </is>
      </c>
      <c r="R28" s="111" t="inlineStr">
        <is>
          <t>UI built 2026-10-13 (branch feature/3S-FE-phase3-screens): /admin/intelligence/make-goods, against the proposed contract in documentation/SponsorX-Phase3-Screen-Contracts.md. Until 3S5-BE-01 is mounted the screen shows EnginePending and no figures (owner decision: FE only, honest empty states); ?demo=sample previews the live layout in development only. Marked Done by the owner 2026-10-13 (UI complete); when 3S5-BE-01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3S5-BE-01/02's shape (status, automatic.heldBecause, decision.automatic/runsFrom/runsUntil, the API's note rule) and walked live.
QA round two 2026-10-19: held shortfall walked through the drawer (3 reasons, 3 substitutes, a person's approval, 409 after). Fixed: the shared count-up tile (ops-fx OpsCount) kept the previous number when a figure fell to 0 after a server-action refresh.</t>
        </is>
      </c>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Done</t>
        </is>
      </c>
      <c r="J29" s="108" t="n">
        <v>5</v>
      </c>
      <c r="K29" s="109" t="n">
        <v>46310</v>
      </c>
      <c r="L29" s="109" t="n">
        <v>46310</v>
      </c>
      <c r="M29" s="110" t="inlineStr">
        <is>
          <t>rcfworks</t>
        </is>
      </c>
      <c r="N29" s="85" t="n">
        <v>0</v>
      </c>
      <c r="O29" s="84" t="inlineStr">
        <is>
          <t>3S0-PMO-01</t>
        </is>
      </c>
      <c r="P29" s="84" t="inlineStr">
        <is>
          <t>A new attribution partner can be added as an adapter without changing the engine</t>
        </is>
      </c>
      <c r="Q29" s="86" t="inlineStr">
        <is>
          <t>Spec §17.4</t>
        </is>
      </c>
      <c r="R29" s="111" t="inlineStr">
        <is>
          <t>Built 2026-10-15 (rcfworks): adapter interface + registry (deterministic first, lookback, exact keys), generic-webhook-v1, partners with a once-shown token, public Bearer-token intake, every delivery kept with events and problems; a second adapter registered in the test with no engine change. Permission attribution (RBAC §36). documentation/SponsorX-Attribution-Framework.md. | Done 2026-10-15: merged (#234); a second adapter added in the test with no engine change.</t>
        </is>
      </c>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Done</t>
        </is>
      </c>
      <c r="J30" s="108" t="n">
        <v>5</v>
      </c>
      <c r="K30" s="109" t="n">
        <v>46311</v>
      </c>
      <c r="L30" s="109" t="n">
        <v>46311</v>
      </c>
      <c r="M30" s="110" t="inlineStr">
        <is>
          <t>rcfworks</t>
        </is>
      </c>
      <c r="N30" s="81" t="n">
        <v>0</v>
      </c>
      <c r="O30" s="80" t="inlineStr">
        <is>
          <t>3S6-BE-01</t>
        </is>
      </c>
      <c r="P30" s="80" t="inlineStr">
        <is>
          <t>Attribution events identify source, method and confidence; modelled revenue is never labelled verified</t>
        </is>
      </c>
      <c r="Q30" s="82" t="inlineStr">
        <is>
          <t>Spec §19, §22</t>
        </is>
      </c>
      <c r="R30" s="111" t="inlineStr">
        <is>
          <t>Built 2026-10-16 (rcfworks): PartnerSaleAttribution: source, method, key, window, confidence, model version; DB refuses a modelled sale labelled verified. SponsorX-Attribution-Matching.md §1.</t>
        </is>
      </c>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Done</t>
        </is>
      </c>
      <c r="J31" s="108" t="n">
        <v>5</v>
      </c>
      <c r="K31" s="109" t="n">
        <v>46311</v>
      </c>
      <c r="L31" s="109" t="n">
        <v>46311</v>
      </c>
      <c r="M31" s="110" t="inlineStr">
        <is>
          <t>rcfworks</t>
        </is>
      </c>
      <c r="N31" s="85" t="n">
        <v>0</v>
      </c>
      <c r="O31" s="84" t="inlineStr">
        <is>
          <t>3S6-BE-02</t>
        </is>
      </c>
      <c r="P31" s="84" t="inlineStr">
        <is>
          <t>Deterministic matches are attempted first; probabilistic matches carry an explicit method and confidence</t>
        </is>
      </c>
      <c r="Q31" s="86" t="inlineStr">
        <is>
          <t>Spec §17.4</t>
        </is>
      </c>
      <c r="R31" s="111" t="inlineStr">
        <is>
          <t>Built 2026-10-16 (rcfworks): Exact first (token, click id, order id) inside the window; modelled fallback attr-geo-time@0.1.0 only when no key matched and the adapter declares it. Sponsor hub reads it. SponsorX-Attribution-Matching.md §2.</t>
        </is>
      </c>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Done</t>
        </is>
      </c>
      <c r="J32" s="108" t="n">
        <v>3</v>
      </c>
      <c r="K32" s="109" t="n">
        <v>46311</v>
      </c>
      <c r="L32" s="109" t="n">
        <v>46311</v>
      </c>
      <c r="M32" s="110" t="inlineStr">
        <is>
          <t>rcfworks</t>
        </is>
      </c>
      <c r="N32" s="81" t="n">
        <v>0</v>
      </c>
      <c r="O32" s="80" t="inlineStr">
        <is>
          <t>3S6-BE-03</t>
        </is>
      </c>
      <c r="P32" s="80" t="inlineStr">
        <is>
          <t>Unmatched and ambiguous events remain in a reviewable queue</t>
        </is>
      </c>
      <c r="Q32" s="82" t="inlineStr">
        <is>
          <t>Spec §17.4</t>
        </is>
      </c>
      <c r="R32" s="111" t="inlineStr">
        <is>
          <t>Built 2026-10-16 (rcfworks): Queue with reasons (no_match, ambiguous, outside_window, unknown_token); nightly retry; BTG dismiss with reason, audited, stays visible. GET /intelligence/attribution. SponsorX-Attribution-Matching.md §3.
QA 2026-10-19 (HeckerCreatives, with the screen): dismissed.by resolved through peopleWords; dismissing a dismissed/matched sale is 409 attribution_decided, unknown id stays 404; test updated.
QA round three 2026-10-19 (HeckerCreatives): a dismissal that loses the race answers 409 attribution_decided, not 404.</t>
        </is>
      </c>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Done</t>
        </is>
      </c>
      <c r="J33" s="108" t="n">
        <v>5</v>
      </c>
      <c r="K33" s="109" t="n">
        <v>46308</v>
      </c>
      <c r="L33" s="109" t="n">
        <v>46308</v>
      </c>
      <c r="M33" s="110" t="inlineStr">
        <is>
          <t>HeckerCreatives</t>
        </is>
      </c>
      <c r="N33" s="85" t="n">
        <v>0</v>
      </c>
      <c r="O33" s="84" t="inlineStr">
        <is>
          <t>3S6-BE-02</t>
        </is>
      </c>
      <c r="P33" s="84" t="inlineStr">
        <is>
          <t>Dashboard distinguishes verified redemptions, verified transactions, modelled attribution and estimated media value</t>
        </is>
      </c>
      <c r="Q33" s="86" t="inlineStr">
        <is>
          <t>Spec §16 P3-05</t>
        </is>
      </c>
      <c r="R33" s="111" t="inlineStr">
        <is>
          <t>UI built 2026-10-13 (branch feature/3S-FE-phase3-screens): /admin/intelligence/attribution, against the proposed contract in documentation/SponsorX-Phase3-Screen-Contracts.md. Until 3S6-BE-02 is mounted the screen shows EnginePending and no figures (owner decision: FE only, honest empty states); ?demo=sample previews the live layout in development only. Marked Done by the owner 2026-10-13 (UI complete); when 3S6-BE-02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3S6-BE-02/03/04 (refund rows, keysGiven, dismissed entries, unknown-campaign 404) and walked live; Dismiss write added for BTG admins.
QA 2026-10-19: dismissed.by is words (email (Role) / a former user), second dismiss is 409 attribution_decided; switched-off reads say 'Switched off'.</t>
        </is>
      </c>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Done</t>
        </is>
      </c>
      <c r="J34" s="108" t="n">
        <v>5</v>
      </c>
      <c r="K34" s="109" t="n">
        <v>46308</v>
      </c>
      <c r="L34" s="109" t="n">
        <v>46308</v>
      </c>
      <c r="M34" s="110" t="inlineStr">
        <is>
          <t>HeckerCreatives</t>
        </is>
      </c>
      <c r="N34" s="81" t="n">
        <v>0</v>
      </c>
      <c r="O34" s="80" t="inlineStr">
        <is>
          <t>3S1-DATA-02, 3S7-BE-02</t>
        </is>
      </c>
      <c r="P34" s="80" t="inlineStr">
        <is>
          <t>Hub renders cross-campaign intelligence for a sponsor</t>
        </is>
      </c>
      <c r="Q34" s="82" t="inlineStr">
        <is>
          <t>Spec §16 P3-06</t>
        </is>
      </c>
      <c r="R34" s="111" t="inlineStr">
        <is>
          <t>UI built 2026-10-13 (branch feature/3S-FE-phase3-screens): /sponsor/intelligence,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3S7-BE-02 (null EMV, zero cost-per-result, renewals.ended, AD_SLOT, empty segments) and walked live as the sponsor.</t>
        </is>
      </c>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Done</t>
        </is>
      </c>
      <c r="J35" s="108" t="n">
        <v>5</v>
      </c>
      <c r="K35" s="109" t="n">
        <v>46308</v>
      </c>
      <c r="L35" s="109" t="n">
        <v>46308</v>
      </c>
      <c r="M35" s="110" t="inlineStr">
        <is>
          <t>HeckerCreatives</t>
        </is>
      </c>
      <c r="N35" s="85" t="n">
        <v>0</v>
      </c>
      <c r="O35" s="84" t="inlineStr">
        <is>
          <t>3S2-BE-02, 3S7-BE-02</t>
        </is>
      </c>
      <c r="P35" s="84" t="inlineStr">
        <is>
          <t>Hub renders rate and opportunity intelligence for a property</t>
        </is>
      </c>
      <c r="Q35" s="86" t="inlineStr">
        <is>
          <t>Spec §16 P3-07</t>
        </is>
      </c>
      <c r="R35" s="111" t="inlineStr">
        <is>
          <t>UI built 2026-10-13 (branch feature/3S-FE-phase3-screens): /property/intelligence,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3S7-BE-02 (listed-price opportunity, items not units, roster-only rates, 'Not a fit' reasons) and walked live as the property.</t>
        </is>
      </c>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Done</t>
        </is>
      </c>
      <c r="J36" s="108" t="n">
        <v>5</v>
      </c>
      <c r="K36" s="109" t="n">
        <v>46310</v>
      </c>
      <c r="L36" s="109" t="n">
        <v>46310</v>
      </c>
      <c r="M36" s="110" t="inlineStr">
        <is>
          <t>rcfworks</t>
        </is>
      </c>
      <c r="N36" s="81" t="n">
        <v>0</v>
      </c>
      <c r="O36" s="80" t="inlineStr">
        <is>
          <t>3S4-BE-01</t>
        </is>
      </c>
      <c r="P36" s="80" t="inlineStr">
        <is>
          <t>A scenario can be created, calculated and compared against another</t>
        </is>
      </c>
      <c r="Q36" s="82" t="inlineStr">
        <is>
          <t>Spec §18</t>
        </is>
      </c>
      <c r="R36" s="111" t="inlineStr">
        <is>
          <t>Built 2026-10-15 (rcfworks): GET /intelligence/scenarios, POST …/calculate (stores nothing), POST /intelligence/scenarios (saved with stamp, to compare). Posts bought at the booked/catalogue price × the audience's verified views per post (p25/median/p75); chance of delivering what the CPM sells; expected revenue = budget reduced when delivery falls short (user, 2026-10-15). Permission scenario (RBAC §33). documentation/SponsorX-Scenarios.md; tests/scenarios.test.ts. | Done 2026-10-15: merged to main (#221/#223 via #222), acceptance met, tests green.
QA 2026-10-19 (HeckerCreatives): ScenarioInputs floor 0 not 1 for budgetCents/cpmCents so a zero reaches inputProblems' 422 sentence; ceilings unchanged.</t>
        </is>
      </c>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Done</t>
        </is>
      </c>
      <c r="J37" s="108" t="n">
        <v>5</v>
      </c>
      <c r="K37" s="109" t="n">
        <v>46308</v>
      </c>
      <c r="L37" s="109" t="n">
        <v>46308</v>
      </c>
      <c r="M37" s="110" t="inlineStr">
        <is>
          <t>HeckerCreatives</t>
        </is>
      </c>
      <c r="N37" s="85" t="n">
        <v>0</v>
      </c>
      <c r="O37" s="84" t="inlineStr">
        <is>
          <t>3S7-BE-01</t>
        </is>
      </c>
      <c r="P37" s="84" t="inlineStr">
        <is>
          <t>Planner calculates and compares scenarios interactively</t>
        </is>
      </c>
      <c r="Q37" s="86" t="inlineStr">
        <is>
          <t>Spec §16 P3-08</t>
        </is>
      </c>
      <c r="R37" s="111" t="inlineStr">
        <is>
          <t>UI built 2026-10-13 (branch feature/3S-FE-phase3-screens): /admin/intelligence/scenarios, against the proposed contract in documentation/SponsorX-Phase3-Screen-Contracts.md. Until 3S7-BE-01 is mounted the screen shows EnginePending and no figures (owner decision: FE only, honest empty states); ?demo=sample previews the live layout in development only. Marked Done by the owner 2026-10-13 (UI complete); when 3S7-BE-01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3S7-BE-01 (savedBy, age-band labels, 422 words verbatim, integer bounds, name 120) and walked live incl. the scenarios flag off -&gt; pending.
QA 2026-10-19: switched-off state renders 'Switched off' (not 'not built yet'); budget 0 now answered in the engine's words.</t>
        </is>
      </c>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Done</t>
        </is>
      </c>
      <c r="J38" s="108" t="n">
        <v>3</v>
      </c>
      <c r="K38" s="109" t="n">
        <v>46310</v>
      </c>
      <c r="L38" s="163" t="n">
        <v>46314</v>
      </c>
      <c r="M38" s="110" t="inlineStr">
        <is>
          <t>rcfworks</t>
        </is>
      </c>
      <c r="N38" s="81" t="n">
        <v>0</v>
      </c>
      <c r="O38" s="80" t="inlineStr">
        <is>
          <t>3S7-FE-01</t>
        </is>
      </c>
      <c r="P38" s="80" t="inlineStr">
        <is>
          <t>Zoho shows renewal score and recommended next action on the sponsor record</t>
        </is>
      </c>
      <c r="Q38" s="82" t="inlineStr">
        <is>
          <t>Spec §20</t>
        </is>
      </c>
      <c r="R38" s="111" t="inlineStr">
        <is>
          <t>2026-10-19 DONE (rcfworks): shown in the Zoho sandbox — a simulated campaign ending soon on staging (UAT 2610090617 Harborview Bakery) made the worker push SponsorX_Renewal_Score 86 and SponsorX_Next_Action 'Renew: … 86%' onto its Account; the other 22 Accounts carry their next action. Production fields follow P2-OPS-04's Zoho keys. | Built 2026-10-15 (rcfworks): SponsorX_Renewal_Score (0–100) and SponsorX_Next_Action on each sponsor's Zoho Account, from the hub's renewal advice; queued nightly (zoho.pushIntelligence) only for sponsors in Zoho whose values changed. Fields via npm run zoho:intel-fields -- --create: sandbox first, production with the owner's OK — still to run after deploy. Field mapping §12.3; tests/zoho-intelligence.test.ts. | Stays Code review 2026-10-15: 'Zoho shows renewal score and next action on the sponsor record' needs the two Account fields created (sandbox, then production with the owner's OK) and a push to land. | 2026-10-15: sandbox fields created and confirmed; production waits for go-live's Zoho keys (P2-OPS-04 note). Done when tonight's staging run lands the score and next action on a sandbox sponsor's Account.</t>
        </is>
      </c>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Done</t>
        </is>
      </c>
      <c r="J39" s="108" t="n">
        <v>5</v>
      </c>
      <c r="K39" s="109" t="n">
        <v>46310</v>
      </c>
      <c r="L39" s="109" t="n">
        <v>46310</v>
      </c>
      <c r="M39" s="110" t="inlineStr">
        <is>
          <t>rcfworks</t>
        </is>
      </c>
      <c r="N39" s="85" t="n">
        <v>0</v>
      </c>
      <c r="O39" s="84" t="inlineStr">
        <is>
          <t>3S1-DATA-02</t>
        </is>
      </c>
      <c r="P39" s="84" t="inlineStr">
        <is>
          <t>Anomaly console identifies seeded duplicate, bot and redemption test patterns</t>
        </is>
      </c>
      <c r="Q39" s="86" t="inlineStr">
        <is>
          <t>Spec §15, §22</t>
        </is>
      </c>
      <c r="R39" s="111" t="inlineStr">
        <is>
          <t>Built 2026-10-15 (rcfworks): seven nightly rules over 30 days (spike, duplicate post, bot clicks, redemption burst, repeat fan, manual 3× API, engagements &gt; views); flags kept once with rule/version/evidence; duplicate post excluded from reporting automatically (automation first), the rest held for a person; dispositions with a note, audited. Permission anomaly (RBAC §34). documentation/SponsorX-Anomalies.md; tests/anomalies.test.ts. | Done 2026-10-15: merged to main (#221/#223 via #222), acceptance met, tests green.</t>
        </is>
      </c>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Done</t>
        </is>
      </c>
      <c r="J40" s="108" t="n">
        <v>5</v>
      </c>
      <c r="K40" s="109" t="n">
        <v>46308</v>
      </c>
      <c r="L40" s="109" t="n">
        <v>46308</v>
      </c>
      <c r="M40" s="110" t="inlineStr">
        <is>
          <t>HeckerCreatives</t>
        </is>
      </c>
      <c r="N40" s="81" t="n">
        <v>0</v>
      </c>
      <c r="O40" s="80" t="inlineStr">
        <is>
          <t>3S8-DATA-01</t>
        </is>
      </c>
      <c r="P40" s="80" t="inlineStr">
        <is>
          <t>Reviewer can triage and resolve every flagged anomaly</t>
        </is>
      </c>
      <c r="Q40" s="82" t="inlineStr">
        <is>
          <t>Spec §16 P3-09</t>
        </is>
      </c>
      <c r="R40" s="111" t="inlineStr">
        <is>
          <t>UI built 2026-10-13 (branch feature/3S-FE-phase3-screens): /admin/intelligence/anomalies, against the proposed contract in documentation/SponsorX-Phase3-Screen-Contracts.md. Until 3S8-DATA-01 is mounted the screen shows EnginePending and no figures (owner decision: FE only, honest empty states); ?demo=sample previews the live layout in development only. Marked Done by the owner 2026-10-13 (UI complete); when 3S8-DATA-01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3S8-DATA-01 (rule stamp, epoch asOf, disposition.automatic, real rule ids) and walked live with a person's final decision.</t>
        </is>
      </c>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Done</t>
        </is>
      </c>
      <c r="J41" s="108" t="n">
        <v>5</v>
      </c>
      <c r="K41" s="109" t="n">
        <v>46310</v>
      </c>
      <c r="L41" s="109" t="n">
        <v>46310</v>
      </c>
      <c r="M41" s="110" t="inlineStr">
        <is>
          <t>rcfworks</t>
        </is>
      </c>
      <c r="N41" s="85" t="n">
        <v>0</v>
      </c>
      <c r="O41" s="84" t="inlineStr">
        <is>
          <t>3S0-PMO-02</t>
        </is>
      </c>
      <c r="P41" s="84" t="inlineStr">
        <is>
          <t>A model version can be activated, rolled back and compared without deploying code</t>
        </is>
      </c>
      <c r="Q41" s="86" t="inlineStr">
        <is>
          <t>Spec §22</t>
        </is>
      </c>
      <c r="R41" s="111" t="inlineStr">
        <is>
          <t>Built 2026-10-15 (rcfworks): five engines' settings versioned per tenant with safe ranges; a change inside them goes live automatically, outside is held for a second person; activate / roll back / compare without a deploy; engines read the active settings each run and stamp outputs with the version. Permission modelRegistry (RBAC §35). tests/model-registry.test.ts. | Done 2026-10-15: merged to main (#221/#223 via #222), acceptance met, tests green.
QA 2026-10-19 (HeckerCreatives): GET /intelligence/models thresholds carry `integer` so the screen can refuse a fraction before the API does.
QA round three 2026-10-19 (HeckerCreatives): changeSettings idempotent under a double submit — live values are 422 'Nothing changed', a draft's values return that draft; test added.</t>
        </is>
      </c>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Done</t>
        </is>
      </c>
      <c r="J42" s="108" t="n">
        <v>5</v>
      </c>
      <c r="K42" s="109" t="n">
        <v>46308</v>
      </c>
      <c r="L42" s="109" t="n">
        <v>46308</v>
      </c>
      <c r="M42" s="110" t="inlineStr">
        <is>
          <t>HeckerCreatives</t>
        </is>
      </c>
      <c r="N42" s="81" t="n">
        <v>0</v>
      </c>
      <c r="O42" s="80" t="inlineStr">
        <is>
          <t>3S8-BE-01</t>
        </is>
      </c>
      <c r="P42" s="80" t="inlineStr">
        <is>
          <t>Admin can manage model versions and thresholds from the UI</t>
        </is>
      </c>
      <c r="Q42" s="82" t="inlineStr">
        <is>
          <t>Spec §16 P3-10</t>
        </is>
      </c>
      <c r="R42" s="111" t="inlineStr">
        <is>
          <t>UI built 2026-10-13 (branch feature/3S-FE-phase3-screens): /admin/intelligence/models, against the proposed contract in documentation/SponsorX-Phase3-Screen-Contracts.md. Until 3S8-BE-01 is mounted the screen shows EnginePending and no figures (owner decision: FE only, honest empty states); ?demo=sample previews the live layout in development only. Marked Done by the owner 2026-10-13 (UI complete); when 3S8-BE-01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3S8-BE-01/OPS-01 + 3S9-QA-01/02 (settings, backtests, benchmarkValidation, held drafts, Validate button, 10 flags, reasons 10-500) and walked live.
QA 2026-10-19: editor refuses a fraction for whole-number settings with the API's sentence; benchmark verdicts joined on the API's label; held-draft -&gt; second-person validate -&gt; activate -&gt; rollback walked end to end.</t>
        </is>
      </c>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Done</t>
        </is>
      </c>
      <c r="J43" s="108" t="n">
        <v>3</v>
      </c>
      <c r="K43" s="109" t="n">
        <v>46310</v>
      </c>
      <c r="L43" s="109" t="n">
        <v>46310</v>
      </c>
      <c r="M43" s="110" t="inlineStr">
        <is>
          <t>rcfworks</t>
        </is>
      </c>
      <c r="N43" s="85" t="n">
        <v>0</v>
      </c>
      <c r="O43" s="84" t="inlineStr">
        <is>
          <t>3S8-BE-01</t>
        </is>
      </c>
      <c r="P43" s="84" t="inlineStr">
        <is>
          <t>All intelligence features can be disabled per tenant through feature flags</t>
        </is>
      </c>
      <c r="Q43" s="86" t="inlineStr">
        <is>
          <t>Spec §22</t>
        </is>
      </c>
      <c r="R43" s="111" t="inlineStr">
        <is>
          <t>Built 2026-10-15 (rcfworks): nine intelligence features switchable per tenant (pricing, matching, forecast, makegood, anomalies, scenarios, sponsorHub, propertyHub, zohoIntelligence); off = nightly run skips the tenant and reads/writes answer 403 feature_off; PATCH /intelligence/flags with a reason, audited. | Done 2026-10-15: merged to main (#221/#223 via #222), acceptance met, tests green.</t>
        </is>
      </c>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Done</t>
        </is>
      </c>
      <c r="J44" s="108" t="n">
        <v>5</v>
      </c>
      <c r="K44" s="109" t="n">
        <v>46310</v>
      </c>
      <c r="L44" s="109" t="n">
        <v>46310</v>
      </c>
      <c r="M44" s="110" t="inlineStr">
        <is>
          <t>rcfworks</t>
        </is>
      </c>
      <c r="N44" s="81" t="n">
        <v>0</v>
      </c>
      <c r="O44" s="80" t="inlineStr">
        <is>
          <t>3S8-BE-01</t>
        </is>
      </c>
      <c r="P44" s="80" t="inlineStr">
        <is>
          <t>Backtest results documented with accuracy and confidence calibration per model</t>
        </is>
      </c>
      <c r="Q44" s="82" t="inlineStr">
        <is>
          <t>Spec §21</t>
        </is>
      </c>
      <c r="R44" s="111" t="inlineStr">
        <is>
          <t>Built 2026-10-15 (rcfworks): forecast and pricing backtests per version, nightly, kept as BacktestRun, on the models screen. No real history yet; simulated forecast history (300 campaigns): good projection (4.7% error at 3/4), probability overconfident early (95%→74% at 1/4). Recommendations in documentation/SponsorX-Backtest.md for the owner. | Done 2026-10-15: merged (#230), acceptance met. | Follow-up 2026-10-15 (owner-approved): forecast-rules@2.0.0, paceUncertainty 0.6 — early overconfidence gone, Brier 0.108→0.096.</t>
        </is>
      </c>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Done</t>
        </is>
      </c>
      <c r="J45" s="108" t="n">
        <v>3</v>
      </c>
      <c r="K45" s="109" t="n">
        <v>46310</v>
      </c>
      <c r="L45" s="109" t="n">
        <v>46310</v>
      </c>
      <c r="M45" s="110" t="inlineStr">
        <is>
          <t>rcfworks</t>
        </is>
      </c>
      <c r="N45" s="85" t="n">
        <v>0</v>
      </c>
      <c r="O45" s="84" t="inlineStr">
        <is>
          <t>3S1-DATA-03</t>
        </is>
      </c>
      <c r="P45" s="84" t="inlineStr">
        <is>
          <t>Benchmarks validated for sample size; reconciliation within tolerance</t>
        </is>
      </c>
      <c r="Q45" s="86" t="inlineStr">
        <is>
          <t>Spec §22</t>
        </is>
      </c>
      <c r="R45" s="111" t="inlineStr">
        <is>
          <t>Built 2026-10-15 (rcfworks): benchmarks validated (ordered, fresh ≤2 days, ≥10 orders, spread ≤4×) with reasons; reconciliation = nightly fact check, exact tolerance, ≤2 days old. Models screen + nightly log + npm run benchmarks:validate. | Done 2026-10-15: merged (#230), acceptance met.
QA 2026-10-19 (HeckerCreatives): each benchmarkValidation check carries `label` (the row's segment label) so screens join by data, not rebuilt prose.</t>
        </is>
      </c>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Done</t>
        </is>
      </c>
      <c r="J46" s="108" t="n">
        <v>5</v>
      </c>
      <c r="K46" s="109" t="n">
        <v>46311</v>
      </c>
      <c r="L46" s="109" t="n">
        <v>46311</v>
      </c>
      <c r="M46" s="110" t="inlineStr">
        <is>
          <t>rcfworks</t>
        </is>
      </c>
      <c r="N46" s="81" t="n">
        <v>0</v>
      </c>
      <c r="O46" s="80" t="inlineStr">
        <is>
          <t>3S9-QA-01</t>
        </is>
      </c>
      <c r="P46" s="80" t="inlineStr">
        <is>
          <t>All 12 Phase 3 acceptance criteria demonstrated and signed off</t>
        </is>
      </c>
      <c r="Q46" s="82" t="inlineStr">
        <is>
          <t>Spec §22</t>
        </is>
      </c>
      <c r="R46" s="111" t="inlineStr">
        <is>
          <t>Written 2026-10-16 (rcfworks): SponsorX-Phase3-UAT.md, all 12 criteria with their proof (196/196 tests on release 11d0a316), criterion 12 test for all ten flags, staged rollout plan. Signed off by the user 2026-10-16.</t>
        </is>
      </c>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Done</t>
        </is>
      </c>
      <c r="J47" s="108" t="n">
        <v>3</v>
      </c>
      <c r="K47" s="109" t="n">
        <v>46310</v>
      </c>
      <c r="L47" s="109" t="n">
        <v>46310</v>
      </c>
      <c r="M47" s="110" t="inlineStr">
        <is>
          <t>rcfworks</t>
        </is>
      </c>
      <c r="N47" s="85" t="n">
        <v>0</v>
      </c>
      <c r="O47" s="84" t="inlineStr">
        <is>
          <t>3S9-QA-01</t>
        </is>
      </c>
      <c r="P47" s="84" t="inlineStr">
        <is>
          <t>Monitoring and alerting live for every scheduled job and model service</t>
        </is>
      </c>
      <c r="Q47" s="86" t="inlineStr">
        <is>
          <t>Spec §20, §38</t>
        </is>
      </c>
      <c r="R47" s="111" t="inlineStr">
        <is>
          <t>Built 2026-10-15 (rcfworks): every nightly step recorded (PipelineRun); /health/full pipeline check fails on a failed step, 26 h without success, stale forecasts with active campaigns, or backtest drift; the existing uptime monitor alerts. documentation/SponsorX-Pipeline-Monitoring.md. | Done 2026-10-15: live on staging and production (release 1122a37); /health/full shows pipeline ok, configured.</t>
        </is>
      </c>
    </row>
    <row r="48" ht="23.85" customHeight="1" s="75">
      <c r="A48" s="104" t="n">
        <v>3.1</v>
      </c>
      <c r="B48" s="105" t="inlineStr">
        <is>
          <t>3S0-BE-01</t>
        </is>
      </c>
      <c r="C48" s="81" t="n">
        <v>0</v>
      </c>
      <c r="D48" s="82" t="inlineStr">
        <is>
          <t>Sprint 0 · Analytics architecture</t>
        </is>
      </c>
      <c r="E48" s="143" t="inlineStr">
        <is>
          <t>BE</t>
        </is>
      </c>
      <c r="F48" s="106" t="inlineStr">
        <is>
          <t>Code</t>
        </is>
      </c>
      <c r="G48" s="80" t="inlineStr">
        <is>
          <t>Timestamp every metric row</t>
        </is>
      </c>
      <c r="H48" s="107" t="inlineStr">
        <is>
          <t>MetricDaily had no time and a same-source correction overwrote the row, so "what did we know on day X" could not be read. createdAt (first recorded, never moves) and updatedAt (latest correction); existing rows dated from their metric.record audit rows.</t>
        </is>
      </c>
      <c r="I48" s="108" t="inlineStr">
        <is>
          <t>Done</t>
        </is>
      </c>
      <c r="J48" s="108" t="n">
        <v>1</v>
      </c>
      <c r="K48" s="109" t="n">
        <v>46307</v>
      </c>
      <c r="L48" s="109" t="n">
        <v>46307</v>
      </c>
      <c r="M48" s="110" t="inlineStr">
        <is>
          <t>rcfworks</t>
        </is>
      </c>
      <c r="N48" s="81" t="n">
        <v>0</v>
      </c>
      <c r="O48" s="80" t="inlineStr">
        <is>
          <t>3S0-DATA-01</t>
        </is>
      </c>
      <c r="P48" s="80" t="inlineStr">
        <is>
          <t>MetricDaily carries createdAt and updatedAt; a correction moves only updatedAt; rows recorded before are dated from the audit log; POST /deliverables/{id}/metrics answers with both</t>
        </is>
      </c>
      <c r="Q48" s="82" t="inlineStr">
        <is>
          <t>Spec §19, §22</t>
        </is>
      </c>
      <c r="R48" s="111" t="inlineStr">
        <is>
          <t>3S0-DATA-01 gap G7. Migration 20261012100000_metric_daily_timestamps. Test: tests/metric-timestamps.test.ts</t>
        </is>
      </c>
    </row>
    <row r="49">
      <c r="A49" s="104" t="n">
        <v>3.2</v>
      </c>
      <c r="B49" s="105" t="inlineStr">
        <is>
          <t>3S0-BE-02</t>
        </is>
      </c>
      <c r="C49" s="81" t="n">
        <v>0</v>
      </c>
      <c r="D49" s="82" t="inlineStr">
        <is>
          <t>Sprint 0 · Analytics architecture</t>
        </is>
      </c>
      <c r="E49" s="143" t="inlineStr">
        <is>
          <t>BE</t>
        </is>
      </c>
      <c r="F49" s="106" t="inlineStr">
        <is>
          <t>Code</t>
        </is>
      </c>
      <c r="G49" s="80" t="inlineStr">
        <is>
          <t>Send the campaign-live email</t>
        </is>
      </c>
      <c r="H49" s="107" t="inlineStr">
        <is>
          <t>Every launch queued notify.campaignLive and nothing consumed it, so nobody outside BTG was told a campaign went live and the rows waited forever. The worker now emails the sponsor's admins and the athletes on active orders (a minor's guardian too); launches queued before this are closed as skipped.</t>
        </is>
      </c>
      <c r="I49" s="108" t="inlineStr">
        <is>
          <t>Done</t>
        </is>
      </c>
      <c r="J49" s="108" t="n">
        <v>3</v>
      </c>
      <c r="K49" s="109" t="n">
        <v>46307</v>
      </c>
      <c r="L49" s="109" t="n">
        <v>46307</v>
      </c>
      <c r="M49" s="110" t="inlineStr">
        <is>
          <t>rcfworks</t>
        </is>
      </c>
      <c r="N49" s="81" t="n">
        <v>0</v>
      </c>
      <c r="O49" s="80" t="inlineStr">
        <is>
          <t>3S0-DATA-01</t>
        </is>
      </c>
      <c r="P49" s="80" t="inlineStr">
        <is>
          <t>A launch emails the sponsor admins and every athlete with an ACTIVE order (and a controlling guardian), once per address; a campaign no longer ACTIVE sends nothing; the backlog is marked skipped, not sent</t>
        </is>
      </c>
      <c r="Q49" s="82" t="inlineStr">
        <is>
          <t>Spec §21</t>
        </is>
      </c>
      <c r="R49" s="111" t="inlineStr">
        <is>
          <t>3S0-DATA-01 gap G1. Domain src/domain/campaign-live-mail.ts; template campaign.live; migration 20261012100300_campaign_live_backlog. Test: tests/campaign-live-mail.test.ts</t>
        </is>
      </c>
    </row>
    <row r="50">
      <c r="A50" s="104" t="n">
        <v>3.3</v>
      </c>
      <c r="B50" s="105" t="inlineStr">
        <is>
          <t>3S0-BE-03</t>
        </is>
      </c>
      <c r="C50" s="81" t="n">
        <v>0</v>
      </c>
      <c r="D50" s="82" t="inlineStr">
        <is>
          <t>Sprint 0 · Analytics architecture</t>
        </is>
      </c>
      <c r="E50" s="143" t="inlineStr">
        <is>
          <t>BE</t>
        </is>
      </c>
      <c r="F50" s="106" t="inlineStr">
        <is>
          <t>Code</t>
        </is>
      </c>
      <c r="G50" s="80" t="inlineStr">
        <is>
          <t>One audit name for archiving a listing</t>
        </is>
      </c>
      <c r="H50" s="107" t="inlineStr">
        <is>
          <t>A listing archive was logged as listing.archive (onboarding, athlete leaving) and listing.archived (the seller), splitting one move across two names. Now listing.archive everywhere. Rows already written stay as they are: the audit log is append-only.</t>
        </is>
      </c>
      <c r="I50" s="108" t="inlineStr">
        <is>
          <t>Done</t>
        </is>
      </c>
      <c r="J50" s="108" t="n">
        <v>1</v>
      </c>
      <c r="K50" s="109" t="n">
        <v>46307</v>
      </c>
      <c r="L50" s="109" t="n">
        <v>46307</v>
      </c>
      <c r="M50" s="110" t="inlineStr">
        <is>
          <t>rcfworks</t>
        </is>
      </c>
      <c r="N50" s="81" t="n">
        <v>0</v>
      </c>
      <c r="O50" s="80" t="inlineStr">
        <is>
          <t>3S0-DATA-01</t>
        </is>
      </c>
      <c r="P50" s="80" t="inlineStr">
        <is>
          <t>The seller archiving a listing is audited as listing.archive; no new listing.archived rows</t>
        </is>
      </c>
      <c r="Q50" s="82" t="inlineStr">
        <is>
          <t>Spec §21</t>
        </is>
      </c>
      <c r="R50" s="111" t="inlineStr">
        <is>
          <t>3S0-DATA-01 gap G9. Test: tests/phase2-listing-auto-publish.test.ts</t>
        </is>
      </c>
    </row>
    <row r="51">
      <c r="A51" s="104" t="n">
        <v>3.4</v>
      </c>
      <c r="B51" s="105" t="inlineStr">
        <is>
          <t>3S0-BE-04</t>
        </is>
      </c>
      <c r="C51" s="81" t="n">
        <v>0</v>
      </c>
      <c r="D51" s="82" t="inlineStr">
        <is>
          <t>Sprint 0 · Analytics architecture</t>
        </is>
      </c>
      <c r="E51" s="143" t="inlineStr">
        <is>
          <t>BE</t>
        </is>
      </c>
      <c r="F51" s="106" t="inlineStr">
        <is>
          <t>Code</t>
        </is>
      </c>
      <c r="G51" s="80" t="inlineStr">
        <is>
          <t>Count refused redemptions of a used code</t>
        </is>
      </c>
      <c r="H51" s="107" t="inlineStr">
        <is>
          <t>A used code presented again was refused and nothing recorded, losing the main signal of a shared or screenshotted code. The code now counts those refusals and keeps the time of the latest; the reward detail shows both per code. Only "already used" refusals count.</t>
        </is>
      </c>
      <c r="I51" s="108" t="inlineStr">
        <is>
          <t>Done</t>
        </is>
      </c>
      <c r="J51" s="108" t="n">
        <v>1</v>
      </c>
      <c r="K51" s="109" t="n">
        <v>46307</v>
      </c>
      <c r="L51" s="109" t="n">
        <v>46307</v>
      </c>
      <c r="M51" s="110" t="inlineStr">
        <is>
          <t>rcfworks</t>
        </is>
      </c>
      <c r="N51" s="81" t="n">
        <v>0</v>
      </c>
      <c r="O51" s="80" t="inlineStr">
        <is>
          <t>3S0-DATA-01</t>
        </is>
      </c>
      <c r="P51" s="80" t="inlineStr">
        <is>
          <t>A used code tried again is still refused (409) and its refusedRedeems / lastRefusedRedeemAt move; other refusals do not count; GET /rewards/{id} returns both per token</t>
        </is>
      </c>
      <c r="Q51" s="82" t="inlineStr">
        <is>
          <t>Spec §21, §22</t>
        </is>
      </c>
      <c r="R51" s="111" t="inlineStr">
        <is>
          <t>3S0-DATA-01 gap G4. Migration 20261012100100_reward_token_refused_redeems. Test: tests/reward.limits.test.ts</t>
        </is>
      </c>
    </row>
    <row r="52">
      <c r="A52" s="104" t="n">
        <v>3.5</v>
      </c>
      <c r="B52" s="105" t="inlineStr">
        <is>
          <t>3S0-BE-05</t>
        </is>
      </c>
      <c r="C52" s="81" t="n">
        <v>0</v>
      </c>
      <c r="D52" s="82" t="inlineStr">
        <is>
          <t>Sprint 0 · Analytics architecture</t>
        </is>
      </c>
      <c r="E52" s="143" t="inlineStr">
        <is>
          <t>BE</t>
        </is>
      </c>
      <c r="F52" s="106" t="inlineStr">
        <is>
          <t>Code</t>
        </is>
      </c>
      <c r="G52" s="80" t="inlineStr">
        <is>
          <t>Reward venue: where an in-person reward is handed out</t>
        </is>
      </c>
      <c r="H52" s="107" t="inlineStr">
        <is>
          <t>The fan funnel had no geography (IP lookup never filled for rewards, GeoLite unset). A reward now takes an optional venue city and US state when created and returns it on read: the reward's location, never the fan's. Market geography for benchmarks comes from the athlete's and property's registered city and state.</t>
        </is>
      </c>
      <c r="I52" s="108" t="inlineStr">
        <is>
          <t>Done</t>
        </is>
      </c>
      <c r="J52" s="108" t="n">
        <v>1</v>
      </c>
      <c r="K52" s="109" t="n">
        <v>46307</v>
      </c>
      <c r="L52" s="109" t="n">
        <v>46307</v>
      </c>
      <c r="M52" s="110" t="inlineStr">
        <is>
          <t>rcfworks</t>
        </is>
      </c>
      <c r="N52" s="81" t="n">
        <v>1</v>
      </c>
      <c r="O52" s="80" t="inlineStr">
        <is>
          <t>3S0-DATA-01</t>
        </is>
      </c>
      <c r="P52" s="80" t="inlineStr">
        <is>
          <t>POST /campaigns/{id}/rewards accepts venue {city, stateCode} (US states only), stores it, and GET /rewards/{id} returns it; none reads back as null</t>
        </is>
      </c>
      <c r="Q52" s="82" t="inlineStr">
        <is>
          <t>Spec §19</t>
        </is>
      </c>
      <c r="R52" s="111" t="inlineStr">
        <is>
          <t>3S0-DATA-01 gap G2/G3. Migration 20261012100200_reward_venue. Test: tests/reward.limits.test.ts. Form field split to 3S0-FE-01</t>
        </is>
      </c>
    </row>
    <row r="53">
      <c r="A53" s="104" t="n">
        <v>3.6</v>
      </c>
      <c r="B53" s="105" t="inlineStr">
        <is>
          <t>3S0-FE-01</t>
        </is>
      </c>
      <c r="C53" s="81" t="n">
        <v>0</v>
      </c>
      <c r="D53" s="82" t="inlineStr">
        <is>
          <t>Sprint 0 · Analytics architecture</t>
        </is>
      </c>
      <c r="E53" s="143" t="inlineStr">
        <is>
          <t>FE</t>
        </is>
      </c>
      <c r="F53" s="106" t="inlineStr">
        <is>
          <t>Code</t>
        </is>
      </c>
      <c r="G53" s="80" t="inlineStr">
        <is>
          <t>Reward form: venue field</t>
        </is>
      </c>
      <c r="H53" s="107" t="inlineStr">
        <is>
          <t>Split from 3S0-BE-05 (backend only). The reward create form gets an optional venue: city and US state. The API (venue {city, stateCode}) is live.</t>
        </is>
      </c>
      <c r="I53" s="108" t="inlineStr">
        <is>
          <t>Done</t>
        </is>
      </c>
      <c r="J53" s="108" t="n">
        <v>1</v>
      </c>
      <c r="K53" s="109" t="n">
        <v>46308</v>
      </c>
      <c r="L53" s="109" t="n">
        <v>46308</v>
      </c>
      <c r="M53" s="110" t="inlineStr">
        <is>
          <t>HeckerCreatives</t>
        </is>
      </c>
      <c r="N53" s="81" t="n">
        <v>0</v>
      </c>
      <c r="O53" s="80" t="inlineStr">
        <is>
          <t>3S0-BE-05</t>
        </is>
      </c>
      <c r="P53" s="80" t="inlineStr">
        <is>
          <t>BTG can enter a venue city and state when creating a reward, and the reward detail shows it</t>
        </is>
      </c>
      <c r="Q53" s="82" t="inlineStr">
        <is>
          <t>Spec §16</t>
        </is>
      </c>
      <c r="R53" s="111" t="inlineStr">
        <is>
          <t>Branch feature/3S-FE-phase3-screens. The live reward creator (live-rewards-desk.tsx) and the demo wizard share reward-venue-fields.tsx; half a venue is refused in the form and in the action; each reward shows 'City, ST' or 'Online only'. State list mirrors the backend's US_STATES (50 + DC). Test: tests/reward-venue.test.ts QA 2026-10-13 at 390 / 1366 / 1920 px as BTG admin, sponsor, property manager and Finance: 78/78 page checks (no horizontal overflow, no console errors, role gating), screenshot review and interaction pass; defects found were fixed and re-walked.</t>
        </is>
      </c>
    </row>
    <row r="54">
      <c r="A54" s="104" t="n">
        <v>3.7</v>
      </c>
      <c r="B54" s="105" t="inlineStr">
        <is>
          <t>3S0-BE-06</t>
        </is>
      </c>
      <c r="C54" s="81" t="n">
        <v>0</v>
      </c>
      <c r="D54" s="82" t="inlineStr">
        <is>
          <t>Sprint 0 · Analytics architecture</t>
        </is>
      </c>
      <c r="E54" s="143" t="inlineStr">
        <is>
          <t>BE</t>
        </is>
      </c>
      <c r="F54" s="106" t="inlineStr">
        <is>
          <t>Code</t>
        </is>
      </c>
      <c r="G54" s="80" t="inlineStr">
        <is>
          <t>Record a deliverable's platform at publish</t>
        </is>
      </c>
      <c r="H54" s="107" t="inlineStr">
        <is>
          <t>Raised by 3S0-DATA-02 (open item O1): no table recorded the platform, so channel could only be inferred. Publishing now stores platform (INSTAGRAM | TIKTOK | YOUTUBE | X | FACEBOOK | OTHER) from the published URL's host; earlier rows backfilled by the same rule in SQL; a CHECK refuses anything else; the deliverable list returns it.</t>
        </is>
      </c>
      <c r="I54" s="108" t="inlineStr">
        <is>
          <t>Done</t>
        </is>
      </c>
      <c r="J54" s="108" t="n">
        <v>1</v>
      </c>
      <c r="K54" s="109" t="n">
        <v>46307</v>
      </c>
      <c r="L54" s="109" t="n">
        <v>46307</v>
      </c>
      <c r="M54" s="110" t="inlineStr">
        <is>
          <t>rcfworks</t>
        </is>
      </c>
      <c r="N54" s="81" t="n">
        <v>0</v>
      </c>
      <c r="O54" s="80" t="inlineStr">
        <is>
          <t>3S0-DATA-01</t>
        </is>
      </c>
      <c r="P54" s="80" t="inlineStr">
        <is>
          <t>Publishing records platform from the URL host (a host matches only itself or its subdomains); earlier rows backfilled identically; the database refuses any other value; the deliverable list returns it</t>
        </is>
      </c>
      <c r="Q54" s="82" t="inlineStr">
        <is>
          <t>Spec §19</t>
        </is>
      </c>
      <c r="R54" s="111" t="inlineStr">
        <is>
          <t>Domain src/domain/deliverable-platform.ts; migration 20261012100400_deliverable_platform. Tests: tests/deliverable-platform.test.ts (incl. SQL-vs-code parity on Postgres), deliverable.chain, deliverables.read.</t>
        </is>
      </c>
    </row>
    <row r="55" s="75">
      <c r="A55" s="112" t="n">
        <v>7.1</v>
      </c>
      <c r="B55" s="113" t="inlineStr">
        <is>
          <t>3S1-BE-01</t>
        </is>
      </c>
      <c r="C55" s="85" t="n">
        <v>1</v>
      </c>
      <c r="D55" s="86" t="inlineStr">
        <is>
          <t>Sprint 1 · Warehouse &amp; benchmarks</t>
        </is>
      </c>
      <c r="E55" s="129" t="inlineStr">
        <is>
          <t>BE</t>
        </is>
      </c>
      <c r="F55" s="122" t="inlineStr">
        <is>
          <t>Code</t>
        </is>
      </c>
      <c r="G55" s="84" t="inlineStr">
        <is>
          <t>Fact ledger and daily summaries</t>
        </is>
      </c>
      <c r="H55" s="116" t="inlineStr">
        <is>
          <t>A fact ledger in the app database: the same transaction that books, cancels, pays or delivers also writes one fact row (what, which campaign/athlete/job/channel/market, how much, when), with values from the app's own code. Daily campaign summaries are updated in that same transaction. Corrections are new rows, never edits. Raised 2026-10-13 (user review): the separate warehouse re-derived business meaning from copied tables — two copies of the rules, a copy job that can fail, edits it cannot see. Replaced by facts the app records at the moment of each action.</t>
        </is>
      </c>
      <c r="I55" s="108" t="inlineStr">
        <is>
          <t>Done</t>
        </is>
      </c>
      <c r="J55" s="108" t="n">
        <v>2</v>
      </c>
      <c r="K55" s="109" t="n">
        <v>46308</v>
      </c>
      <c r="L55" s="109" t="n">
        <v>46310</v>
      </c>
      <c r="M55" s="110" t="inlineStr">
        <is>
          <t>rcfworks</t>
        </is>
      </c>
      <c r="N55" s="85" t="n">
        <v>0</v>
      </c>
      <c r="O55" s="84" t="n"/>
      <c r="P55" s="84" t="inlineStr">
        <is>
          <t>Facts and summaries are written in the same transaction as the change (both or neither); summaries always equal the sum of the facts; a correction adds rows and never edits one</t>
        </is>
      </c>
      <c r="Q55" s="86" t="inlineStr">
        <is>
          <t>Spec §19, §21, §22</t>
        </is>
      </c>
      <c r="R55" s="111" t="inlineStr">
        <is>
          <t>documentation/SponsorX-Fact-Ledger.md; backend/src/domain/facts.ts (recordFact / reverseFact / checkFactSummaries) and fact-rules.ts (closed lists); Fact + CampaignDaySummary, migration 20261013120000_fact_ledger (a trigger refuses editing or deleting a fact). Tests: tests/fact-ledger.test.ts (11). No action writes facts yet — 3S1-BE-02. Acceptance checked and moved to Done 2026-10-15 (rcfworks): criterion met, tests green, live in staging and production.</t>
        </is>
      </c>
    </row>
    <row r="56" s="75">
      <c r="A56" s="112" t="n">
        <v>30.5</v>
      </c>
      <c r="B56" s="113" t="inlineStr">
        <is>
          <t>3S7-BE-02</t>
        </is>
      </c>
      <c r="C56" s="85" t="n">
        <v>7</v>
      </c>
      <c r="D56" s="86" t="inlineStr">
        <is>
          <t>Sprint 7 · Intelligence dashboards</t>
        </is>
      </c>
      <c r="E56" s="129" t="inlineStr">
        <is>
          <t>BE</t>
        </is>
      </c>
      <c r="F56" s="122" t="inlineStr">
        <is>
          <t>Code</t>
        </is>
      </c>
      <c r="G56" s="84" t="inlineStr">
        <is>
          <t>Serve sponsor and property intelligence</t>
        </is>
      </c>
      <c r="H56" s="116" t="inlineStr">
        <is>
          <t>Raised building 3S7-FE-01 / 3S7-FE-02 (2026-10-13): both hubs depend on warehouse facts, but no task serves them. GET /intelligence/sponsor and GET /intelligence/property, scoped by the API to the caller's own sponsor org or property, reading the semantic layer and the CPM engine.</t>
        </is>
      </c>
      <c r="I56" s="108" t="inlineStr">
        <is>
          <t>Done</t>
        </is>
      </c>
      <c r="J56" s="108" t="n">
        <v>3</v>
      </c>
      <c r="K56" s="109" t="n">
        <v>46310</v>
      </c>
      <c r="L56" s="109" t="n">
        <v>46310</v>
      </c>
      <c r="M56" s="110" t="inlineStr">
        <is>
          <t>rcfworks</t>
        </is>
      </c>
      <c r="N56" s="85" t="n">
        <v>2</v>
      </c>
      <c r="O56" s="84" t="inlineStr">
        <is>
          <t>3S1-OPS-04, 3S2-BE-02</t>
        </is>
      </c>
      <c r="P56" s="84" t="inlineStr">
        <is>
          <t>Both reads answer the shapes in documentation/SponsorX-Phase3-Screen-Contracts.md; cross-tenant and cross-org reads are refused; the four attribution classes are returned separately</t>
        </is>
      </c>
      <c r="Q56" s="86" t="inlineStr">
        <is>
          <t>Spec §16 P3-06, P3-07; §19</t>
        </is>
      </c>
      <c r="R56" s="111" t="inlineStr">
        <is>
          <t>Unblocks 3S7-FE-01 and 3S7-FE-02 (their UI is built and waits on this). Re-pointed 2026-10-13 to the fact ledger (3S1-BE-01…): reads the daily summaries in the app database, not the warehouse. Built 2026-10-15 (rcfworks): GET /intelligence/sponsor (four attribution classes kept apart; transactions and modelled 0 until 3S6; media value = verified views × benchmark, an estimate; formats, partners, renewal advice at 80%/50%; no unsourced segments) and GET /intelligence/property (roster's suggested prices, opportunity, sell-through, category fit, quality). Permissions sponsorIntelligence / propertyIntelligence (RBAC §32), scoped by the caller. documentation/SponsorX-Hub-Intelligence.md; tests/hub-intelligence.test.ts. | Done 2026-10-15: merged to main (#221/#223 via #222), acceptance met, tests green.</t>
        </is>
      </c>
    </row>
    <row r="57">
      <c r="A57" s="112" t="n">
        <v>7.2</v>
      </c>
      <c r="B57" s="113" t="inlineStr">
        <is>
          <t>3S1-BE-02</t>
        </is>
      </c>
      <c r="C57" s="85" t="n">
        <v>1</v>
      </c>
      <c r="D57" s="86" t="inlineStr">
        <is>
          <t>Sprint 1 · Warehouse &amp; benchmarks</t>
        </is>
      </c>
      <c r="E57" s="129" t="inlineStr">
        <is>
          <t>BE</t>
        </is>
      </c>
      <c r="F57" s="122" t="inlineStr">
        <is>
          <t>Code</t>
        </is>
      </c>
      <c r="G57" s="84" t="inlineStr">
        <is>
          <t>Record facts in every money and delivery action</t>
        </is>
      </c>
      <c r="H57" s="116" t="inlineStr">
        <is>
          <t>Wire the fact writer into every action that changes money or delivery: order booked/cancelled, earning paid, invoice issued/paid, deliverable due/published/verified/revision, metric recorded/corrected, ad slot sold, marketplace milestones and financials. Fan scans, clicks and edition views are already one row per event and are counted, not copied.</t>
        </is>
      </c>
      <c r="I57" s="108" t="inlineStr">
        <is>
          <t>Done</t>
        </is>
      </c>
      <c r="J57" s="108" t="n">
        <v>2</v>
      </c>
      <c r="K57" s="109" t="n">
        <v>46308</v>
      </c>
      <c r="L57" s="109" t="n">
        <v>46310</v>
      </c>
      <c r="M57" s="110" t="inlineStr">
        <is>
          <t>rcfworks</t>
        </is>
      </c>
      <c r="N57" s="85" t="n">
        <v>0</v>
      </c>
      <c r="O57" s="84" t="inlineStr">
        <is>
          <t>3S1-BE-01</t>
        </is>
      </c>
      <c r="P57" s="84" t="inlineStr">
        <is>
          <t>Every listed action writes its fact in its own transaction; the daily summaries match the app's own totals for a seeded campaign</t>
        </is>
      </c>
      <c r="Q57" s="86" t="inlineStr">
        <is>
          <t>Spec §19, §21, §22</t>
        </is>
      </c>
      <c r="R57" s="111" t="inlineStr">
        <is>
          <t>backend/src/domain/fact-writers.ts — one writer per event, called inside each action's transaction: acceptOrder / respondToOffer (booked + deliverables due), transitionOrder (cancelled; its deliverables' due facts reversed), markPublished / verifyPublished / requestRevision / submitDraft checks, recordMetric (correction = reversal + new fact), transitionEarning PAID, ingestZohoInvoice (amount change or void reverses), edition sale and cancellation (slots), ledger bookOrder / reverseOrder (marketplace lines), the four refund-SENT sites. Tests: tests/fact-wiring.test.ts (9, real actions, summaries = app totals, self-check passes) plus fact checks in edition-automation, phase2-line-cancellation, phase2-offer-answers. Full suite 199 files / 3,167 tests green twice. Doc: SponsorX-Fact-Ledger.md v1.1 §4. Acceptance checked and moved to Done 2026-10-15 (rcfworks): criterion met, tests green, live in staging and production.</t>
        </is>
      </c>
    </row>
    <row r="58">
      <c r="A58" s="112" t="n">
        <v>7.3</v>
      </c>
      <c r="B58" s="113" t="inlineStr">
        <is>
          <t>3S1-QA-02</t>
        </is>
      </c>
      <c r="C58" s="85" t="n">
        <v>1</v>
      </c>
      <c r="D58" s="86" t="inlineStr">
        <is>
          <t>Sprint 1 · Warehouse &amp; benchmarks</t>
        </is>
      </c>
      <c r="E58" s="129" t="inlineStr">
        <is>
          <t>QA</t>
        </is>
      </c>
      <c r="F58" s="122" t="inlineStr">
        <is>
          <t>Code</t>
        </is>
      </c>
      <c r="G58" s="84" t="inlineStr">
        <is>
          <t>Nothing slips through: action and status coverage tests</t>
        </is>
      </c>
      <c r="H58" s="116" t="inlineStr">
        <is>
          <t>Tests that fail the build when an action that changes money or delivery does not write its fact, or when a new order state, payment type or metric source is added without being classified for the facts.</t>
        </is>
      </c>
      <c r="I58" s="108" t="inlineStr">
        <is>
          <t>Done</t>
        </is>
      </c>
      <c r="J58" s="108" t="n">
        <v>1</v>
      </c>
      <c r="K58" s="109" t="n">
        <v>46308</v>
      </c>
      <c r="L58" s="109" t="n">
        <v>46310</v>
      </c>
      <c r="M58" s="110" t="inlineStr">
        <is>
          <t>rcfworks</t>
        </is>
      </c>
      <c r="N58" s="85" t="n">
        <v>0</v>
      </c>
      <c r="O58" s="84" t="inlineStr">
        <is>
          <t>3S1-BE-02</t>
        </is>
      </c>
      <c r="P58" s="84" t="inlineStr">
        <is>
          <t>Removing a fact write, or adding an unclassified state, fails CI</t>
        </is>
      </c>
      <c r="Q58" s="86" t="inlineStr">
        <is>
          <t>Spec §19, §21, §22</t>
        </is>
      </c>
      <c r="R58" s="111" t="inlineStr">
        <is>
          <t>tests/fact-coverage.static.test.ts + tests/support/fact-coverage.ts: reads the code, finds every money/delivery write (32 today), each with a reviewed decision — the fact calls its function makes and how many, or none and why. Fails on: a removed (or commented-out) fact call, a new write with no decision, a new caller of createDeliverablesFromJob, a write to the fact tables outside facts.ts, a stale decision; self-tests prove each. src/domain/fact-classification.ts: every order/deliverable/earning/edition/marketplace-order state, metric source, platform, payment method, refund cause/state/method and dispute state classified, typed against the app's own lists (typecheck + test fail on a new value). Writers read the metric and platform tables. Full suite 200 files / 3,190 tests green twice. Doc: SponsorX-Fact-Ledger.md v1.2 §6. Acceptance checked and moved to Done 2026-10-15 (rcfworks): criterion met, tests green, live in staging and production.</t>
        </is>
      </c>
    </row>
    <row r="59">
      <c r="A59" s="112" t="n">
        <v>7.4</v>
      </c>
      <c r="B59" s="113" t="inlineStr">
        <is>
          <t>3S1-DATA-05</t>
        </is>
      </c>
      <c r="C59" s="85" t="n">
        <v>1</v>
      </c>
      <c r="D59" s="86" t="inlineStr">
        <is>
          <t>Sprint 1 · Warehouse &amp; benchmarks</t>
        </is>
      </c>
      <c r="E59" s="129" t="inlineStr">
        <is>
          <t>DATA</t>
        </is>
      </c>
      <c r="F59" s="122" t="inlineStr">
        <is>
          <t>Code</t>
        </is>
      </c>
      <c r="G59" s="84" t="inlineStr">
        <is>
          <t>Fill history: orders and deliverables</t>
        </is>
      </c>
      <c r="H59" s="116" t="inlineStr">
        <is>
          <t>Split 2026-10-13 (user) from the 1-day fill into five half-day tasks. A re-runnable fill, through the live fact writers, of orders booked and cancelled, deliverables due / published / verified, and drafts sent back — dated from the records and their audit history.</t>
        </is>
      </c>
      <c r="I59" s="108" t="inlineStr">
        <is>
          <t>Done</t>
        </is>
      </c>
      <c r="J59" s="108" t="n">
        <v>0.5</v>
      </c>
      <c r="K59" s="109" t="n">
        <v>46308</v>
      </c>
      <c r="L59" s="109" t="n">
        <v>46310</v>
      </c>
      <c r="M59" s="110" t="inlineStr">
        <is>
          <t>rcfworks</t>
        </is>
      </c>
      <c r="N59" s="85" t="n">
        <v>0</v>
      </c>
      <c r="O59" s="84" t="inlineStr">
        <is>
          <t>3S1-QA-03</t>
        </is>
      </c>
      <c r="P59" s="84" t="inlineStr">
        <is>
          <t>After the fill the check matches these measures for every campaign; re-running adds nothing</t>
        </is>
      </c>
      <c r="Q59" s="86" t="inlineStr">
        <is>
          <t>Spec §19, §21, §22</t>
        </is>
      </c>
      <c r="R59" s="111" t="inlineStr">
        <is>
          <t>backend/src/domain/fact-history.ts fillOrderHistory: per accepted order, one transaction, through the live writers — booked (acceptance day) with deliverables due, revisions (audit log; audit count less facts already there, oldest first), published (published date), verified (audit), cancelled last (audit). No audit entry → fallback date, counted. Revisions sent back before publication filed UNPUBLISHED (factRevisionRequested now dates its channel by the published date — same answer live). scripts/fill-fact-history.mts (npm run facts:fill -- orders [--tenant id]; production needs --confirm-production) fills then runs the check for its measures. Tests: fact-history.test.ts (6) — history plus two orders that carried on live (a live revision, a live cancellation): the check matches every campaign, dates and channels as live, nothing counted twice, a re-run adds nothing. Full suite 202 files / 3,203 tests green twice. Doc: SponsorX-Fact-Ledger.md v1.4 §8. Acceptance checked and moved to Done 2026-10-15 (rcfworks): criterion met, tests green, live in staging and production.</t>
        </is>
      </c>
    </row>
    <row r="60">
      <c r="A60" s="112" t="n">
        <v>7.5</v>
      </c>
      <c r="B60" s="113" t="inlineStr">
        <is>
          <t>3S1-OPS-02</t>
        </is>
      </c>
      <c r="C60" s="85" t="n">
        <v>1</v>
      </c>
      <c r="D60" s="86" t="inlineStr">
        <is>
          <t>Sprint 1 · Warehouse &amp; benchmarks</t>
        </is>
      </c>
      <c r="E60" s="129" t="inlineStr">
        <is>
          <t>OPS</t>
        </is>
      </c>
      <c r="F60" s="122" t="inlineStr">
        <is>
          <t>Code</t>
        </is>
      </c>
      <c r="G60" s="84" t="inlineStr">
        <is>
          <t>Retire the warehouse</t>
        </is>
      </c>
      <c r="H60" s="116" t="inlineStr">
        <is>
          <t>Stop the hourly copy, remove the warehouse settings and code, and delete Postgres-warehouse and Postgres-warehouse-production (with the owner's OK) once the facts and summaries are live.</t>
        </is>
      </c>
      <c r="I60" s="108" t="inlineStr">
        <is>
          <t>Done</t>
        </is>
      </c>
      <c r="J60" s="108" t="n">
        <v>1</v>
      </c>
      <c r="K60" s="109" t="n">
        <v>46311</v>
      </c>
      <c r="L60" s="109" t="n">
        <v>46311</v>
      </c>
      <c r="M60" s="110" t="inlineStr">
        <is>
          <t>rcfworks</t>
        </is>
      </c>
      <c r="N60" s="85" t="n">
        <v>0</v>
      </c>
      <c r="O60" s="84" t="inlineStr">
        <is>
          <t>3S1-OPS-04</t>
        </is>
      </c>
      <c r="P60" s="84" t="inlineStr">
        <is>
          <t>No warehouse service, setting or code remains; analysis reads the summaries; the design docs say so</t>
        </is>
      </c>
      <c r="Q60" s="86" t="inlineStr">
        <is>
          <t>Spec §19, §21, §22</t>
        </is>
      </c>
      <c r="R60" s="111" t="inlineStr">
        <is>
          <t>Done 2026-10-16 (rcfworks, on the user's instruction): hourly copy, backend/worker/warehouse/, its tests and the warehouse:reader script removed. The databases Postgres-warehouse and Postgres-warehouse-production stay on Railway, unused, by the user's decision; noted in stack-decision.md D4.</t>
        </is>
      </c>
    </row>
    <row r="61">
      <c r="A61" s="112" t="n">
        <v>7.6</v>
      </c>
      <c r="B61" s="113" t="inlineStr">
        <is>
          <t>3S1-OPS-03</t>
        </is>
      </c>
      <c r="C61" s="85" t="n">
        <v>1</v>
      </c>
      <c r="D61" s="86" t="inlineStr">
        <is>
          <t>Sprint 1 · Warehouse &amp; benchmarks</t>
        </is>
      </c>
      <c r="E61" s="129" t="inlineStr">
        <is>
          <t>OPS</t>
        </is>
      </c>
      <c r="F61" s="122" t="inlineStr">
        <is>
          <t>Code / Vendor console</t>
        </is>
      </c>
      <c r="G61" s="84" t="inlineStr">
        <is>
          <t>Only the app writes to the live database</t>
        </is>
      </c>
      <c r="H61" s="116" t="inlineStr">
        <is>
          <t>A dedicated login for the app with write access; people get read-only access. Corrections go through admin actions, which record their facts — so no edit can bypass the ledger.</t>
        </is>
      </c>
      <c r="I61" s="108" t="inlineStr">
        <is>
          <t>Done</t>
        </is>
      </c>
      <c r="J61" s="108" t="n">
        <v>1</v>
      </c>
      <c r="K61" s="109" t="n">
        <v>46309</v>
      </c>
      <c r="L61" s="109" t="n">
        <v>46310</v>
      </c>
      <c r="M61" s="110" t="inlineStr">
        <is>
          <t>rcfworks</t>
        </is>
      </c>
      <c r="N61" s="85" t="n">
        <v>0</v>
      </c>
      <c r="O61" s="84" t="n"/>
      <c r="P61" s="84" t="inlineStr">
        <is>
          <t>In staging and production only the app's login can write; a read-only login exists for people; the change is recorded in the deployment runbook</t>
        </is>
      </c>
      <c r="Q61" s="86" t="inlineStr">
        <is>
          <t>Spec §19, §21, §22</t>
        </is>
      </c>
      <c r="R61" s="111" t="inlineStr">
        <is>
          <t>Acceptance checked and moved to Done 2026-10-15 (rcfworks): criterion met, tests green, live in staging and production.</t>
        </is>
      </c>
    </row>
    <row r="62">
      <c r="A62" s="112" t="n">
        <v>7.35</v>
      </c>
      <c r="B62" s="113" t="inlineStr">
        <is>
          <t>3S1-QA-03</t>
        </is>
      </c>
      <c r="C62" s="85" t="n">
        <v>1</v>
      </c>
      <c r="D62" s="86" t="inlineStr">
        <is>
          <t>Sprint 1 · Warehouse &amp; benchmarks</t>
        </is>
      </c>
      <c r="E62" s="129" t="inlineStr">
        <is>
          <t>QA</t>
        </is>
      </c>
      <c r="F62" s="122" t="inlineStr">
        <is>
          <t>Code</t>
        </is>
      </c>
      <c r="G62" s="84" t="inlineStr">
        <is>
          <t>"Match the app" check</t>
        </is>
      </c>
      <c r="H62" s="116" t="inlineStr">
        <is>
          <t>For every campaign, the daily summaries compared with the app's own figures (bookings, cancellations, deliverables due/published/verified/sent back, views and engagements by label, earnings paid, invoices, ad slots sold); for every tenant, marketplace sales and refunds. Each difference named. Used by each history fill, by 3S1-OPS-04, and nightly by 3S1-QA-01.</t>
        </is>
      </c>
      <c r="I62" s="108" t="inlineStr">
        <is>
          <t>Done</t>
        </is>
      </c>
      <c r="J62" s="108" t="n">
        <v>0.5</v>
      </c>
      <c r="K62" s="109" t="n">
        <v>46308</v>
      </c>
      <c r="L62" s="109" t="n">
        <v>46310</v>
      </c>
      <c r="M62" s="110" t="inlineStr">
        <is>
          <t>rcfworks</t>
        </is>
      </c>
      <c r="N62" s="85" t="n">
        <v>0</v>
      </c>
      <c r="O62" s="84" t="inlineStr">
        <is>
          <t>3S1-BE-02</t>
        </is>
      </c>
      <c r="P62" s="84" t="inlineStr">
        <is>
          <t>After a campaign is run through the real actions the check passes; a missing fact or a changed summary is reported by campaign and measure; a script runs it read-only against any database</t>
        </is>
      </c>
      <c r="Q62" s="86" t="inlineStr">
        <is>
          <t>Spec §22</t>
        </is>
      </c>
      <c r="R62" s="111" t="inlineStr">
        <is>
          <t>backend/src/domain/fact-check.ts checkFactsAgainstApp: per campaign, summaries vs the app's records (booked, cancelled, deliverables due/published/verified, revisions from the audit log, views/engagements by label, earnings paid, invoices, ad slots sold); per tenant the marketplace's gross/net/refunded. metric_corrections not compared (the app keeps no count), held to MEASURE_COLUMNS by test. scripts/check-facts.mts (npm run facts:check [-- --tenant id]) runs both checks in a READ ONLY transaction, exits 1 on a difference. Tests: fact-app-check.test.ts (history written without facts is named measure by measure; filling with the live writers passes; a hand-edited summary and an order cancelled in the database are caught), plus the check passing in fact-wiring and phase2-line-cancellation, and for slots in edition-automation. The app deletes none of these records, so a difference is real. Full suite 201 files / 3,197 tests green twice. Doc: SponsorX-Fact-Ledger.md v1.3 §7. Acceptance checked and moved to Done 2026-10-15 (rcfworks): criterion met, tests green, live in staging and production.</t>
        </is>
      </c>
    </row>
    <row r="63">
      <c r="A63" s="112" t="n">
        <v>7.41</v>
      </c>
      <c r="B63" s="113" t="inlineStr">
        <is>
          <t>3S1-DATA-06</t>
        </is>
      </c>
      <c r="C63" s="85" t="n">
        <v>1</v>
      </c>
      <c r="D63" s="86" t="inlineStr">
        <is>
          <t>Sprint 1 · Warehouse &amp; benchmarks</t>
        </is>
      </c>
      <c r="E63" s="129" t="inlineStr">
        <is>
          <t>DATA</t>
        </is>
      </c>
      <c r="F63" s="122" t="inlineStr">
        <is>
          <t>Code</t>
        </is>
      </c>
      <c r="G63" s="84" t="inlineStr">
        <is>
          <t>Fill history: views, payments and invoices</t>
        </is>
      </c>
      <c r="H63" s="116" t="inlineStr">
        <is>
          <t>Re-runnable fill through the live fact writers: daily views and engagements (final figure per day and label; earlier corrections counted from the audit log), earnings paid, Zoho invoices issued and paid.</t>
        </is>
      </c>
      <c r="I63" s="108" t="inlineStr">
        <is>
          <t>Done</t>
        </is>
      </c>
      <c r="J63" s="108" t="n">
        <v>0.5</v>
      </c>
      <c r="K63" s="109" t="n">
        <v>46308</v>
      </c>
      <c r="L63" s="109" t="n">
        <v>46310</v>
      </c>
      <c r="M63" s="110" t="inlineStr">
        <is>
          <t>rcfworks</t>
        </is>
      </c>
      <c r="N63" s="85" t="n">
        <v>0</v>
      </c>
      <c r="O63" s="84" t="inlineStr">
        <is>
          <t>3S1-QA-03</t>
        </is>
      </c>
      <c r="P63" s="84" t="inlineStr">
        <is>
          <t>After the fill the check matches these measures for every campaign; re-running adds nothing</t>
        </is>
      </c>
      <c r="Q63" s="86" t="inlineStr">
        <is>
          <t>Spec §21</t>
        </is>
      </c>
      <c r="R63" s="111" t="inlineStr">
        <is>
          <t>backend/src/domain/fact-history.ts: fillViewHistory (each MetricDaily row through factMetricRecorded; corrections = value changes in its metric.record audit entries less corrections the facts already count — catches a pre-ledger figure corrected live, which the live writer cannot count), fillPaymentHistory (PAID earnings, paid day), fillInvoiceHistory (factInvoice; void records nothing). Fixed: factMetricRecorded now compares only facts holding a figure, so a corrections-only fact is never mistaken for an old figure (a re-run had re-recorded 4 facts). npm run facts:fill -- views payments invoices. Tests: fact-history-money.test.ts (5) — history plus a live correction, a live payment and a live Zoho invoice: check matches, days right, corrections counted once, nothing doubled, re-run adds nothing. Full suite 203 files / 3,208 tests green twice. Doc: SponsorX-Fact-Ledger.md v1.5 §8. Acceptance checked and moved to Done 2026-10-15 (rcfworks): criterion met, tests green, live in staging and production.</t>
        </is>
      </c>
    </row>
    <row r="64">
      <c r="A64" s="112" t="n">
        <v>7.42</v>
      </c>
      <c r="B64" s="113" t="inlineStr">
        <is>
          <t>3S1-DATA-07</t>
        </is>
      </c>
      <c r="C64" s="85" t="n">
        <v>1</v>
      </c>
      <c r="D64" s="86" t="inlineStr">
        <is>
          <t>Sprint 1 · Warehouse &amp; benchmarks</t>
        </is>
      </c>
      <c r="E64" s="129" t="inlineStr">
        <is>
          <t>DATA</t>
        </is>
      </c>
      <c r="F64" s="122" t="inlineStr">
        <is>
          <t>Code</t>
        </is>
      </c>
      <c r="G64" s="84" t="inlineStr">
        <is>
          <t>Fill history: NEXT ad slots and the marketplace</t>
        </is>
      </c>
      <c r="H64" s="116" t="inlineStr">
        <is>
          <t>Re-runnable fill: NEXT ad slots sold (a cancelled edition's released slots rebuilt from the cancelled-sale record, sale and reversal), marketplace lines contracted and unwound, marketplace refunds sent.</t>
        </is>
      </c>
      <c r="I64" s="108" t="inlineStr">
        <is>
          <t>Done</t>
        </is>
      </c>
      <c r="J64" s="108" t="n">
        <v>0.5</v>
      </c>
      <c r="K64" s="109" t="n">
        <v>46308</v>
      </c>
      <c r="L64" s="109" t="n">
        <v>46310</v>
      </c>
      <c r="M64" s="110" t="inlineStr">
        <is>
          <t>rcfworks</t>
        </is>
      </c>
      <c r="N64" s="85" t="n">
        <v>0</v>
      </c>
      <c r="O64" s="84" t="inlineStr">
        <is>
          <t>3S1-QA-03</t>
        </is>
      </c>
      <c r="P64" s="84" t="inlineStr">
        <is>
          <t>After the fill the check matches these measures for every campaign and tenant; re-running adds nothing</t>
        </is>
      </c>
      <c r="Q64" s="86" t="inlineStr">
        <is>
          <t>Spec §21</t>
        </is>
      </c>
      <c r="R64" s="111" t="inlineStr">
        <is>
          <t>backend/src/domain/fact-history.ts: fillSlotHistory (slots sold now via factAdSlotSold; each CancelledAdSale rebuilt — sold on its adSlot.sell audit day, one per campaign×edition, reversed on cancelledAt; skipped when recorded live), fillMarketplaceHistory (factMarketplaceContracted on contractedAt; each line with a REVERSAL journal unwound on that day; refunds SENT). npm run facts:fill -- slots marketplace. Proof: tests erase live facts and refill from history — marketplace facts identical key for key (phase2-line-cancellation); a cancelled edition's per-campaign day figures identical (edition-automation); and the campaign side (orders, deliverables, views, payments, invoices) every non-zero daily summary figure identical (fact-wiring). Full suite 203 files / 3,210 tests green twice. Acceptance checked and moved to Done 2026-10-15 (rcfworks): criterion met, tests green, live in staging and production.</t>
        </is>
      </c>
    </row>
    <row r="65">
      <c r="A65" s="112" t="n">
        <v>7.43</v>
      </c>
      <c r="B65" s="113" t="inlineStr">
        <is>
          <t>3S1-OPS-04</t>
        </is>
      </c>
      <c r="C65" s="85" t="n">
        <v>1</v>
      </c>
      <c r="D65" s="86" t="inlineStr">
        <is>
          <t>Sprint 1 · Warehouse &amp; benchmarks</t>
        </is>
      </c>
      <c r="E65" s="129" t="inlineStr">
        <is>
          <t>OPS</t>
        </is>
      </c>
      <c r="F65" s="122" t="inlineStr">
        <is>
          <t>Code / Vendor console</t>
        </is>
      </c>
      <c r="G65" s="84" t="inlineStr">
        <is>
          <t>Fill the history on staging and production</t>
        </is>
      </c>
      <c r="H65" s="116" t="inlineStr">
        <is>
          <t>Run the three fills on staging, then production with the owner's OK; the check must then pass for every campaign and tenant.</t>
        </is>
      </c>
      <c r="I65" s="108" t="inlineStr">
        <is>
          <t>Done</t>
        </is>
      </c>
      <c r="J65" s="108" t="n">
        <v>0.5</v>
      </c>
      <c r="K65" s="109" t="n">
        <v>46308</v>
      </c>
      <c r="L65" s="109" t="n">
        <v>46310</v>
      </c>
      <c r="M65" s="110" t="inlineStr">
        <is>
          <t>rcfworks</t>
        </is>
      </c>
      <c r="N65" s="85" t="n">
        <v>0</v>
      </c>
      <c r="O65" s="84" t="inlineStr">
        <is>
          <t>3S1-DATA-05, 3S1-DATA-06, 3S1-DATA-07</t>
        </is>
      </c>
      <c r="P65" s="84" t="inlineStr">
        <is>
          <t>History filled for all tenants in both environments; the check passes; a second run adds nothing</t>
        </is>
      </c>
      <c r="Q65" s="86" t="inlineStr">
        <is>
          <t>Spec §21</t>
        </is>
      </c>
      <c r="R65" s="111" t="inlineStr">
        <is>
          <t>Deployed f00d36a to staging + production by hand 2026-10-13 10:36 UTC (main green; user's OK). STAGING: check before — only gap seed_tenant_btg marketplace gross/net 580000 (no campaign orders, deliverables, metrics, earnings, invoices or sold slots at all — counted read-only); fill: 6 marketplace orders → 7 facts, 0 fallback dates; check after: both pass; second run 0. PRODUCTION (run by the user — the classifier blocks a production shell): check before already passing (no money history before the ledger); fill: 0 records in every part; check after: both pass. Acceptance checked and moved to Done 2026-10-15 (rcfworks): criterion met, tests green, live in staging and production.</t>
        </is>
      </c>
    </row>
    <row r="66">
      <c r="A66" s="112" t="n">
        <v>10.1</v>
      </c>
      <c r="B66" s="113" t="inlineStr">
        <is>
          <t>3S1-FE-01</t>
        </is>
      </c>
      <c r="C66" s="85" t="n">
        <v>1</v>
      </c>
      <c r="D66" s="86" t="inlineStr">
        <is>
          <t>Sprint 1 · Warehouse &amp; benchmarks</t>
        </is>
      </c>
      <c r="E66" s="134" t="inlineStr">
        <is>
          <t>FE</t>
        </is>
      </c>
      <c r="F66" s="122" t="inlineStr">
        <is>
          <t>Code</t>
        </is>
      </c>
      <c r="G66" s="84" t="inlineStr">
        <is>
          <t>Figures check on the integrations screen</t>
        </is>
      </c>
      <c r="H66" s="116" t="inlineStr">
        <is>
          <t>Raised by 3S1-QA-01 (2026-10-13). Show the nightly fact check on the admin integrations screen beside Zoho, webhooks and the queue, from the `facts` section of GET /operations/integration-health: last run, whether report figures match the app, since when not, the differences in words, whether emails are on.</t>
        </is>
      </c>
      <c r="I66" s="108" t="inlineStr">
        <is>
          <t>Done</t>
        </is>
      </c>
      <c r="J66" s="108" t="n">
        <v>0.5</v>
      </c>
      <c r="K66" s="109" t="n">
        <v>46309</v>
      </c>
      <c r="L66" s="109" t="n">
        <v>46309</v>
      </c>
      <c r="M66" s="110" t="inlineStr">
        <is>
          <t>HeckerCreatives</t>
        </is>
      </c>
      <c r="N66" s="85" t="n">
        <v>0</v>
      </c>
      <c r="O66" s="84" t="inlineStr">
        <is>
          <t>3S1-QA-01</t>
        </is>
      </c>
      <c r="P66" s="84" t="inlineStr">
        <is>
          <t>The integrations screen shows the section in its three states (never run; matching; not matching with its differences); BTG only</t>
        </is>
      </c>
      <c r="Q66" s="86" t="inlineStr">
        <is>
          <t>Spec §22, §23</t>
        </is>
      </c>
      <c r="R66" s="111" t="inlineStr">
        <is>
          <t>Built 2026-10-14: frontend/src/lib/fact-check-live.ts (states, unit-tested: tests/fact-check-live.test.ts, 8) and the 'Figures check · nightly' section on /admin/integrations from GET /operations/integration-health `facts`. Draws never run, matching, not matching (since when, differences in words, '…and N more' past 20) and a fourth state: the check could not run (matches null + lastError) — shown as 'not run', never as a mismatch. A mismatch or failed run joins the page's 'needs attention' summary. QA 2026-10-14: live walk as BTG admin on desktop + mobile with each state staged in FactCheckRun (another tenant's differences never shown); Finance never reaches the screen. Frontend 139 files / 1,528 tests green, lint clean, next build green. Built while the lead dev revises the fact ledger (2026-10-14) — re-walk when that lands in case the `facts` shape moves.</t>
        </is>
      </c>
    </row>
  </sheetData>
  <autoFilter ref="A4:R66"/>
  <mergeCells count="2">
    <mergeCell ref="A2:R2"/>
    <mergeCell ref="A1:R1"/>
  </mergeCells>
  <conditionalFormatting sqref="I5:I6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6">
    <cfRule type="expression" rank="0" priority="7" equalAverage="0" aboveAverage="0" dxfId="32" text="" percent="0" bottom="0">
      <formula>$I5="Done"</formula>
    </cfRule>
  </conditionalFormatting>
  <conditionalFormatting sqref="N5:N66">
    <cfRule type="cellIs" rank="0" priority="8" equalAverage="0" operator="greaterThanOrEqual" aboveAverage="0" dxfId="33" text="" percent="0" bottom="0">
      <formula>50</formula>
    </cfRule>
  </conditionalFormatting>
  <dataValidations count="1">
    <dataValidation sqref="I5:I66"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R23"/>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19 tasks, all Done and signed off as built (4S9-PMO-03) · SponsorX's side of virtual sponsorship as built: the world and placement registry, bookings, creative and the manifest, pause and rollback, machine login, client endpoints and settings, the telemetry intake, the cross-channel campaign model. Every open task moved on 2026-10-20 to the game phase (Phase 6 since 2026-10-27) (the game is parked).</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Define the world contract: runtime, environments and identity</t>
        </is>
      </c>
      <c r="H5" s="107" t="inlineStr">
        <is>
          <t>The rules any world must follow to work with SponsorX, written before the game exists so the game is built to them: engine-neutral (recorded per world), staging and production environments, stable world/zone/placement IDs never reused, sessions and players only as anonymous references.</t>
        </is>
      </c>
      <c r="I5" s="108" t="inlineStr">
        <is>
          <t>Done</t>
        </is>
      </c>
      <c r="J5" s="108" t="n">
        <v>3</v>
      </c>
      <c r="K5" s="109" t="n">
        <v>46311</v>
      </c>
      <c r="L5" s="109" t="n">
        <v>46311</v>
      </c>
      <c r="M5" s="110" t="inlineStr">
        <is>
          <t>rcfworks</t>
        </is>
      </c>
      <c r="N5" s="81" t="n">
        <v>0</v>
      </c>
      <c r="O5" s="80" t="inlineStr">
        <is>
          <t>Phase 3 complete</t>
        </is>
      </c>
      <c r="P5" s="80" t="inlineStr">
        <is>
          <t>Runtime-neutral contract, environment versioning and identity/session model written and approved</t>
        </is>
      </c>
      <c r="Q5" s="82" t="inlineStr">
        <is>
          <t>Spec §33</t>
        </is>
      </c>
      <c r="R5" s="111" t="inlineStr">
        <is>
          <t>Done 2026-10-16 (rcfworks): SponsorX-INFINEX-World-Contract.md — any engine, STAGING/PRODUCTION, stable IDs never reused, anonymous sessionRef/subjectRef, two callers. Approved by the user.</t>
        </is>
      </c>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Done</t>
        </is>
      </c>
      <c r="J6" s="108" t="n">
        <v>3</v>
      </c>
      <c r="K6" s="109" t="n">
        <v>46311</v>
      </c>
      <c r="L6" s="109" t="n">
        <v>46311</v>
      </c>
      <c r="M6" s="110" t="inlineStr">
        <is>
          <t>rcfworks</t>
        </is>
      </c>
      <c r="N6" s="85" t="n">
        <v>0</v>
      </c>
      <c r="O6" s="84" t="inlineStr">
        <is>
          <t>4S0-PMO-01</t>
        </is>
      </c>
      <c r="P6" s="84" t="inlineStr">
        <is>
          <t>Taxonomy documented and mapped to SponsorX entities</t>
        </is>
      </c>
      <c r="Q6" s="86" t="inlineStr">
        <is>
          <t>Spec §25, §27.1</t>
        </is>
      </c>
      <c r="R6" s="111" t="inlineStr">
        <is>
          <t>Done 2026-10-16 (rcfworks): SponsorX-Virtual-Taxonomy.md — five levels in three tables (VirtualWorld, VirtualZone, VirtualPlacement), seven placement kinds, mapped to Property VIRTUAL and InventoryItem VIRTUAL_PLACEMENT. Approved by the user.</t>
        </is>
      </c>
    </row>
    <row r="7" ht="23.85" customHeight="1" s="75">
      <c r="A7" s="104" t="n">
        <v>5</v>
      </c>
      <c r="B7" s="105" t="inlineStr">
        <is>
          <t>4S0-SEC-01</t>
        </is>
      </c>
      <c r="C7" s="81" t="n">
        <v>0</v>
      </c>
      <c r="D7" s="82" t="inlineStr">
        <is>
          <t>Sprint 0 · Contract &amp; taxonomy</t>
        </is>
      </c>
      <c r="E7" s="140" t="inlineStr">
        <is>
          <t>SEC</t>
        </is>
      </c>
      <c r="F7" s="120" t="inlineStr">
        <is>
          <t>Code</t>
        </is>
      </c>
      <c r="G7" s="80" t="inlineStr">
        <is>
          <t>Trusted client authentication design</t>
        </is>
      </c>
      <c r="H7" s="107" t="inlineStr">
        <is>
          <t>The INFINEX client sends telemetry that becomes sponsor billing data. Its authentication has to be strong enough that fabricated events are not possible.</t>
        </is>
      </c>
      <c r="I7" s="108" t="inlineStr">
        <is>
          <t>Done</t>
        </is>
      </c>
      <c r="J7" s="108" t="n">
        <v>3</v>
      </c>
      <c r="K7" s="163" t="n">
        <v>46314</v>
      </c>
      <c r="L7" s="163" t="n">
        <v>46314</v>
      </c>
      <c r="M7" s="110" t="inlineStr">
        <is>
          <t>rcfworks</t>
        </is>
      </c>
      <c r="N7" s="81" t="n">
        <v>0</v>
      </c>
      <c r="O7" s="80" t="inlineStr">
        <is>
          <t>4S0-PMO-01</t>
        </is>
      </c>
      <c r="P7" s="80" t="inlineStr">
        <is>
          <t>Client authentication and event signing design reviewed and approved</t>
        </is>
      </c>
      <c r="Q7" s="82" t="inlineStr">
        <is>
          <t>Spec §29, §31</t>
        </is>
      </c>
      <c r="R7" s="111" t="inlineStr">
        <is>
          <t>2026-10-19 DONE (rcfworks): merged in #259, acceptance met (tests green on CI). | 2026-10-19 (rcfworks): design approved by the user as the plan; API spec §6.2. Built: InfinexCredential (secret shown once, SHA-256 stored, own service user) → POST /infinex/token 15-min sxm_ token; POST /infinex/clients/{id}/sessions → game session token pinned to its world + signing key derived from INFINEX_SIGNING_SECRET (never stored); raw-body HMAC verifier (±300 s). Roles INFINEX_SERVICE/INFINEX_CLIENT (RBAC §38, digest b1f1e50851c850e3), scopes narrow only, all protected fields denied. Checked every call. Migration 20261019180000_infinex_machine_auth. tests/infinex-auth.test.ts (11).</t>
        </is>
      </c>
    </row>
    <row r="8" ht="32.8" customHeight="1" s="75">
      <c r="A8" s="112" t="n">
        <v>6</v>
      </c>
      <c r="B8" s="113" t="inlineStr">
        <is>
          <t>4S1-BE-01</t>
        </is>
      </c>
      <c r="C8" s="85" t="n">
        <v>1</v>
      </c>
      <c r="D8" s="86" t="inlineStr">
        <is>
          <t>Sprint 1 · World &amp; placement registry</t>
        </is>
      </c>
      <c r="E8" s="137" t="inlineStr">
        <is>
          <t>BE</t>
        </is>
      </c>
      <c r="F8" s="122" t="inlineStr">
        <is>
          <t>Code</t>
        </is>
      </c>
      <c r="G8" s="84" t="inlineStr">
        <is>
          <t>World and zone registry</t>
        </is>
      </c>
      <c r="H8" s="116" t="inlineStr">
        <is>
          <t>Register INFINEX worlds and their districts, venues and zones against stable external IDs.</t>
        </is>
      </c>
      <c r="I8" s="108" t="inlineStr">
        <is>
          <t>Done</t>
        </is>
      </c>
      <c r="J8" s="108" t="n">
        <v>3</v>
      </c>
      <c r="K8" s="109" t="n">
        <v>46311</v>
      </c>
      <c r="L8" s="109" t="n">
        <v>46311</v>
      </c>
      <c r="M8" s="110" t="inlineStr">
        <is>
          <t>rcfworks</t>
        </is>
      </c>
      <c r="N8" s="85" t="n">
        <v>0</v>
      </c>
      <c r="O8" s="84" t="inlineStr">
        <is>
          <t>4S0-PMO-02</t>
        </is>
      </c>
      <c r="P8" s="84" t="inlineStr">
        <is>
          <t>SponsorX can register a world and its zones against stable external IDs</t>
        </is>
      </c>
      <c r="Q8" s="86" t="inlineStr">
        <is>
          <t>Spec §28, §30</t>
        </is>
      </c>
      <c r="R8" s="111" t="inlineStr">
        <is>
          <t>Done 2026-10-16 (merged #243) (rcfworks): worlds per environment under the owner's external ID; zones upserted by external ID, all or nothing; IDs fixed by a DB trigger. SponsorX-Virtual-Registry.md §1.</t>
        </is>
      </c>
    </row>
    <row r="9" ht="32.8" customHeight="1" s="75">
      <c r="A9" s="104" t="n">
        <v>7</v>
      </c>
      <c r="B9" s="105" t="inlineStr">
        <is>
          <t>4S1-BE-02</t>
        </is>
      </c>
      <c r="C9" s="81" t="n">
        <v>1</v>
      </c>
      <c r="D9" s="82" t="inlineStr">
        <is>
          <t>Sprint 1 · World &amp; placement registry</t>
        </is>
      </c>
      <c r="E9" s="139" t="inlineStr">
        <is>
          <t>BE</t>
        </is>
      </c>
      <c r="F9" s="120" t="inlineStr">
        <is>
          <t>Code</t>
        </is>
      </c>
      <c r="G9" s="80" t="inlineStr">
        <is>
          <t>Virtual placement model</t>
        </is>
      </c>
      <c r="H9" s="107" t="inlineStr">
        <is>
          <t>Billboards, LED surfaces, naming rights, branded rooms, courts, tunnels, kiosks. Each with technical creative constraints, a viewability rule and capacity.</t>
        </is>
      </c>
      <c r="I9" s="108" t="inlineStr">
        <is>
          <t>Done</t>
        </is>
      </c>
      <c r="J9" s="108" t="n">
        <v>5</v>
      </c>
      <c r="K9" s="109" t="n">
        <v>46311</v>
      </c>
      <c r="L9" s="109" t="n">
        <v>46311</v>
      </c>
      <c r="M9" s="110" t="inlineStr">
        <is>
          <t>rcfworks</t>
        </is>
      </c>
      <c r="N9" s="81" t="n">
        <v>0</v>
      </c>
      <c r="O9" s="80" t="inlineStr">
        <is>
          <t>4S1-BE-01</t>
        </is>
      </c>
      <c r="P9" s="80" t="inlineStr">
        <is>
          <t>A placement can be registered with specs, viewability rule and availability</t>
        </is>
      </c>
      <c r="Q9" s="82" t="inlineStr">
        <is>
          <t>Spec §30</t>
        </is>
      </c>
      <c r="R9" s="111" t="inlineStr">
        <is>
          <t>Done 2026-10-16 (merged #243) (rcfworks): placements with kind, specs, creative types, limits, capacity, viewability rule, price, dates; draft until on sale; specs fixed on sale. §2.</t>
        </is>
      </c>
    </row>
    <row r="10" ht="23.85" customHeight="1" s="75">
      <c r="A10" s="112" t="n">
        <v>8</v>
      </c>
      <c r="B10" s="113" t="inlineStr">
        <is>
          <t>4S1-BE-03</t>
        </is>
      </c>
      <c r="C10" s="85" t="n">
        <v>1</v>
      </c>
      <c r="D10" s="86" t="inlineStr">
        <is>
          <t>Sprint 1 · World &amp; placement registry</t>
        </is>
      </c>
      <c r="E10" s="137" t="inlineStr">
        <is>
          <t>BE</t>
        </is>
      </c>
      <c r="F10" s="122" t="inlineStr">
        <is>
          <t>Code</t>
        </is>
      </c>
      <c r="G10" s="84" t="inlineStr">
        <is>
          <t>Map placements to sellable inventory</t>
        </is>
      </c>
      <c r="H10" s="116" t="inlineStr">
        <is>
          <t>The join that makes virtual surfaces purchasable through the same campaign system as everything else.</t>
        </is>
      </c>
      <c r="I10" s="108" t="inlineStr">
        <is>
          <t>Done</t>
        </is>
      </c>
      <c r="J10" s="108" t="n">
        <v>3</v>
      </c>
      <c r="K10" s="109" t="n">
        <v>46311</v>
      </c>
      <c r="L10" s="109" t="n">
        <v>46311</v>
      </c>
      <c r="M10" s="110" t="inlineStr">
        <is>
          <t>rcfworks</t>
        </is>
      </c>
      <c r="N10" s="85" t="n">
        <v>0</v>
      </c>
      <c r="O10" s="84" t="inlineStr">
        <is>
          <t>4S1-BE-02</t>
        </is>
      </c>
      <c r="P10" s="84" t="inlineStr">
        <is>
          <t>A virtual placement maps to a sellable SponsorX inventory record</t>
        </is>
      </c>
      <c r="Q10" s="86" t="inlineStr">
        <is>
          <t>Spec §27.1</t>
        </is>
      </c>
      <c r="R10" s="111" t="inlineStr">
        <is>
          <t>Done 2026-10-16 (merged #243) (rcfworks): on sale = one InventoryItem VIRTUAL_PLACEMENT owned by the world's property, kept in step; owner cannot edit or list it. §3.</t>
        </is>
      </c>
    </row>
    <row r="11" ht="32.8" customHeight="1" s="75">
      <c r="A11" s="104" t="n">
        <v>9</v>
      </c>
      <c r="B11" s="105" t="inlineStr">
        <is>
          <t>4S1-BE-04</t>
        </is>
      </c>
      <c r="C11" s="81" t="n">
        <v>1</v>
      </c>
      <c r="D11" s="82" t="inlineStr">
        <is>
          <t>Sprint 1 · World &amp; placement registry</t>
        </is>
      </c>
      <c r="E11" s="139" t="inlineStr">
        <is>
          <t>BE</t>
        </is>
      </c>
      <c r="F11" s="120" t="inlineStr">
        <is>
          <t>Code</t>
        </is>
      </c>
      <c r="G11" s="80" t="inlineStr">
        <is>
          <t>Placement availability windows</t>
        </is>
      </c>
      <c r="H11" s="107" t="inlineStr">
        <is>
          <t>Sellable time windows with capacity, so two sponsors cannot buy the same billboard for the same week.</t>
        </is>
      </c>
      <c r="I11" s="108" t="inlineStr">
        <is>
          <t>Done</t>
        </is>
      </c>
      <c r="J11" s="108" t="n">
        <v>3</v>
      </c>
      <c r="K11" s="109" t="n">
        <v>46311</v>
      </c>
      <c r="L11" s="109" t="n">
        <v>46311</v>
      </c>
      <c r="M11" s="110" t="inlineStr">
        <is>
          <t>rcfworks</t>
        </is>
      </c>
      <c r="N11" s="81" t="n">
        <v>0</v>
      </c>
      <c r="O11" s="80" t="inlineStr">
        <is>
          <t>4S1-BE-02</t>
        </is>
      </c>
      <c r="P11" s="80" t="inlineStr">
        <is>
          <t>Overlapping purchases of the same placement are rejected</t>
        </is>
      </c>
      <c r="Q11" s="82" t="inlineStr">
        <is>
          <t>Spec §30</t>
        </is>
      </c>
      <c r="R11" s="111" t="inlineStr">
        <is>
          <t>Done 2026-10-16 (merged #244) (rcfworks): PlacementWindow books whole days inside a draft campaign at the weekly price pro rata; DB exclusion constraint refuses overlaps per placement and slot; released on campaign cancel; no retire with bookings ahead. SponsorX-Virtual-Registry.md §4.</t>
        </is>
      </c>
    </row>
    <row r="12" ht="23.85" customHeight="1" s="75">
      <c r="A12" s="104" t="n">
        <v>13</v>
      </c>
      <c r="B12" s="105" t="inlineStr">
        <is>
          <t>4S2-BE-01</t>
        </is>
      </c>
      <c r="C12" s="81" t="n">
        <v>2</v>
      </c>
      <c r="D12" s="82" t="inlineStr">
        <is>
          <t>Sprint 2 · Manifest &amp; creative deployment</t>
        </is>
      </c>
      <c r="E12" s="139" t="inlineStr">
        <is>
          <t>BE</t>
        </is>
      </c>
      <c r="F12" s="120" t="inlineStr">
        <is>
          <t>Code</t>
        </is>
      </c>
      <c r="G12" s="80" t="inlineStr">
        <is>
          <t>Creative deployment model</t>
        </is>
      </c>
      <c r="H12" s="107" t="inlineStr">
        <is>
          <t>Associate approved sponsor assets with placements, versioned, with start and end times.</t>
        </is>
      </c>
      <c r="I12" s="108" t="inlineStr">
        <is>
          <t>Done</t>
        </is>
      </c>
      <c r="J12" s="108" t="n">
        <v>5</v>
      </c>
      <c r="K12" s="109" t="n">
        <v>46311</v>
      </c>
      <c r="L12" s="109" t="n">
        <v>46311</v>
      </c>
      <c r="M12" s="110" t="inlineStr">
        <is>
          <t>rcfworks</t>
        </is>
      </c>
      <c r="N12" s="81" t="n">
        <v>0</v>
      </c>
      <c r="O12" s="80" t="inlineStr">
        <is>
          <t>4S1-BE-03</t>
        </is>
      </c>
      <c r="P12" s="80" t="inlineStr">
        <is>
          <t>A deployment record ties campaign, placement, asset version and schedule</t>
        </is>
      </c>
      <c r="Q12" s="82" t="inlineStr">
        <is>
          <t>Spec §27.2, §30</t>
        </is>
      </c>
      <c r="R12" s="111" t="inlineStr">
        <is>
          <t>Done 2026-10-16 (merged #250) (rcfworks): CreativeDeployment ties window (campaign, placement), validated creative version and dates inside the window; DRAFT→APPROVED→ENDED; DB refuses overlapping approved deployments; bumps sequence and world manifestVersion. Registry doc §6.</t>
        </is>
      </c>
    </row>
    <row r="13" ht="23.85" customHeight="1" s="75">
      <c r="A13" s="112" t="n">
        <v>14</v>
      </c>
      <c r="B13" s="113" t="inlineStr">
        <is>
          <t>4S2-BE-02</t>
        </is>
      </c>
      <c r="C13" s="85" t="n">
        <v>2</v>
      </c>
      <c r="D13" s="86" t="inlineStr">
        <is>
          <t>Sprint 2 · Manifest &amp; creative deployment</t>
        </is>
      </c>
      <c r="E13" s="137" t="inlineStr">
        <is>
          <t>BE</t>
        </is>
      </c>
      <c r="F13" s="122" t="inlineStr">
        <is>
          <t>Code</t>
        </is>
      </c>
      <c r="G13" s="84" t="inlineStr">
        <is>
          <t>Creative validation against placement specs</t>
        </is>
      </c>
      <c r="H13" s="116" t="inlineStr">
        <is>
          <t>Reject assets that do not fit the surface before they reach the world, not after a sponsor complains.</t>
        </is>
      </c>
      <c r="I13" s="108" t="inlineStr">
        <is>
          <t>Done</t>
        </is>
      </c>
      <c r="J13" s="108" t="n">
        <v>3</v>
      </c>
      <c r="K13" s="109" t="n">
        <v>46311</v>
      </c>
      <c r="L13" s="109" t="n">
        <v>46311</v>
      </c>
      <c r="M13" s="110" t="inlineStr">
        <is>
          <t>rcfworks</t>
        </is>
      </c>
      <c r="N13" s="85" t="n">
        <v>0</v>
      </c>
      <c r="O13" s="84" t="inlineStr">
        <is>
          <t>4S2-BE-01</t>
        </is>
      </c>
      <c r="P13" s="84" t="inlineStr">
        <is>
          <t>An asset failing the placement's technical constraints is rejected at upload</t>
        </is>
      </c>
      <c r="Q13" s="86" t="inlineStr">
        <is>
          <t>Spec §27.2</t>
        </is>
      </c>
      <c r="R13" s="111" t="inlineStr">
        <is>
          <t>Done 2026-10-16 (merged #250) (rcfworks): creative uploaded direct to the private bucket and checked on register against the placement (type, exact pixels, size, video length) from the stored file (size, checksum, image pixels and format via sharp); failing = REJECTED with reasons, file deleted. §5.</t>
        </is>
      </c>
    </row>
    <row r="14" ht="15" customHeight="1" s="75">
      <c r="A14" s="104" t="n">
        <v>15</v>
      </c>
      <c r="B14" s="105" t="inlineStr">
        <is>
          <t>4S2-BE-03</t>
        </is>
      </c>
      <c r="C14" s="81" t="n">
        <v>2</v>
      </c>
      <c r="D14" s="82" t="inlineStr">
        <is>
          <t>Sprint 2 · Manifest &amp; creative deployment</t>
        </is>
      </c>
      <c r="E14" s="139" t="inlineStr">
        <is>
          <t>BE</t>
        </is>
      </c>
      <c r="F14" s="120" t="inlineStr">
        <is>
          <t>Code</t>
        </is>
      </c>
      <c r="G14" s="80" t="inlineStr">
        <is>
          <t>Active manifest service</t>
        </is>
      </c>
      <c r="H14" s="107" t="inlineStr">
        <is>
          <t>The endpoint INFINEX calls to ask what is live right now. Must return only approved, in-window deployments for the requested world and time.</t>
        </is>
      </c>
      <c r="I14" s="108" t="inlineStr">
        <is>
          <t>Done</t>
        </is>
      </c>
      <c r="J14" s="108" t="n">
        <v>5</v>
      </c>
      <c r="K14" s="109" t="n">
        <v>46311</v>
      </c>
      <c r="L14" s="109" t="n">
        <v>46311</v>
      </c>
      <c r="M14" s="110" t="inlineStr">
        <is>
          <t>rcfworks</t>
        </is>
      </c>
      <c r="N14" s="81" t="n">
        <v>0</v>
      </c>
      <c r="O14" s="80" t="inlineStr">
        <is>
          <t>4S2-BE-01</t>
        </is>
      </c>
      <c r="P14" s="80" t="inlineStr">
        <is>
          <t>Manifest returns only approved, in-window deployments for the requested world and time</t>
        </is>
      </c>
      <c r="Q14" s="82" t="inlineStr">
        <is>
          <t>Spec §28, §34</t>
        </is>
      </c>
      <c r="R14" s="111" t="inlineStr">
        <is>
          <t>Done 2026-10-16 (merged #250) (rcfworks): GET /virtual/worlds/{id}/manifest?at= — only approved, in-date deployments on booked windows, on-sale placements, validated creative, active world; manifestVersion + ETag/304. Download links 4S2-BE-04; game login 4S0-SEC-01. §7.</t>
        </is>
      </c>
    </row>
    <row r="15" ht="22.35" customHeight="1" s="75">
      <c r="A15" s="112" t="n">
        <v>16</v>
      </c>
      <c r="B15" s="113" t="inlineStr">
        <is>
          <t>4S2-BE-04</t>
        </is>
      </c>
      <c r="C15" s="85" t="n">
        <v>2</v>
      </c>
      <c r="D15" s="86" t="inlineStr">
        <is>
          <t>Sprint 2 · Manifest &amp; creative deployment</t>
        </is>
      </c>
      <c r="E15" s="137" t="inlineStr">
        <is>
          <t>BE</t>
        </is>
      </c>
      <c r="F15" s="122" t="inlineStr">
        <is>
          <t>Code</t>
        </is>
      </c>
      <c r="G15" s="84" t="inlineStr">
        <is>
          <t>Signed asset delivery through the CDN</t>
        </is>
      </c>
      <c r="H15" s="116" t="inlineStr">
        <is>
          <t>Creative is served fast and signed, so assets cannot be lifted from the URL.</t>
        </is>
      </c>
      <c r="I15" s="108" t="inlineStr">
        <is>
          <t>Done</t>
        </is>
      </c>
      <c r="J15" s="108" t="n">
        <v>3</v>
      </c>
      <c r="K15" s="163" t="n">
        <v>46314</v>
      </c>
      <c r="L15" s="163" t="n">
        <v>46314</v>
      </c>
      <c r="M15" s="110" t="inlineStr">
        <is>
          <t>rcfworks</t>
        </is>
      </c>
      <c r="N15" s="85" t="n">
        <v>0</v>
      </c>
      <c r="O15" s="84" t="inlineStr">
        <is>
          <t>4S2-BE-03</t>
        </is>
      </c>
      <c r="P15" s="84" t="inlineStr">
        <is>
          <t>Creative is delivered through signed, short-lived CDN URLs</t>
        </is>
      </c>
      <c r="Q15" s="86" t="inlineStr">
        <is>
          <t>Spec §31</t>
        </is>
      </c>
      <c r="R15" s="111" t="inlineStr">
        <is>
          <t>2026-10-19 DONE (rcfworks): merged in #255, acceptance met (tests green on CI). | 2026-10-19 (rcfworks): each manifest file carries url (signed GET to the private R2 bucket, 15-min life) and urlExpiresAt. Signed at the start of each 5-min step, so every link handed out is good &gt;=10 min and a poll inside one step gets 304 with nothing signed. One virtual.creativeLinksGrant audit row per grant (keys, never links). Not edge-cached: a caching layer only if 4S8-OPS-01 needs one. tests/virtual-creative.test.ts (14).</t>
        </is>
      </c>
    </row>
    <row r="16" ht="23.85" customHeight="1" s="75">
      <c r="A16" s="104" t="n">
        <v>17</v>
      </c>
      <c r="B16" s="105" t="inlineStr">
        <is>
          <t>4S2-BE-05</t>
        </is>
      </c>
      <c r="C16" s="81" t="n">
        <v>2</v>
      </c>
      <c r="D16" s="82" t="inlineStr">
        <is>
          <t>Sprint 2 · Manifest &amp; creative deployment</t>
        </is>
      </c>
      <c r="E16" s="139" t="inlineStr">
        <is>
          <t>BE</t>
        </is>
      </c>
      <c r="F16" s="120" t="inlineStr">
        <is>
          <t>Code</t>
        </is>
      </c>
      <c r="G16" s="80" t="inlineStr">
        <is>
          <t>Deployment pause and rollback</t>
        </is>
      </c>
      <c r="H16" s="107" t="inlineStr">
        <is>
          <t>A sponsor needs their creative down in minutes, not at the next release. Pausing invalidates the manifest and the prior asset state.</t>
        </is>
      </c>
      <c r="I16" s="108" t="inlineStr">
        <is>
          <t>Done</t>
        </is>
      </c>
      <c r="J16" s="108" t="n">
        <v>3</v>
      </c>
      <c r="K16" s="163" t="n">
        <v>46314</v>
      </c>
      <c r="L16" s="163" t="n">
        <v>46314</v>
      </c>
      <c r="M16" s="110" t="inlineStr">
        <is>
          <t>rcfworks</t>
        </is>
      </c>
      <c r="N16" s="81" t="n">
        <v>0</v>
      </c>
      <c r="O16" s="80" t="inlineStr">
        <is>
          <t>4S2-BE-03</t>
        </is>
      </c>
      <c r="P16" s="80" t="inlineStr">
        <is>
          <t>Creative can be paused or rolled back from SponsorX without redeploying the INFINEX application</t>
        </is>
      </c>
      <c r="Q16" s="82" t="inlineStr">
        <is>
          <t>Spec §27.2, §34</t>
        </is>
      </c>
      <c r="R16" s="111" t="inlineStr">
        <is>
          <t>2026-10-19 DONE (rcfworks): merged in #257, acceptance met (tests green on CI). | 2026-10-19 (rcfworks): POST /virtual/deployments/{id}/pause and /resume, POST /virtual/windows/{id}/rollback. Pause takes it off the manifest on the next poll (manifestVersion + ETag change); resume re-checks like approval (and the one-at-a-time rule); rollback puts the previous (or named) validated version on from now to the old end in one transaction. No new links for a paused deployment; issued ones lapse within 15 min. Audited; pausedAt/rolledBackAt/stateReason/replacedById held by a CHECK. Migration 20261019150000_deployment_pause_rollback. tests/virtual-deployment-control.test.ts (6).</t>
        </is>
      </c>
    </row>
    <row r="17" ht="23.85" customHeight="1" s="75">
      <c r="A17" s="112" t="n">
        <v>20</v>
      </c>
      <c r="B17" s="113" t="inlineStr">
        <is>
          <t>4S3-INT-02</t>
        </is>
      </c>
      <c r="C17" s="85" t="n">
        <v>3</v>
      </c>
      <c r="D17" s="86" t="inlineStr">
        <is>
          <t>Sprint 3 · INFINEX client endpoints</t>
        </is>
      </c>
      <c r="E17" s="141" t="inlineStr">
        <is>
          <t>INT</t>
        </is>
      </c>
      <c r="F17" s="122" t="inlineStr">
        <is>
          <t>Code</t>
        </is>
      </c>
      <c r="G17" s="84" t="inlineStr">
        <is>
          <t>Client registry and heartbeat endpoint</t>
        </is>
      </c>
      <c r="H17" s="116" t="inlineStr">
        <is>
          <t>SponsorX's side: the client registry, the heartbeat endpoint and the missing-heartbeat alert, proven with the stand-in world. The game sending it is 6S1-INT-02.</t>
        </is>
      </c>
      <c r="I17" s="108" t="inlineStr">
        <is>
          <t>Done</t>
        </is>
      </c>
      <c r="J17" s="108" t="n">
        <v>2</v>
      </c>
      <c r="K17" s="163" t="n">
        <v>46314</v>
      </c>
      <c r="L17" s="163" t="n">
        <v>46314</v>
      </c>
      <c r="M17" s="110" t="inlineStr">
        <is>
          <t>rcfworks</t>
        </is>
      </c>
      <c r="N17" s="85" t="n">
        <v>0</v>
      </c>
      <c r="O17" s="84" t="inlineStr">
        <is>
          <t>4S2-BE-03</t>
        </is>
      </c>
      <c r="P17" s="84" t="inlineStr">
        <is>
          <t>A registered client's heartbeat is recorded and a missing heartbeat raises an alert (proven with the stand-in world)</t>
        </is>
      </c>
      <c r="Q17" s="86" t="inlineStr">
        <is>
          <t>Spec §28, §30</t>
        </is>
      </c>
      <c r="R17" s="111" t="inlineStr">
        <is>
          <t>2026-10-19 DONE (rcfworks): merged in #262, acceptance met (stand-in world drives it end to end; CI green). | 2026-10-19 (rcfworks): client = one game build per world (unique), registered/revoked by BTG or the world's server (/infinex/clients). POST /infinex/heartbeat from a game session (client/world from the token), latest beat + count on the row. Worker minute sweep marks a build quiet 5 min (after it has reported) missing: audit infinex.heartbeatMissing + Integrations screen (integrationHealth.infinex); next beat recovers (audited). Stand-in world: npm run infinex:standin (server token → session → manifest → heartbeats), driven end to end by tests/infinex-clients.test.ts (5). Sessions now start without INFINEX_SIGNING_SECRET (signingKey null). RBAC §38 INFINEX_CLIENT own client; digest 6c2dbfecd20f5311. Migration 20261019200000_infinex_client_heartbeat. | Split 2026-10-16 (user): the game half moved to Phase 5 as 6S1-INT-02.</t>
        </is>
      </c>
    </row>
    <row r="18" ht="23.85" customHeight="1" s="75">
      <c r="A18" s="104" t="n">
        <v>21</v>
      </c>
      <c r="B18" s="105" t="inlineStr">
        <is>
          <t>4S3-INT-03</t>
        </is>
      </c>
      <c r="C18" s="81" t="n">
        <v>3</v>
      </c>
      <c r="D18" s="82" t="inlineStr">
        <is>
          <t>Sprint 3 · INFINEX client endpoints</t>
        </is>
      </c>
      <c r="E18" s="138" t="inlineStr">
        <is>
          <t>INT</t>
        </is>
      </c>
      <c r="F18" s="120" t="inlineStr">
        <is>
          <t>Code</t>
        </is>
      </c>
      <c r="G18" s="80" t="inlineStr">
        <is>
          <t>Client configuration endpoint</t>
        </is>
      </c>
      <c r="H18" s="107" t="inlineStr">
        <is>
          <t>SponsorX's side: feature flags, telemetry limits and schema versions served per client, so behaviour changes without a client release. The game honouring them is 6S1-INT-03.</t>
        </is>
      </c>
      <c r="I18" s="108" t="inlineStr">
        <is>
          <t>Done</t>
        </is>
      </c>
      <c r="J18" s="108" t="n">
        <v>1</v>
      </c>
      <c r="K18" s="163" t="n">
        <v>46314</v>
      </c>
      <c r="L18" s="163" t="n">
        <v>46314</v>
      </c>
      <c r="M18" s="110" t="inlineStr">
        <is>
          <t>rcfworks</t>
        </is>
      </c>
      <c r="N18" s="81" t="n">
        <v>0</v>
      </c>
      <c r="O18" s="80" t="inlineStr">
        <is>
          <t>4S2-BE-03</t>
        </is>
      </c>
      <c r="P18" s="80" t="inlineStr">
        <is>
          <t>Config is served per client with its telemetry limits, and the stand-in world honours them</t>
        </is>
      </c>
      <c r="Q18" s="82" t="inlineStr">
        <is>
          <t>Spec §28</t>
        </is>
      </c>
      <c r="R18" s="111" t="inlineStr">
        <is>
          <t>2026-10-19 DONE (rcfworks): merged in #263, acceptance met (stand-in honours the config; CI green). | 2026-10-19 (rcfworks): GET /infinex/config (game session, own build, ETag/304): reviewed defaults infinex-config@1.0.0 + BTG's per-build override within LIMITS (GET/PATCH /infinex/clients/{id}/config; 422 with every reason; machines 403; audited). Heartbeat interval × 5 = missing threshold (sweep per build). Stand-in reads config first and honours it (heartbeat/poll intervals, limits reported). Migration 20261019220000_infinex_client_config. tests/infinex-config.test.ts (7). | Split 2026-10-16 (user): the game half moved to Phase 5 as 6S1-INT-03.</t>
        </is>
      </c>
    </row>
    <row r="19" ht="23.85" customHeight="1" s="75">
      <c r="A19" s="104" t="n">
        <v>23</v>
      </c>
      <c r="B19" s="105" t="inlineStr">
        <is>
          <t>4S4-BE-01</t>
        </is>
      </c>
      <c r="C19" s="81" t="n">
        <v>4</v>
      </c>
      <c r="D19" s="82" t="inlineStr">
        <is>
          <t>Sprint 4 · Telemetry ingestion</t>
        </is>
      </c>
      <c r="E19" s="139" t="inlineStr">
        <is>
          <t>BE</t>
        </is>
      </c>
      <c r="F19" s="120" t="inlineStr">
        <is>
          <t>Code</t>
        </is>
      </c>
      <c r="G19" s="80" t="inlineStr">
        <is>
          <t>Telemetry batch ingestion endpoint</t>
        </is>
      </c>
      <c r="H19" s="107" t="inlineStr">
        <is>
          <t>Batched events with service authentication. Validates schema, timestamp, placement-campaign relationship, signature and replay indicators.</t>
        </is>
      </c>
      <c r="I19" s="108" t="inlineStr">
        <is>
          <t>Done</t>
        </is>
      </c>
      <c r="J19" s="108" t="n">
        <v>5</v>
      </c>
      <c r="K19" s="163" t="n">
        <v>46314</v>
      </c>
      <c r="L19" s="163" t="n">
        <v>46314</v>
      </c>
      <c r="M19" s="110" t="inlineStr">
        <is>
          <t>rcfworks</t>
        </is>
      </c>
      <c r="N19" s="81" t="n">
        <v>0</v>
      </c>
      <c r="O19" s="80" t="inlineStr">
        <is>
          <t>4S0-SEC-01</t>
        </is>
      </c>
      <c r="P19" s="80" t="inlineStr">
        <is>
          <t>Batch endpoint supports idempotent event IDs and rejects malformed or unauthorised events</t>
        </is>
      </c>
      <c r="Q19" s="82" t="inlineStr">
        <is>
          <t>Spec §28, §34</t>
        </is>
      </c>
      <c r="R19" s="111" t="inlineStr">
        <is>
          <t>2026-10-19 DONE (rcfworks): merged in #265, acceptance met (CI green). | 2026-10-19 (rcfworks): POST /infinex/telemetry — game session, signed over raw bytes, build's maxBatch/maxBytes (413) and telemetry flag (409); per-event checks with named problems; stored once per (client, eventId) via createManyAndReturn skipDuplicates (resend = duplicate); &gt;72 h quarantined. Path is /infinex/telemetry (the spec's :batch clashes with Express params). Stand-in sends a signed batch. New resource virtualEvent (RBAC §38, digest e42f713e01538f23). tests/infinex-telemetry.test.ts (6).</t>
        </is>
      </c>
    </row>
    <row r="20" ht="23.85" customHeight="1" s="75">
      <c r="A20" s="112" t="n">
        <v>24</v>
      </c>
      <c r="B20" s="113" t="inlineStr">
        <is>
          <t>4S4-BE-02</t>
        </is>
      </c>
      <c r="C20" s="85" t="n">
        <v>4</v>
      </c>
      <c r="D20" s="86" t="inlineStr">
        <is>
          <t>Sprint 4 · Telemetry ingestion</t>
        </is>
      </c>
      <c r="E20" s="137" t="inlineStr">
        <is>
          <t>BE</t>
        </is>
      </c>
      <c r="F20" s="122" t="inlineStr">
        <is>
          <t>Code</t>
        </is>
      </c>
      <c r="G20" s="84" t="inlineStr">
        <is>
          <t>Event schema and versioning</t>
        </is>
      </c>
      <c r="H20" s="116" t="inlineStr">
        <is>
          <t>The shared contract: event_id, schema_version, event_type, occurred_at, world/zone/placement, session, dwell, interaction type. Versioned so client and server can evolve apart.</t>
        </is>
      </c>
      <c r="I20" s="108" t="inlineStr">
        <is>
          <t>Done</t>
        </is>
      </c>
      <c r="J20" s="108" t="n">
        <v>3</v>
      </c>
      <c r="K20" s="163" t="n">
        <v>46314</v>
      </c>
      <c r="L20" s="163" t="n">
        <v>46314</v>
      </c>
      <c r="M20" s="110" t="inlineStr">
        <is>
          <t>rcfworks</t>
        </is>
      </c>
      <c r="N20" s="85" t="n">
        <v>0</v>
      </c>
      <c r="O20" s="84" t="inlineStr">
        <is>
          <t>4S4-BE-01</t>
        </is>
      </c>
      <c r="P20" s="84" t="inlineStr">
        <is>
          <t>Schema is versioned and a mismatched version is rejected with a clear error</t>
        </is>
      </c>
      <c r="Q20" s="86" t="inlineStr">
        <is>
          <t>Spec §29</t>
        </is>
      </c>
      <c r="R20" s="111" t="inlineStr">
        <is>
          <t>2026-10-19 DONE (rcfworks): merged in #265, acceptance met (CI green). | 2026-10-19 (rcfworks), with 4S4-BE-01: envelope + v1 data shapes per event type (SCHEMAS[1]); supported versions from the build's config; mismatched version refused 'unsupported-schema-version' naming the supported ones.</t>
        </is>
      </c>
    </row>
    <row r="21" ht="23.85" customHeight="1" s="75">
      <c r="A21" s="104" t="n">
        <v>27</v>
      </c>
      <c r="B21" s="105" t="inlineStr">
        <is>
          <t>4S4-DATA-01</t>
        </is>
      </c>
      <c r="C21" s="81" t="n">
        <v>4</v>
      </c>
      <c r="D21" s="82" t="inlineStr">
        <is>
          <t>Sprint 4 · Telemetry ingestion</t>
        </is>
      </c>
      <c r="E21" s="143" t="inlineStr">
        <is>
          <t>DATA</t>
        </is>
      </c>
      <c r="F21" s="120" t="inlineStr">
        <is>
          <t>Code</t>
        </is>
      </c>
      <c r="G21" s="80" t="inlineStr">
        <is>
          <t>Raw event storage</t>
        </is>
      </c>
      <c r="H21" s="107" t="inlineStr">
        <is>
          <t>Durable raw telemetry, kept separate from aggregates, so any number can be recomputed from source.</t>
        </is>
      </c>
      <c r="I21" s="108" t="inlineStr">
        <is>
          <t>Done</t>
        </is>
      </c>
      <c r="J21" s="108" t="n">
        <v>3</v>
      </c>
      <c r="K21" s="163" t="n">
        <v>46314</v>
      </c>
      <c r="L21" s="163" t="n">
        <v>46314</v>
      </c>
      <c r="M21" s="110" t="inlineStr">
        <is>
          <t>rcfworks</t>
        </is>
      </c>
      <c r="N21" s="81" t="n">
        <v>0</v>
      </c>
      <c r="O21" s="80" t="inlineStr">
        <is>
          <t>4S4-BE-01</t>
        </is>
      </c>
      <c r="P21" s="80" t="inlineStr">
        <is>
          <t>Raw events are durably stored and aggregates are reproducible from them</t>
        </is>
      </c>
      <c r="Q21" s="82" t="inlineStr">
        <is>
          <t>Spec §30</t>
        </is>
      </c>
      <c r="R21" s="111" t="inlineStr">
        <is>
          <t>2026-10-19 DONE (rcfworks): merged in #265, acceptance met (CI green). | 2026-10-19 (rcfworks), with 4S4-BE-01: VirtualEventRaw keyed (clientId, eventId), append-only trigger virtual_event_append_only, separate from aggregates (4S5-DATA-01 computes from it). Migration 20261019230000_virtual_event_raw.</t>
        </is>
      </c>
    </row>
    <row r="22" ht="23.85" customHeight="1" s="75">
      <c r="A22" s="112" t="n">
        <v>38</v>
      </c>
      <c r="B22" s="113" t="inlineStr">
        <is>
          <t>4S7-BE-01</t>
        </is>
      </c>
      <c r="C22" s="85" t="n">
        <v>7</v>
      </c>
      <c r="D22" s="86" t="inlineStr">
        <is>
          <t>Sprint 7 · Cross-channel reporting</t>
        </is>
      </c>
      <c r="E22" s="137" t="inlineStr">
        <is>
          <t>BE</t>
        </is>
      </c>
      <c r="F22" s="122" t="inlineStr">
        <is>
          <t>Code</t>
        </is>
      </c>
      <c r="G22" s="84" t="inlineStr">
        <is>
          <t>Cross-channel campaign model extension</t>
        </is>
      </c>
      <c r="H22" s="116" t="inlineStr">
        <is>
          <t>One campaign holding real-world, social, athlete, reward and INFINEX inventory together.</t>
        </is>
      </c>
      <c r="I22" s="108" t="inlineStr">
        <is>
          <t>Done</t>
        </is>
      </c>
      <c r="J22" s="108" t="n">
        <v>5</v>
      </c>
      <c r="K22" s="163" t="n">
        <v>46314</v>
      </c>
      <c r="L22" s="163" t="n">
        <v>46314</v>
      </c>
      <c r="M22" s="110" t="inlineStr">
        <is>
          <t>rcfworks</t>
        </is>
      </c>
      <c r="N22" s="85" t="n">
        <v>0</v>
      </c>
      <c r="O22" s="84" t="inlineStr">
        <is>
          <t>4S1-BE-03</t>
        </is>
      </c>
      <c r="P22" s="84" t="inlineStr">
        <is>
          <t>A single campaign can contain virtual and non-virtual inventory</t>
        </is>
      </c>
      <c r="Q22" s="86" t="inlineStr">
        <is>
          <t>Spec §25</t>
        </is>
      </c>
      <c r="R22" s="111" t="inlineStr">
        <is>
          <t>2026-10-19 DONE (rcfworks): merged in #255, acceptance met (tests green on CI). | 2026-10-19 (rcfworks): one campaign holds athlete orders, NEXT ad slots and INFINEX placement windows (PlacementWindow.campaignId is now a foreign key). A booking is a PLACEMENT_WINDOW_BOOKED fact (channel INFINEX, measure virtual_booked_cents, CampaignDaySummary.virtualBookedCents), reversed on release; counted once in figures, the nightly fact check, sponsor spend and the sponsor report (virtualPlacements). A campaign with only INFINEX placements skips STAFFING like an ad-only one. Migration 20261019120000_virtual_booked_fact. tests/cross-channel-campaign.test.ts.</t>
        </is>
      </c>
    </row>
    <row r="23" ht="23.85" customHeight="1" s="75">
      <c r="A23" s="112" t="n">
        <v>52</v>
      </c>
      <c r="B23" s="113" t="inlineStr">
        <is>
          <t>4S9-PMO-03</t>
        </is>
      </c>
      <c r="C23" s="85" t="n">
        <v>9</v>
      </c>
      <c r="D23" s="86" t="inlineStr">
        <is>
          <t>Sprint 9 · Sign-off</t>
        </is>
      </c>
      <c r="E23" s="137" t="inlineStr">
        <is>
          <t>PMO</t>
        </is>
      </c>
      <c r="F23" s="122" t="inlineStr">
        <is>
          <t>Document</t>
        </is>
      </c>
      <c r="G23" s="84" t="inlineStr">
        <is>
          <t>Phase 4 acceptance record, as built</t>
        </is>
      </c>
      <c r="H23" s="116" t="inlineStr">
        <is>
          <t>Raised 2026-10-20 when the game was parked and every open Phase 4 task moved to the game phase (now Phase 6; the former UAT is 6S8-PMO-01). Records criteria 1–4 with the tasks, PRs and tests that prove them.</t>
        </is>
      </c>
      <c r="I23" s="108" t="inlineStr">
        <is>
          <t>Done</t>
        </is>
      </c>
      <c r="J23" s="108" t="n">
        <v>1</v>
      </c>
      <c r="K23" s="163" t="n">
        <v>46315</v>
      </c>
      <c r="L23" s="163" t="n">
        <v>46315</v>
      </c>
      <c r="M23" s="110" t="inlineStr">
        <is>
          <t>rcfworks</t>
        </is>
      </c>
      <c r="N23" s="85" t="n">
        <v>0</v>
      </c>
      <c r="O23" s="84" t="inlineStr">
        <is>
          <t>4S1-BE-04, 4S2-BE-03, 4S2-BE-05, 4S4-BE-01</t>
        </is>
      </c>
      <c r="P23" s="84" t="inlineStr">
        <is>
          <t>Phase 4's acceptance criteria 1–4 demonstrated and signed off</t>
        </is>
      </c>
      <c r="Q23" s="86" t="inlineStr">
        <is>
          <t>Spec §34</t>
        </is>
      </c>
      <c r="R23" s="111" t="inlineStr">
        <is>
          <t>2026-10-20 DONE (rcfworks, signed off with Rodney's delegated authority): documentation/SponsorX-Phase4-Acceptance-Signoff.md — 75/75 Phase 4 tests pass against 08f10a6b (stand-in world end to end); release 1b198d4b checked on staging.</t>
        </is>
      </c>
    </row>
    <row r="24" ht="23.85" customHeight="1" s="75"/>
    <row r="25" ht="23.85" customHeight="1" s="75"/>
    <row r="26" ht="32.8" customHeight="1" s="75"/>
    <row r="27" ht="23.85" customHeight="1" s="75"/>
    <row r="28" ht="23.85" customHeight="1" s="75"/>
    <row r="29" ht="23.85" customHeight="1" s="75"/>
    <row r="30" ht="23.85" customHeight="1" s="75"/>
    <row r="31" ht="23.85" customHeight="1" s="75"/>
    <row r="32" ht="22.35" customHeight="1" s="75"/>
    <row r="33" ht="23.85" customHeight="1" s="75"/>
    <row r="34" ht="23.85" customHeight="1" s="75"/>
    <row r="35" ht="23.85" customHeight="1" s="75"/>
    <row r="36" ht="23.85" customHeight="1" s="75"/>
    <row r="37" ht="23.85" customHeight="1" s="75"/>
    <row r="38" ht="23.85" customHeight="1" s="75"/>
    <row r="39" ht="23.85" customHeight="1" s="75"/>
    <row r="40" ht="23.85" customHeight="1" s="75"/>
    <row r="41" ht="23.85" customHeight="1" s="75"/>
    <row r="42" ht="22.35" customHeight="1" s="75"/>
    <row r="43" ht="23.85" customHeight="1" s="75"/>
    <row r="44" ht="22.35" customHeight="1" s="75"/>
    <row r="45" ht="23.85" customHeight="1" s="75"/>
    <row r="46" ht="23.85" customHeight="1" s="75"/>
    <row r="47" ht="22.35" customHeight="1" s="75"/>
    <row r="48" ht="23.85" customHeight="1" s="75"/>
    <row r="49" ht="23.85" customHeight="1" s="75"/>
    <row r="50" ht="23.85" customHeight="1" s="75"/>
    <row r="51" ht="23.85" customHeight="1" s="75"/>
    <row r="52" s="75"/>
    <row r="53" s="75"/>
    <row r="54" s="75"/>
    <row r="55" s="75"/>
  </sheetData>
  <autoFilter ref="A4:R23"/>
  <mergeCells count="2">
    <mergeCell ref="A2:R2"/>
    <mergeCell ref="A1:R1"/>
  </mergeCells>
  <conditionalFormatting sqref="I5:I23">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3">
    <cfRule type="expression" rank="0" priority="7" equalAverage="0" aboveAverage="0" dxfId="32" text="" percent="0" bottom="0">
      <formula>$I5="Done"</formula>
    </cfRule>
  </conditionalFormatting>
  <conditionalFormatting sqref="N5:N23">
    <cfRule type="cellIs" rank="0" priority="8" equalAverage="0" operator="greaterThanOrEqual" aboveAverage="0" dxfId="33" text="" percent="0" bottom="0">
      <formula>50</formula>
    </cfRule>
  </conditionalFormatting>
  <dataValidations count="1">
    <dataValidation sqref="I5:I23"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R6"/>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5 · Certified Recruiting Partnership</t>
        </is>
      </c>
    </row>
    <row r="2" ht="15" customHeight="1" s="75">
      <c r="A2" s="77" t="inlineStr">
        <is>
          <t>2 tasks · links between SponsorX and certified-recruiting.com (the GoDaddy site, already built; BTG already links to it). Added 2026-10-27.</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5S1-FE-01</t>
        </is>
      </c>
      <c r="C5" s="81" t="n">
        <v>1</v>
      </c>
      <c r="D5" s="82" t="inlineStr">
        <is>
          <t>Sprint 1 · Partner links</t>
        </is>
      </c>
      <c r="E5" s="138" t="inlineStr">
        <is>
          <t>FE</t>
        </is>
      </c>
      <c r="F5" s="120" t="inlineStr">
        <is>
          <t>Code</t>
        </is>
      </c>
      <c r="G5" s="80" t="inlineStr">
        <is>
          <t>Certified Recruiting card on SponsorX</t>
        </is>
      </c>
      <c r="H5" s="107" t="inlineStr">
        <is>
          <t>Partner card linking to certified-recruiting.com, on the home page and the athlete dashboard.</t>
        </is>
      </c>
      <c r="I5" s="108" t="inlineStr">
        <is>
          <t>Ready</t>
        </is>
      </c>
      <c r="J5" s="108" t="n">
        <v>1</v>
      </c>
      <c r="K5" s="109" t="n"/>
      <c r="L5" s="109" t="n"/>
      <c r="M5" s="110" t="n"/>
      <c r="N5" s="81" t="n">
        <v>0</v>
      </c>
      <c r="O5" s="80" t="n"/>
      <c r="P5" s="80" t="inlineStr">
        <is>
          <t>Card shows on both pages, opens certified-recruiting.com, works on phone and desktop</t>
        </is>
      </c>
      <c r="Q5" s="82" t="inlineStr">
        <is>
          <t>SponsorX-Phase5-Certified-Recruiting.md</t>
        </is>
      </c>
      <c r="R5" s="111" t="inlineStr">
        <is>
          <t>Raised 2026-10-27. Slack brief in the phase doc.</t>
        </is>
      </c>
    </row>
    <row r="6" ht="32.8" customHeight="1" s="75">
      <c r="A6" s="104" t="n">
        <v>2</v>
      </c>
      <c r="B6" s="105" t="inlineStr">
        <is>
          <t>5S1-FE-02</t>
        </is>
      </c>
      <c r="C6" s="81" t="n">
        <v>1</v>
      </c>
      <c r="D6" s="82" t="inlineStr">
        <is>
          <t>Sprint 1 · Partner links</t>
        </is>
      </c>
      <c r="E6" s="138" t="inlineStr">
        <is>
          <t>FE</t>
        </is>
      </c>
      <c r="F6" s="120" t="inlineStr">
        <is>
          <t>Vendor console</t>
        </is>
      </c>
      <c r="G6" s="80" t="inlineStr">
        <is>
          <t>Fix footer links on certified-recruiting.com</t>
        </is>
      </c>
      <c r="H6" s="107" t="inlineStr">
        <is>
          <t>GoDaddy editor: SponsorX → sponsorx.net, SponsorX Next → sponsorx.net/next/about, real Instagram and X.</t>
        </is>
      </c>
      <c r="I6" s="108" t="inlineStr">
        <is>
          <t>Ready</t>
        </is>
      </c>
      <c r="J6" s="108" t="n">
        <v>1</v>
      </c>
      <c r="K6" s="109" t="n"/>
      <c r="L6" s="109" t="n"/>
      <c r="M6" s="110" t="n"/>
      <c r="N6" s="81" t="n">
        <v>0</v>
      </c>
      <c r="O6" s="80" t="n"/>
      <c r="P6" s="80" t="inlineStr">
        <is>
          <t>Every footer link opens the right page</t>
        </is>
      </c>
      <c r="Q6" s="82" t="inlineStr">
        <is>
          <t>SponsorX-Phase5-Certified-Recruiting.md</t>
        </is>
      </c>
      <c r="R6" s="111" t="inlineStr">
        <is>
          <t>Raised 2026-10-27.</t>
        </is>
      </c>
    </row>
    <row r="7" ht="32.8" customHeight="1" s="75"/>
    <row r="8" ht="32.8" customHeight="1" s="75"/>
    <row r="9" ht="32.8" customHeight="1" s="75"/>
    <row r="10" ht="32.8" customHeight="1" s="75"/>
    <row r="11" ht="32.8" customHeight="1" s="75"/>
    <row r="12" ht="32.8" customHeight="1" s="75"/>
    <row r="13" ht="32.8" customHeight="1" s="75"/>
    <row r="14" ht="32.8" customHeight="1" s="75"/>
    <row r="15" ht="32.8" customHeight="1" s="75"/>
    <row r="16" ht="32.8" customHeight="1" s="75"/>
    <row r="17" ht="32.8" customHeight="1" s="75"/>
    <row r="18" ht="32.8" customHeight="1" s="75"/>
    <row r="19" ht="32.8" customHeight="1" s="75"/>
    <row r="20" ht="32.8" customHeight="1" s="75"/>
    <row r="21" ht="32.8" customHeight="1" s="75"/>
    <row r="22" ht="32.8" customHeight="1" s="75"/>
    <row r="23" ht="32.8" customHeight="1" s="75"/>
    <row r="24" ht="32.8" customHeight="1" s="75"/>
    <row r="25" ht="32.8" customHeight="1" s="75"/>
    <row r="26" ht="32.8" customHeight="1" s="75"/>
    <row r="27" ht="23.85" customHeight="1" s="75"/>
    <row r="28" ht="23.85" customHeight="1" s="75"/>
    <row r="29" ht="23.85" customHeight="1" s="75"/>
    <row r="30" ht="23.85" customHeight="1" s="75"/>
    <row r="31" ht="23.85" customHeight="1" s="75"/>
    <row r="32" ht="22.35" customHeight="1" s="75"/>
    <row r="33" ht="23.85" customHeight="1" s="75"/>
    <row r="34" ht="23.85" customHeight="1" s="75"/>
    <row r="35" ht="23.85" customHeight="1" s="75"/>
    <row r="36" ht="23.85" customHeight="1" s="75"/>
    <row r="37" ht="23.85" customHeight="1" s="75"/>
    <row r="38" ht="23.85" customHeight="1" s="75"/>
    <row r="39" ht="23.85" customHeight="1" s="75"/>
    <row r="40" ht="23.85" customHeight="1" s="75"/>
    <row r="41" ht="23.85" customHeight="1" s="75"/>
    <row r="42" ht="22.35" customHeight="1" s="75"/>
    <row r="43" ht="23.85" customHeight="1" s="75"/>
    <row r="44" ht="22.35" customHeight="1" s="75"/>
    <row r="45" ht="23.85" customHeight="1" s="75"/>
    <row r="46" ht="23.85" customHeight="1" s="75"/>
    <row r="47" ht="22.35" customHeight="1" s="75"/>
    <row r="48" ht="23.85" customHeight="1" s="75"/>
    <row r="49" ht="23.85" customHeight="1" s="75"/>
    <row r="50" ht="23.85" customHeight="1" s="75"/>
    <row r="51" ht="23.85" customHeight="1" s="75"/>
    <row r="52" s="75"/>
    <row r="53" s="75"/>
    <row r="54" s="75"/>
    <row r="55" s="75"/>
  </sheetData>
  <autoFilter ref="A4:R6"/>
  <mergeCells count="2">
    <mergeCell ref="A2:R2"/>
    <mergeCell ref="A1:R1"/>
  </mergeCells>
  <conditionalFormatting sqref="I5:I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
    <cfRule type="expression" rank="0" priority="7" equalAverage="0" aboveAverage="0" dxfId="32" text="" percent="0" bottom="0">
      <formula>$I5="Done"</formula>
    </cfRule>
  </conditionalFormatting>
  <conditionalFormatting sqref="N5:N6">
    <cfRule type="cellIs" rank="0" priority="8" equalAverage="0" operator="greaterThanOrEqual" aboveAverage="0" dxfId="33" text="" percent="0" bottom="0">
      <formula>50</formula>
    </cfRule>
  </conditionalFormatting>
  <dataValidations count="1">
    <dataValidation sqref="I5:I6" showDropDown="0" showInputMessage="0" showErrorMessage="0" allowBlank="1" type="list">
      <formula1>"Ready,In progress,Code review,Blocked,Done"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R54"/>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6 · INFINEX Game Integration</t>
        </is>
      </c>
    </row>
    <row r="2" ht="15" customHeight="1" s="75">
      <c r="A2" s="77" t="inlineStr">
        <is>
          <t>50 tasks across 8 sprints · the game and everything that serves it: the in-game connector, the staging world test, the pilot world, player accounts with a live connection, and (moved from Phase 4 on 2026-10-20, the game being parked) telemetry at scale, viewability and metrics, in-world activations, game reporting and operations, and the virtual-inventory screens, emergency pause, UAT and rollout · Phase 5 until 2026-10-27, when Certified Recruiting took Phase 5; IDs renumbered 5S… → 6S…</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6S1-INT-01</t>
        </is>
      </c>
      <c r="C5" s="81" t="n">
        <v>1</v>
      </c>
      <c r="D5" s="82" t="inlineStr">
        <is>
          <t>Sprint 1 · Game connector</t>
        </is>
      </c>
      <c r="E5" s="138" t="inlineStr">
        <is>
          <t>INT</t>
        </is>
      </c>
      <c r="F5" s="120" t="inlineStr">
        <is>
          <t>Code</t>
        </is>
      </c>
      <c r="G5" s="80" t="inlineStr">
        <is>
          <t>INFINEX client manifest consumption</t>
        </is>
      </c>
      <c r="H5" s="107" t="inlineStr">
        <is>
          <t>Game-engine side: fetch the manifest, cache it sensibly, and render the right asset version.</t>
        </is>
      </c>
      <c r="I5" s="108" t="inlineStr">
        <is>
          <t>Blocked</t>
        </is>
      </c>
      <c r="J5" s="108" t="n">
        <v>5</v>
      </c>
      <c r="K5" s="109" t="n"/>
      <c r="L5" s="109" t="n"/>
      <c r="M5" s="110" t="n"/>
      <c r="N5" s="81" t="n">
        <v>0</v>
      </c>
      <c r="O5" s="80" t="inlineStr">
        <is>
          <t>4S2-BE-03</t>
        </is>
      </c>
      <c r="P5" s="80" t="inlineStr">
        <is>
          <t>The INFINEX client renders a sponsored placement using the correct asset version</t>
        </is>
      </c>
      <c r="Q5" s="82" t="inlineStr">
        <is>
          <t>Spec §34</t>
        </is>
      </c>
      <c r="R5" s="111" t="inlineStr">
        <is>
          <t>Formerly 4S3-INT-01 (moved 2026-10-16). Work inside the INFINEX game. | Formerly 5S1-INT-01 (Phase 5 became Phase 6, 2026-10-27).</t>
        </is>
      </c>
    </row>
    <row r="6" ht="32.8" customHeight="1" s="75">
      <c r="A6" s="104" t="n">
        <v>2</v>
      </c>
      <c r="B6" s="105" t="inlineStr">
        <is>
          <t>6S1-INT-02</t>
        </is>
      </c>
      <c r="C6" s="81" t="n">
        <v>1</v>
      </c>
      <c r="D6" s="82" t="inlineStr">
        <is>
          <t>Sprint 1 · Game connector</t>
        </is>
      </c>
      <c r="E6" s="138" t="inlineStr">
        <is>
          <t>INT</t>
        </is>
      </c>
      <c r="F6" s="120" t="inlineStr">
        <is>
          <t>Code</t>
        </is>
      </c>
      <c r="G6" s="80" t="inlineStr">
        <is>
          <t>Game heartbeat</t>
        </is>
      </c>
      <c r="H6" s="107" t="inlineStr">
        <is>
          <t>The game half of the client heartbeat: the game registers with its key and reports health to SponsorX's heartbeat endpoint (4S3-INT-02).</t>
        </is>
      </c>
      <c r="I6" s="108" t="inlineStr">
        <is>
          <t>Blocked</t>
        </is>
      </c>
      <c r="J6" s="108" t="n">
        <v>1</v>
      </c>
      <c r="K6" s="109" t="n"/>
      <c r="L6" s="109" t="n"/>
      <c r="M6" s="110" t="n"/>
      <c r="N6" s="81" t="n">
        <v>0</v>
      </c>
      <c r="O6" s="80" t="inlineStr">
        <is>
          <t>6S1-INT-01, 4S3-INT-02</t>
        </is>
      </c>
      <c r="P6" s="80" t="inlineStr">
        <is>
          <t>The game reports its heartbeat and SponsorX raises an alert when it stops</t>
        </is>
      </c>
      <c r="Q6" s="82" t="inlineStr">
        <is>
          <t>Spec §28, §30</t>
        </is>
      </c>
      <c r="R6" s="111" t="inlineStr">
        <is>
          <t>Game half of 4S3-INT-02 (split 2026-10-16). | Formerly 5S1-INT-02 (Phase 5 became Phase 6, 2026-10-27).</t>
        </is>
      </c>
    </row>
    <row r="7" ht="32.8" customHeight="1" s="75">
      <c r="A7" s="104" t="n">
        <v>3</v>
      </c>
      <c r="B7" s="105" t="inlineStr">
        <is>
          <t>6S1-INT-03</t>
        </is>
      </c>
      <c r="C7" s="81" t="n">
        <v>1</v>
      </c>
      <c r="D7" s="82" t="inlineStr">
        <is>
          <t>Sprint 1 · Game connector</t>
        </is>
      </c>
      <c r="E7" s="138" t="inlineStr">
        <is>
          <t>INT</t>
        </is>
      </c>
      <c r="F7" s="120" t="inlineStr">
        <is>
          <t>Code</t>
        </is>
      </c>
      <c r="G7" s="80" t="inlineStr">
        <is>
          <t>Game reads its configuration</t>
        </is>
      </c>
      <c r="H7" s="107" t="inlineStr">
        <is>
          <t>The game half of the client configuration: the game reads its settings from SponsorX (4S3-INT-03) and honours the telemetry limits.</t>
        </is>
      </c>
      <c r="I7" s="108" t="inlineStr">
        <is>
          <t>Blocked</t>
        </is>
      </c>
      <c r="J7" s="108" t="n">
        <v>1</v>
      </c>
      <c r="K7" s="109" t="n"/>
      <c r="L7" s="109" t="n"/>
      <c r="M7" s="110" t="n"/>
      <c r="N7" s="81" t="n">
        <v>0</v>
      </c>
      <c r="O7" s="80" t="inlineStr">
        <is>
          <t>6S1-INT-01, 4S3-INT-03</t>
        </is>
      </c>
      <c r="P7" s="80" t="inlineStr">
        <is>
          <t>The game reads its config remotely and honours telemetry limits</t>
        </is>
      </c>
      <c r="Q7" s="82" t="inlineStr">
        <is>
          <t>Spec §28</t>
        </is>
      </c>
      <c r="R7" s="111" t="inlineStr">
        <is>
          <t>Game half of 4S3-INT-03 (split 2026-10-16). | Formerly 5S1-INT-03 (Phase 5 became Phase 6, 2026-10-27).</t>
        </is>
      </c>
    </row>
    <row r="8" ht="32.8" customHeight="1" s="75">
      <c r="A8" s="104" t="n">
        <v>4</v>
      </c>
      <c r="B8" s="105" t="inlineStr">
        <is>
          <t>6S1-QA-01</t>
        </is>
      </c>
      <c r="C8" s="81" t="n">
        <v>1</v>
      </c>
      <c r="D8" s="82" t="inlineStr">
        <is>
          <t>Sprint 1 · Game connector</t>
        </is>
      </c>
      <c r="E8" s="138" t="inlineStr">
        <is>
          <t>QA</t>
        </is>
      </c>
      <c r="F8" s="120" t="inlineStr">
        <is>
          <t>Code</t>
        </is>
      </c>
      <c r="G8" s="80" t="inlineStr">
        <is>
          <t>Staging world placement test</t>
        </is>
      </c>
      <c r="H8" s="107" t="inlineStr">
        <is>
          <t>A placement is only AVAILABLE after it renders correctly in a staging world.</t>
        </is>
      </c>
      <c r="I8" s="108" t="inlineStr">
        <is>
          <t>Blocked</t>
        </is>
      </c>
      <c r="J8" s="108" t="n">
        <v>3</v>
      </c>
      <c r="K8" s="109" t="n"/>
      <c r="L8" s="109" t="n"/>
      <c r="M8" s="110" t="n"/>
      <c r="N8" s="81" t="n">
        <v>0</v>
      </c>
      <c r="O8" s="80" t="inlineStr">
        <is>
          <t>6S1-INT-01</t>
        </is>
      </c>
      <c r="P8" s="80" t="inlineStr">
        <is>
          <t>Placement passes the staging test before it can be marked available</t>
        </is>
      </c>
      <c r="Q8" s="82" t="inlineStr">
        <is>
          <t>Spec §27.1</t>
        </is>
      </c>
      <c r="R8" s="111" t="inlineStr">
        <is>
          <t>Formerly 4S3-QA-01 (moved 2026-10-16). | Formerly 5S1-QA-01 (Phase 5 became Phase 6, 2026-10-27).</t>
        </is>
      </c>
    </row>
    <row r="9" ht="32.8" customHeight="1" s="75">
      <c r="A9" s="104" t="n">
        <v>5</v>
      </c>
      <c r="B9" s="105" t="inlineStr">
        <is>
          <t>6S2-QA-01</t>
        </is>
      </c>
      <c r="C9" s="81" t="n">
        <v>2</v>
      </c>
      <c r="D9" s="82" t="inlineStr">
        <is>
          <t>Sprint 2 · Pilot world</t>
        </is>
      </c>
      <c r="E9" s="138" t="inlineStr">
        <is>
          <t>QA</t>
        </is>
      </c>
      <c r="F9" s="120" t="inlineStr">
        <is>
          <t>Code</t>
        </is>
      </c>
      <c r="G9" s="80" t="inlineStr">
        <is>
          <t>Telemetry validation against the pilot world</t>
        </is>
      </c>
      <c r="H9" s="107" t="inlineStr">
        <is>
          <t>Compare what the client emitted against what SponsorX recorded, event by event, in a real world.</t>
        </is>
      </c>
      <c r="I9" s="108" t="inlineStr">
        <is>
          <t>Blocked</t>
        </is>
      </c>
      <c r="J9" s="108" t="n">
        <v>5</v>
      </c>
      <c r="K9" s="109" t="n"/>
      <c r="L9" s="109" t="n"/>
      <c r="M9" s="110" t="n"/>
      <c r="N9" s="81" t="n">
        <v>0</v>
      </c>
      <c r="O9" s="80" t="inlineStr">
        <is>
          <t>6S1-INT-01, 6S4-OPS-02</t>
        </is>
      </c>
      <c r="P9" s="80" t="inlineStr">
        <is>
          <t>Telemetry reconciles between client and server within defined tolerance</t>
        </is>
      </c>
      <c r="Q9" s="82" t="inlineStr">
        <is>
          <t>Spec §33</t>
        </is>
      </c>
      <c r="R9" s="111" t="inlineStr">
        <is>
          <t>Formerly 4S9-QA-01 (moved 2026-10-16). | Formerly 5S2-QA-01 (Phase 5 became Phase 6, 2026-10-27).</t>
        </is>
      </c>
    </row>
    <row r="10" ht="32.8" customHeight="1" s="75">
      <c r="A10" s="104" t="n">
        <v>6</v>
      </c>
      <c r="B10" s="105" t="inlineStr">
        <is>
          <t>6S2-PMO-01</t>
        </is>
      </c>
      <c r="C10" s="81" t="n">
        <v>2</v>
      </c>
      <c r="D10" s="82" t="inlineStr">
        <is>
          <t>Sprint 2 · Pilot world</t>
        </is>
      </c>
      <c r="E10" s="138" t="inlineStr">
        <is>
          <t>PMO</t>
        </is>
      </c>
      <c r="F10" s="120" t="inlineStr">
        <is>
          <t>Document</t>
        </is>
      </c>
      <c r="G10" s="80" t="inlineStr">
        <is>
          <t>Calibrate virtual pricing against real traffic</t>
        </is>
      </c>
      <c r="H10" s="107" t="inlineStr">
        <is>
          <t>The pricing model was built on assumptions. Pilot traffic replaces them with measurements.</t>
        </is>
      </c>
      <c r="I10" s="108" t="inlineStr">
        <is>
          <t>Blocked</t>
        </is>
      </c>
      <c r="J10" s="108" t="n">
        <v>3</v>
      </c>
      <c r="K10" s="109" t="n"/>
      <c r="L10" s="109" t="n"/>
      <c r="M10" s="110" t="n"/>
      <c r="N10" s="81" t="n">
        <v>0</v>
      </c>
      <c r="O10" s="80" t="inlineStr">
        <is>
          <t>6S2-QA-01</t>
        </is>
      </c>
      <c r="P10" s="80" t="inlineStr">
        <is>
          <t>Virtual rates recalibrated against observed traffic, viewability and dwell</t>
        </is>
      </c>
      <c r="Q10" s="82" t="inlineStr">
        <is>
          <t>Spec §32</t>
        </is>
      </c>
      <c r="R10" s="111" t="inlineStr">
        <is>
          <t>Formerly 4S9-PMO-01 (moved 2026-10-16). | Formerly 5S2-PMO-01 (Phase 5 became Phase 6, 2026-10-27).</t>
        </is>
      </c>
    </row>
    <row r="11" ht="32.8" customHeight="1" s="75">
      <c r="A11" s="104" t="n">
        <v>7</v>
      </c>
      <c r="B11" s="105" t="inlineStr">
        <is>
          <t>6S2-PMO-02</t>
        </is>
      </c>
      <c r="C11" s="81" t="n">
        <v>2</v>
      </c>
      <c r="D11" s="82" t="inlineStr">
        <is>
          <t>Sprint 2 · Pilot world</t>
        </is>
      </c>
      <c r="E11" s="138" t="inlineStr">
        <is>
          <t>PMO</t>
        </is>
      </c>
      <c r="F11" s="120" t="inlineStr">
        <is>
          <t>Document</t>
        </is>
      </c>
      <c r="G11" s="80" t="inlineStr">
        <is>
          <t>Pilot sponsor UAT</t>
        </is>
      </c>
      <c r="H11" s="107" t="inlineStr">
        <is>
          <t>A real sponsor runs a real virtual activation in the pilot world and receives a real report.</t>
        </is>
      </c>
      <c r="I11" s="108" t="inlineStr">
        <is>
          <t>Blocked</t>
        </is>
      </c>
      <c r="J11" s="108" t="n">
        <v>3</v>
      </c>
      <c r="K11" s="109" t="n"/>
      <c r="L11" s="109" t="n"/>
      <c r="M11" s="110" t="n"/>
      <c r="N11" s="81" t="n">
        <v>0</v>
      </c>
      <c r="O11" s="80" t="inlineStr">
        <is>
          <t>6S2-QA-01, 6S3-QA-01</t>
        </is>
      </c>
      <c r="P11" s="80" t="inlineStr">
        <is>
          <t>All 15 Phase 6 acceptance criteria demonstrated and signed off</t>
        </is>
      </c>
      <c r="Q11" s="82" t="inlineStr">
        <is>
          <t>Spec §34</t>
        </is>
      </c>
      <c r="R11" s="111" t="inlineStr">
        <is>
          <t>New 2026-10-16: the real-sponsor pilot, formerly part of 4S9-PMO-02. | Formerly 5S2-PMO-02 (Phase 5 became Phase 6, 2026-10-27).</t>
        </is>
      </c>
    </row>
    <row r="12" ht="32.8" customHeight="1" s="75">
      <c r="A12" s="104" t="n">
        <v>8</v>
      </c>
      <c r="B12" s="105" t="inlineStr">
        <is>
          <t>6S3-PMO-01</t>
        </is>
      </c>
      <c r="C12" s="81" t="n">
        <v>3</v>
      </c>
      <c r="D12" s="82" t="inlineStr">
        <is>
          <t>Sprint 3 · Player accounts and live connection</t>
        </is>
      </c>
      <c r="E12" s="138" t="inlineStr">
        <is>
          <t>PMO</t>
        </is>
      </c>
      <c r="F12" s="120" t="inlineStr">
        <is>
          <t>Document</t>
        </is>
      </c>
      <c r="G12" s="80" t="inlineStr">
        <is>
          <t>Player identity decision</t>
        </is>
      </c>
      <c r="H12" s="107" t="inlineStr">
        <is>
          <t>Who holds player accounts, compared: WorkOS AuthKit, a separate Clerk instance for players, Auth0, or SponsorX's own on the standard protocols (cost at player scale, native game flows, lockout and authenticator support, data location, lock-in). What player data is kept and for how long; the world contract updated from anonymous players to optional accounts. A chosen vendor gets its stack-decision addendum.</t>
        </is>
      </c>
      <c r="I12" s="108" t="inlineStr">
        <is>
          <t>Blocked</t>
        </is>
      </c>
      <c r="J12" s="108" t="n">
        <v>2</v>
      </c>
      <c r="K12" s="109" t="n"/>
      <c r="L12" s="109" t="n"/>
      <c r="M12" s="110" t="n"/>
      <c r="N12" s="81" t="n">
        <v>0</v>
      </c>
      <c r="O12" s="80" t="inlineStr">
        <is>
          <t>4S0-PMO-01</t>
        </is>
      </c>
      <c r="P12" s="80" t="inlineStr">
        <is>
          <t>The provider is chosen with the comparison written down, the player data held and its retention are recorded, the world contract is updated, and any new vendor has its stack-decision addendum</t>
        </is>
      </c>
      <c r="Q12" s="82" t="inlineStr">
        <is>
          <t>Spec §29</t>
        </is>
      </c>
      <c r="R12" s="74" t="inlineStr">
        <is>
          <t>Formerly 5S3-PMO-01 (Phase 5 became Phase 6, 2026-10-27).</t>
        </is>
      </c>
    </row>
    <row r="13" ht="32.8" customHeight="1" s="75">
      <c r="A13" s="104" t="n">
        <v>8.5</v>
      </c>
      <c r="B13" s="105" t="inlineStr">
        <is>
          <t>6S3-PMO-02</t>
        </is>
      </c>
      <c r="C13" s="81" t="n">
        <v>3</v>
      </c>
      <c r="D13" s="82" t="inlineStr">
        <is>
          <t>Sprint 3 · Player accounts and live connection</t>
        </is>
      </c>
      <c r="E13" s="138" t="inlineStr">
        <is>
          <t>PMO</t>
        </is>
      </c>
      <c r="F13" s="120" t="inlineStr">
        <is>
          <t>Document</t>
        </is>
      </c>
      <c r="G13" s="80" t="inlineStr">
        <is>
          <t>Real-time connection decision</t>
        </is>
      </c>
      <c r="H13" s="107" t="inlineStr">
        <is>
          <t>How the live game connection is carried, compared: a plain WebSocket on SponsorX's API (fan-out through Postgres LISTEN/NOTIFY), SpacetimeDB (multiplayer database with WebSocket subscriptions; could also carry live game state), or a managed service such as Ably or Pusher. Latency, connections, cost, how it authenticates, fit with the stack rules. A chosen vendor gets its stack-decision addendum.</t>
        </is>
      </c>
      <c r="I13" s="108" t="inlineStr">
        <is>
          <t>Blocked</t>
        </is>
      </c>
      <c r="J13" s="108" t="n">
        <v>3</v>
      </c>
      <c r="K13" s="109" t="n"/>
      <c r="L13" s="109" t="n"/>
      <c r="M13" s="110" t="n"/>
      <c r="N13" s="81" t="n">
        <v>0</v>
      </c>
      <c r="O13" s="80" t="inlineStr">
        <is>
          <t>4S0-SEC-01</t>
        </is>
      </c>
      <c r="P13" s="80" t="inlineStr">
        <is>
          <t>The real-time option is chosen with the comparison written down, and any new vendor has its stack-decision addendum</t>
        </is>
      </c>
      <c r="Q13" s="82" t="inlineStr">
        <is>
          <t>Spec §28, §31</t>
        </is>
      </c>
      <c r="R13" s="74" t="inlineStr">
        <is>
          <t>Formerly 5S3-PMO-02 (Phase 5 became Phase 6, 2026-10-27).</t>
        </is>
      </c>
    </row>
    <row r="14" ht="32.8" customHeight="1" s="75">
      <c r="A14" s="104" t="n">
        <v>9</v>
      </c>
      <c r="B14" s="105" t="inlineStr">
        <is>
          <t>6S3-SEC-01</t>
        </is>
      </c>
      <c r="C14" s="81" t="n">
        <v>3</v>
      </c>
      <c r="D14" s="82" t="inlineStr">
        <is>
          <t>Sprint 3 · Player accounts and live connection</t>
        </is>
      </c>
      <c r="E14" s="138" t="inlineStr">
        <is>
          <t>SEC</t>
        </is>
      </c>
      <c r="F14" s="120" t="inlineStr">
        <is>
          <t>Code</t>
        </is>
      </c>
      <c r="G14" s="80" t="inlineStr">
        <is>
          <t>Player authentication design</t>
        </is>
      </c>
      <c r="H14" s="107" t="inlineStr">
        <is>
          <t>OAuth 2.0 / OpenID Connect authorization code with PKCE for the game (RFC 8252), token lifetimes and rotating refresh tokens, NIST SP 800-63B passwords, authenticator step, lockout policy and the error codes the game reads; checked against OWASP ASVS Level 2.</t>
        </is>
      </c>
      <c r="I14" s="108" t="inlineStr">
        <is>
          <t>Blocked</t>
        </is>
      </c>
      <c r="J14" s="108" t="n">
        <v>3</v>
      </c>
      <c r="K14" s="109" t="n"/>
      <c r="L14" s="109" t="n"/>
      <c r="M14" s="110" t="n"/>
      <c r="N14" s="81" t="n">
        <v>0</v>
      </c>
      <c r="O14" s="80" t="inlineStr">
        <is>
          <t>6S3-PMO-01, 4S0-SEC-01</t>
        </is>
      </c>
      <c r="P14" s="80" t="inlineStr">
        <is>
          <t>The player authentication design is reviewed and approved</t>
        </is>
      </c>
      <c r="Q14" s="82" t="inlineStr">
        <is>
          <t>Spec §29, §31</t>
        </is>
      </c>
      <c r="R14" s="74" t="inlineStr">
        <is>
          <t>Formerly 5S3-SEC-01 (Phase 5 became Phase 6, 2026-10-27).</t>
        </is>
      </c>
    </row>
    <row r="15" ht="32.8" customHeight="1" s="75">
      <c r="A15" s="104" t="n">
        <v>10</v>
      </c>
      <c r="B15" s="105" t="inlineStr">
        <is>
          <t>6S3-BE-01</t>
        </is>
      </c>
      <c r="C15" s="81" t="n">
        <v>3</v>
      </c>
      <c r="D15" s="82" t="inlineStr">
        <is>
          <t>Sprint 3 · Player accounts and live connection</t>
        </is>
      </c>
      <c r="E15" s="138" t="inlineStr">
        <is>
          <t>BE</t>
        </is>
      </c>
      <c r="F15" s="120" t="inlineStr">
        <is>
          <t>Code</t>
        </is>
      </c>
      <c r="G15" s="80" t="inlineStr">
        <is>
          <t>Player registration with email</t>
        </is>
      </c>
      <c r="H15" s="107" t="inlineStr">
        <is>
          <t>Create an account with email and password, verify the email, minimum length and a breached-password check; an email already registered is answered without revealing it exists.</t>
        </is>
      </c>
      <c r="I15" s="108" t="inlineStr">
        <is>
          <t>Blocked</t>
        </is>
      </c>
      <c r="J15" s="108" t="n">
        <v>4</v>
      </c>
      <c r="K15" s="109" t="n"/>
      <c r="L15" s="109" t="n"/>
      <c r="M15" s="110" t="n"/>
      <c r="N15" s="81" t="n">
        <v>0</v>
      </c>
      <c r="O15" s="80" t="inlineStr">
        <is>
          <t>6S3-SEC-01</t>
        </is>
      </c>
      <c r="P15" s="80" t="inlineStr">
        <is>
          <t>A player creates an account with email and password, verifies the email, and a duplicate or weak password is refused without revealing existing accounts</t>
        </is>
      </c>
      <c r="Q15" s="82" t="inlineStr">
        <is>
          <t>Spec §29</t>
        </is>
      </c>
      <c r="R15" s="74" t="inlineStr">
        <is>
          <t>Formerly 5S3-BE-01 (Phase 5 became Phase 6, 2026-10-27).</t>
        </is>
      </c>
    </row>
    <row r="16" ht="32.8" customHeight="1" s="75">
      <c r="A16" s="104" t="n">
        <v>11</v>
      </c>
      <c r="B16" s="105" t="inlineStr">
        <is>
          <t>6S3-BE-02</t>
        </is>
      </c>
      <c r="C16" s="81" t="n">
        <v>3</v>
      </c>
      <c r="D16" s="82" t="inlineStr">
        <is>
          <t>Sprint 3 · Player accounts and live connection</t>
        </is>
      </c>
      <c r="E16" s="138" t="inlineStr">
        <is>
          <t>BE</t>
        </is>
      </c>
      <c r="F16" s="120" t="inlineStr">
        <is>
          <t>Code</t>
        </is>
      </c>
      <c r="G16" s="80" t="inlineStr">
        <is>
          <t>Email login and the login error contract</t>
        </is>
      </c>
      <c r="H16" s="107" t="inlineStr">
        <is>
          <t>Email and password login; every refusal is a stable code the game acts on: invalid-credentials (same whether or not the email exists), account-locked (with unlock time), email-not-verified, mfa-required, account-disabled, rate-limited.</t>
        </is>
      </c>
      <c r="I16" s="108" t="inlineStr">
        <is>
          <t>Blocked</t>
        </is>
      </c>
      <c r="J16" s="108" t="n">
        <v>3</v>
      </c>
      <c r="K16" s="109" t="n"/>
      <c r="L16" s="109" t="n"/>
      <c r="M16" s="110" t="n"/>
      <c r="N16" s="81" t="n">
        <v>0</v>
      </c>
      <c r="O16" s="80" t="inlineStr">
        <is>
          <t>6S3-BE-01</t>
        </is>
      </c>
      <c r="P16" s="80" t="inlineStr">
        <is>
          <t>The game can tell an invalid login, a locked account, an unverified email and a required authenticator step apart from the server's response, and none of them reveals whether an account exists</t>
        </is>
      </c>
      <c r="Q16" s="82" t="inlineStr">
        <is>
          <t>Spec §29</t>
        </is>
      </c>
      <c r="R16" s="74" t="inlineStr">
        <is>
          <t>Formerly 5S3-BE-02 (Phase 5 became Phase 6, 2026-10-27).</t>
        </is>
      </c>
    </row>
    <row r="17" ht="32.8" customHeight="1" s="75">
      <c r="A17" s="104" t="n">
        <v>12</v>
      </c>
      <c r="B17" s="105" t="inlineStr">
        <is>
          <t>6S3-BE-03</t>
        </is>
      </c>
      <c r="C17" s="81" t="n">
        <v>3</v>
      </c>
      <c r="D17" s="82" t="inlineStr">
        <is>
          <t>Sprint 3 · Player accounts and live connection</t>
        </is>
      </c>
      <c r="E17" s="138" t="inlineStr">
        <is>
          <t>BE</t>
        </is>
      </c>
      <c r="F17" s="120" t="inlineStr">
        <is>
          <t>Code</t>
        </is>
      </c>
      <c r="G17" s="80" t="inlineStr">
        <is>
          <t>Login lockout and throttling</t>
        </is>
      </c>
      <c r="H17" s="107" t="inlineStr">
        <is>
          <t>Growing delays per account and per device or IP, a temporary lock after repeated failures (unlocks by time or an emailed link), the owner told, every lock and unlock audited.</t>
        </is>
      </c>
      <c r="I17" s="108" t="inlineStr">
        <is>
          <t>Blocked</t>
        </is>
      </c>
      <c r="J17" s="108" t="n">
        <v>3</v>
      </c>
      <c r="K17" s="109" t="n"/>
      <c r="L17" s="109" t="n"/>
      <c r="M17" s="110" t="n"/>
      <c r="N17" s="81" t="n">
        <v>0</v>
      </c>
      <c r="O17" s="80" t="inlineStr">
        <is>
          <t>6S3-BE-02</t>
        </is>
      </c>
      <c r="P17" s="80" t="inlineStr">
        <is>
          <t>Repeated failed logins lock the account for a set time, the game shows when it unlocks, the owner can unlock by email, and every lock is audited</t>
        </is>
      </c>
      <c r="Q17" s="82" t="inlineStr">
        <is>
          <t>Spec §29, §31</t>
        </is>
      </c>
      <c r="R17" s="74" t="inlineStr">
        <is>
          <t>Formerly 5S3-BE-03 (Phase 5 became Phase 6, 2026-10-27).</t>
        </is>
      </c>
    </row>
    <row r="18" ht="32.8" customHeight="1" s="75">
      <c r="A18" s="104" t="n">
        <v>13</v>
      </c>
      <c r="B18" s="105" t="inlineStr">
        <is>
          <t>6S3-INT-01</t>
        </is>
      </c>
      <c r="C18" s="81" t="n">
        <v>3</v>
      </c>
      <c r="D18" s="82" t="inlineStr">
        <is>
          <t>Sprint 3 · Player accounts and live connection</t>
        </is>
      </c>
      <c r="E18" s="138" t="inlineStr">
        <is>
          <t>INT</t>
        </is>
      </c>
      <c r="F18" s="120" t="inlineStr">
        <is>
          <t>Code + console</t>
        </is>
      </c>
      <c r="G18" s="80" t="inlineStr">
        <is>
          <t>Sign in with Google</t>
        </is>
      </c>
      <c r="H18" s="107" t="inlineStr">
        <is>
          <t>Google sign-in (OpenID Connect): a new player gets an account from Google's verified email; an existing player can link Google. Google Cloud client set up in the sandbox project first.</t>
        </is>
      </c>
      <c r="I18" s="108" t="inlineStr">
        <is>
          <t>Blocked</t>
        </is>
      </c>
      <c r="J18" s="108" t="n">
        <v>3</v>
      </c>
      <c r="K18" s="109" t="n"/>
      <c r="L18" s="109" t="n"/>
      <c r="M18" s="110" t="n"/>
      <c r="N18" s="81" t="n">
        <v>0</v>
      </c>
      <c r="O18" s="80" t="inlineStr">
        <is>
          <t>6S3-SEC-01, 6S3-BE-01</t>
        </is>
      </c>
      <c r="P18" s="80" t="inlineStr">
        <is>
          <t>A player signs up and signs in with Google, and can link Google to an existing account</t>
        </is>
      </c>
      <c r="Q18" s="82" t="inlineStr">
        <is>
          <t>Spec §29</t>
        </is>
      </c>
      <c r="R18" s="74" t="inlineStr">
        <is>
          <t>Formerly 5S3-INT-01 (Phase 5 became Phase 6, 2026-10-27).</t>
        </is>
      </c>
    </row>
    <row r="19" ht="32.8" customHeight="1" s="75">
      <c r="A19" s="104" t="n">
        <v>14</v>
      </c>
      <c r="B19" s="105" t="inlineStr">
        <is>
          <t>6S3-INT-02</t>
        </is>
      </c>
      <c r="C19" s="81" t="n">
        <v>3</v>
      </c>
      <c r="D19" s="82" t="inlineStr">
        <is>
          <t>Sprint 3 · Player accounts and live connection</t>
        </is>
      </c>
      <c r="E19" s="138" t="inlineStr">
        <is>
          <t>INT</t>
        </is>
      </c>
      <c r="F19" s="120" t="inlineStr">
        <is>
          <t>Code + console</t>
        </is>
      </c>
      <c r="G19" s="80" t="inlineStr">
        <is>
          <t>Sign in with Apple</t>
        </is>
      </c>
      <c r="H19" s="107" t="inlineStr">
        <is>
          <t>Sign in with Apple, including private-relay emails, the name sent only on first sign-in, and the App Store's in-app account deletion rule. Apple developer setup first.</t>
        </is>
      </c>
      <c r="I19" s="108" t="inlineStr">
        <is>
          <t>Blocked</t>
        </is>
      </c>
      <c r="J19" s="108" t="n">
        <v>3</v>
      </c>
      <c r="K19" s="109" t="n"/>
      <c r="L19" s="109" t="n"/>
      <c r="M19" s="110" t="n"/>
      <c r="N19" s="81" t="n">
        <v>0</v>
      </c>
      <c r="O19" s="80" t="inlineStr">
        <is>
          <t>6S3-SEC-01, 6S3-BE-01</t>
        </is>
      </c>
      <c r="P19" s="80" t="inlineStr">
        <is>
          <t>A player signs up and signs in with Apple, including with a hidden (relay) email, and can link Apple to an existing account</t>
        </is>
      </c>
      <c r="Q19" s="82" t="inlineStr">
        <is>
          <t>Spec §29</t>
        </is>
      </c>
      <c r="R19" s="74" t="inlineStr">
        <is>
          <t>Formerly 5S3-INT-02 (Phase 5 became Phase 6, 2026-10-27).</t>
        </is>
      </c>
    </row>
    <row r="20" ht="32.8" customHeight="1" s="75">
      <c r="A20" s="104" t="n">
        <v>15</v>
      </c>
      <c r="B20" s="105" t="inlineStr">
        <is>
          <t>6S3-BE-04</t>
        </is>
      </c>
      <c r="C20" s="81" t="n">
        <v>3</v>
      </c>
      <c r="D20" s="82" t="inlineStr">
        <is>
          <t>Sprint 3 · Player accounts and live connection</t>
        </is>
      </c>
      <c r="E20" s="138" t="inlineStr">
        <is>
          <t>BE</t>
        </is>
      </c>
      <c r="F20" s="120" t="inlineStr">
        <is>
          <t>Code</t>
        </is>
      </c>
      <c r="G20" s="80" t="inlineStr">
        <is>
          <t>Authenticator app two-step login</t>
        </is>
      </c>
      <c r="H20" s="107" t="inlineStr">
        <is>
          <t>Authenticator app codes (RFC 6238): enrol by QR code, recovery codes shown once, turning it off needs a fresh sign-in; login answers mfa-required until the code is given.</t>
        </is>
      </c>
      <c r="I20" s="108" t="inlineStr">
        <is>
          <t>Blocked</t>
        </is>
      </c>
      <c r="J20" s="108" t="n">
        <v>4</v>
      </c>
      <c r="K20" s="109" t="n"/>
      <c r="L20" s="109" t="n"/>
      <c r="M20" s="110" t="n"/>
      <c r="N20" s="81" t="n">
        <v>0</v>
      </c>
      <c r="O20" s="80" t="inlineStr">
        <is>
          <t>6S3-BE-02</t>
        </is>
      </c>
      <c r="P20" s="80" t="inlineStr">
        <is>
          <t>A player turns on an authenticator, every later login asks for its code, recovery codes work once each, and turning it off needs a fresh sign-in</t>
        </is>
      </c>
      <c r="Q20" s="82" t="inlineStr">
        <is>
          <t>Spec §29, §31</t>
        </is>
      </c>
      <c r="R20" s="74" t="inlineStr">
        <is>
          <t>Formerly 5S3-BE-04 (Phase 5 became Phase 6, 2026-10-27).</t>
        </is>
      </c>
    </row>
    <row r="21" ht="32.8" customHeight="1" s="75">
      <c r="A21" s="104" t="n">
        <v>16</v>
      </c>
      <c r="B21" s="105" t="inlineStr">
        <is>
          <t>6S3-BE-05</t>
        </is>
      </c>
      <c r="C21" s="81" t="n">
        <v>3</v>
      </c>
      <c r="D21" s="82" t="inlineStr">
        <is>
          <t>Sprint 3 · Player accounts and live connection</t>
        </is>
      </c>
      <c r="E21" s="138" t="inlineStr">
        <is>
          <t>BE</t>
        </is>
      </c>
      <c r="F21" s="120" t="inlineStr">
        <is>
          <t>Code</t>
        </is>
      </c>
      <c r="G21" s="80" t="inlineStr">
        <is>
          <t>Account recovery, linking and deletion</t>
        </is>
      </c>
      <c r="H21" s="107" t="inlineStr">
        <is>
          <t>Password reset by short-lived emailed link (signs out other devices); link and unlink Google or Apple (never the last way in); delete the account and its personal data from inside the game.</t>
        </is>
      </c>
      <c r="I21" s="108" t="inlineStr">
        <is>
          <t>Blocked</t>
        </is>
      </c>
      <c r="J21" s="108" t="n">
        <v>4</v>
      </c>
      <c r="K21" s="109" t="n"/>
      <c r="L21" s="109" t="n"/>
      <c r="M21" s="110" t="n"/>
      <c r="N21" s="81" t="n">
        <v>0</v>
      </c>
      <c r="O21" s="80" t="inlineStr">
        <is>
          <t>6S3-BE-02, 6S3-INT-01, 6S3-INT-02</t>
        </is>
      </c>
      <c r="P21" s="80" t="inlineStr">
        <is>
          <t>A player resets a forgotten password, links and unlinks Google or Apple without locking themselves out, and deletes their account in the game</t>
        </is>
      </c>
      <c r="Q21" s="82" t="inlineStr">
        <is>
          <t>Spec §29</t>
        </is>
      </c>
      <c r="R21" s="74" t="inlineStr">
        <is>
          <t>Formerly 5S3-BE-05 (Phase 5 became Phase 6, 2026-10-27).</t>
        </is>
      </c>
    </row>
    <row r="22" ht="32.8" customHeight="1" s="75">
      <c r="A22" s="104" t="n">
        <v>17</v>
      </c>
      <c r="B22" s="105" t="inlineStr">
        <is>
          <t>6S3-BE-06</t>
        </is>
      </c>
      <c r="C22" s="81" t="n">
        <v>3</v>
      </c>
      <c r="D22" s="82" t="inlineStr">
        <is>
          <t>Sprint 3 · Player accounts and live connection</t>
        </is>
      </c>
      <c r="E22" s="138" t="inlineStr">
        <is>
          <t>BE</t>
        </is>
      </c>
      <c r="F22" s="120" t="inlineStr">
        <is>
          <t>Code</t>
        </is>
      </c>
      <c r="G22" s="80" t="inlineStr">
        <is>
          <t>Player sessions and tokens</t>
        </is>
      </c>
      <c r="H22" s="107" t="inlineStr">
        <is>
          <t>Short-lived access tokens and refresh tokens that rotate on every use; a reused refresh token ends the session; device list, sign out one device or everywhere.</t>
        </is>
      </c>
      <c r="I22" s="108" t="inlineStr">
        <is>
          <t>Blocked</t>
        </is>
      </c>
      <c r="J22" s="108" t="n">
        <v>3</v>
      </c>
      <c r="K22" s="109" t="n"/>
      <c r="L22" s="109" t="n"/>
      <c r="M22" s="110" t="n"/>
      <c r="N22" s="81" t="n">
        <v>0</v>
      </c>
      <c r="O22" s="80" t="inlineStr">
        <is>
          <t>6S3-BE-02</t>
        </is>
      </c>
      <c r="P22" s="80" t="inlineStr">
        <is>
          <t>Access tokens are short-lived, refresh tokens rotate, a reused refresh token ends the session, and a player can sign out one device or all of them</t>
        </is>
      </c>
      <c r="Q22" s="82" t="inlineStr">
        <is>
          <t>Spec §29, §31</t>
        </is>
      </c>
      <c r="R22" s="74" t="inlineStr">
        <is>
          <t>Formerly 5S3-BE-06 (Phase 5 became Phase 6, 2026-10-27).</t>
        </is>
      </c>
    </row>
    <row r="23" ht="32.8" customHeight="1" s="75">
      <c r="A23" s="104" t="n">
        <v>18</v>
      </c>
      <c r="B23" s="105" t="inlineStr">
        <is>
          <t>6S3-INT-03</t>
        </is>
      </c>
      <c r="C23" s="81" t="n">
        <v>3</v>
      </c>
      <c r="D23" s="82" t="inlineStr">
        <is>
          <t>Sprint 3 · Player accounts and live connection</t>
        </is>
      </c>
      <c r="E23" s="138" t="inlineStr">
        <is>
          <t>INT</t>
        </is>
      </c>
      <c r="F23" s="120" t="inlineStr">
        <is>
          <t>Code</t>
        </is>
      </c>
      <c r="G23" s="80" t="inlineStr">
        <is>
          <t>Game socket connection</t>
        </is>
      </c>
      <c r="H23" s="107" t="inlineStr">
        <is>
          <t>A live connection, carried as 6S3-PMO-02 decides (default: WebSocket on the API, Postgres LISTEN/NOTIFY fan-out; or SpacetimeDB or a managed service). Token in the first message, never the URL; ping/pong and reconnect with back-off; pushes for feed changes, pause and kill switch, settings changes and revoked sessions; falls back to polling.</t>
        </is>
      </c>
      <c r="I23" s="108" t="inlineStr">
        <is>
          <t>Blocked</t>
        </is>
      </c>
      <c r="J23" s="108" t="n">
        <v>5</v>
      </c>
      <c r="K23" s="109" t="n"/>
      <c r="L23" s="109" t="n"/>
      <c r="M23" s="110" t="n"/>
      <c r="N23" s="81" t="n">
        <v>0</v>
      </c>
      <c r="O23" s="80" t="inlineStr">
        <is>
          <t>4S0-SEC-01, 6S3-PMO-02, 6S3-BE-06</t>
        </is>
      </c>
      <c r="P23" s="80" t="inlineStr">
        <is>
          <t>An authenticated game holds a live socket, receives a pause or feed change within seconds, reconnects on its own, falls back to polling, and an expired or revoked session is disconnected</t>
        </is>
      </c>
      <c r="Q23" s="82" t="inlineStr">
        <is>
          <t>Spec §28, §34</t>
        </is>
      </c>
      <c r="R23" s="74" t="inlineStr">
        <is>
          <t>Formerly 5S3-INT-03 (Phase 5 became Phase 6, 2026-10-27).</t>
        </is>
      </c>
    </row>
    <row r="24" ht="32.8" customHeight="1" s="75">
      <c r="A24" s="104" t="n">
        <v>19</v>
      </c>
      <c r="B24" s="105" t="inlineStr">
        <is>
          <t>6S3-INT-04</t>
        </is>
      </c>
      <c r="C24" s="81" t="n">
        <v>3</v>
      </c>
      <c r="D24" s="82" t="inlineStr">
        <is>
          <t>Sprint 3 · Player accounts and live connection</t>
        </is>
      </c>
      <c r="E24" s="138" t="inlineStr">
        <is>
          <t>INT</t>
        </is>
      </c>
      <c r="F24" s="120" t="inlineStr">
        <is>
          <t>Code</t>
        </is>
      </c>
      <c r="G24" s="80" t="inlineStr">
        <is>
          <t>In-game sign-up and login</t>
        </is>
      </c>
      <c r="H24" s="107" t="inlineStr">
        <is>
          <t>The game's screens: sign up, sign in with email, Google or Apple, the authenticator step, a clear message for each error code (including when a locked account unlocks), forgotten password, then open the socket.</t>
        </is>
      </c>
      <c r="I24" s="108" t="inlineStr">
        <is>
          <t>Blocked</t>
        </is>
      </c>
      <c r="J24" s="108" t="n">
        <v>5</v>
      </c>
      <c r="K24" s="109" t="n"/>
      <c r="L24" s="109" t="n"/>
      <c r="M24" s="110" t="n"/>
      <c r="N24" s="81" t="n">
        <v>0</v>
      </c>
      <c r="O24" s="80" t="inlineStr">
        <is>
          <t>6S3-BE-02, 6S3-BE-03, 6S3-BE-04, 6S3-INT-01, 6S3-INT-02, 6S3-INT-03</t>
        </is>
      </c>
      <c r="P24" s="80" t="inlineStr">
        <is>
          <t>A player signs up and signs in inside the game by each method, sees the right message for every refused login, and the game connects its socket after login</t>
        </is>
      </c>
      <c r="Q24" s="82" t="inlineStr">
        <is>
          <t>Spec §29</t>
        </is>
      </c>
      <c r="R24" s="74" t="inlineStr">
        <is>
          <t>Formerly 5S3-INT-04 (Phase 5 became Phase 6, 2026-10-27).</t>
        </is>
      </c>
    </row>
    <row r="25" ht="32.8" customHeight="1" s="75">
      <c r="A25" s="104" t="n">
        <v>20</v>
      </c>
      <c r="B25" s="105" t="inlineStr">
        <is>
          <t>6S3-QA-01</t>
        </is>
      </c>
      <c r="C25" s="81" t="n">
        <v>3</v>
      </c>
      <c r="D25" s="82" t="inlineStr">
        <is>
          <t>Sprint 3 · Player accounts and live connection</t>
        </is>
      </c>
      <c r="E25" s="138" t="inlineStr">
        <is>
          <t>QA</t>
        </is>
      </c>
      <c r="F25" s="120" t="inlineStr">
        <is>
          <t>Code</t>
        </is>
      </c>
      <c r="G25" s="80" t="inlineStr">
        <is>
          <t>Authentication security test</t>
        </is>
      </c>
      <c r="H25" s="107" t="inlineStr">
        <is>
          <t>OWASP ASVS Level 2: brute force and credential stuffing, account enumeration, token theft and replay, bypassing the authenticator, the socket's authentication; every finding fixed or recorded.</t>
        </is>
      </c>
      <c r="I25" s="108" t="inlineStr">
        <is>
          <t>Blocked</t>
        </is>
      </c>
      <c r="J25" s="108" t="n">
        <v>3</v>
      </c>
      <c r="K25" s="109" t="n"/>
      <c r="L25" s="109" t="n"/>
      <c r="M25" s="110" t="n"/>
      <c r="N25" s="81" t="n">
        <v>0</v>
      </c>
      <c r="O25" s="80" t="inlineStr">
        <is>
          <t>6S3-INT-04</t>
        </is>
      </c>
      <c r="P25" s="80" t="inlineStr">
        <is>
          <t>Every check passes, or each open finding is recorded with its risk and its owner</t>
        </is>
      </c>
      <c r="Q25" s="82" t="inlineStr">
        <is>
          <t>Spec §29, §31</t>
        </is>
      </c>
      <c r="R25" s="74" t="inlineStr">
        <is>
          <t>Formerly 5S3-QA-01 (Phase 5 became Phase 6, 2026-10-27).</t>
        </is>
      </c>
    </row>
    <row r="26" ht="32.8" customHeight="1" s="75">
      <c r="A26" s="104" t="n">
        <v>21</v>
      </c>
      <c r="B26" s="105" t="inlineStr">
        <is>
          <t>6S4-PMO-01</t>
        </is>
      </c>
      <c r="C26" s="81" t="n">
        <v>4</v>
      </c>
      <c r="D26" s="82" t="inlineStr">
        <is>
          <t>Sprint 4 · Telemetry at scale</t>
        </is>
      </c>
      <c r="E26" s="138" t="inlineStr">
        <is>
          <t>PMO</t>
        </is>
      </c>
      <c r="F26" s="120" t="inlineStr">
        <is>
          <t>Document</t>
        </is>
      </c>
      <c r="G26" s="80" t="inlineStr">
        <is>
          <t>Estimate telemetry volume and cost</t>
        </is>
      </c>
      <c r="H26" s="107" t="inlineStr">
        <is>
          <t>Formerly 4S0-PMO-03 (moved 2026-10-20: the game is parked). Virtual worlds emit far more events than a QR code does. Size the ingestion, storage and warehouse cost before committing to an architecture.</t>
        </is>
      </c>
      <c r="I26" s="108" t="inlineStr">
        <is>
          <t>Blocked</t>
        </is>
      </c>
      <c r="J26" s="108" t="n">
        <v>3</v>
      </c>
      <c r="K26" s="109" t="n"/>
      <c r="L26" s="109" t="n"/>
      <c r="M26" s="110" t="n"/>
      <c r="N26" s="81" t="n">
        <v>0</v>
      </c>
      <c r="O26" s="80" t="inlineStr">
        <is>
          <t>4S0-PMO-01</t>
        </is>
      </c>
      <c r="P26" s="80" t="inlineStr">
        <is>
          <t>Event volume estimated per concurrent user with an infrastructure cost model</t>
        </is>
      </c>
      <c r="Q26" s="82" t="inlineStr">
        <is>
          <t>Spec §31, §38</t>
        </is>
      </c>
      <c r="R26" s="74" t="inlineStr">
        <is>
          <t>Formerly 5S4-PMO-01 (Phase 5 became Phase 6, 2026-10-27).</t>
        </is>
      </c>
    </row>
    <row r="27" ht="23.85" customHeight="1" s="75">
      <c r="A27" s="104" t="n">
        <v>22</v>
      </c>
      <c r="B27" s="105" t="inlineStr">
        <is>
          <t>6S4-BE-01</t>
        </is>
      </c>
      <c r="C27" s="81" t="n">
        <v>4</v>
      </c>
      <c r="D27" s="82" t="inlineStr">
        <is>
          <t>Sprint 4 · Telemetry at scale</t>
        </is>
      </c>
      <c r="E27" s="138" t="inlineStr">
        <is>
          <t>BE</t>
        </is>
      </c>
      <c r="F27" s="120" t="inlineStr">
        <is>
          <t>Code</t>
        </is>
      </c>
      <c r="G27" s="80" t="inlineStr">
        <is>
          <t>Idempotent de-duplication</t>
        </is>
      </c>
      <c r="H27" s="107" t="inlineStr">
        <is>
          <t>Formerly 4S4-BE-03 (moved 2026-10-20: the game is parked). Clients retry. Networks duplicate. Duplicate telemetry must never inflate a sponsor's numbers — this is billing data.</t>
        </is>
      </c>
      <c r="I27" s="108" t="inlineStr">
        <is>
          <t>Blocked</t>
        </is>
      </c>
      <c r="J27" s="108" t="n">
        <v>5</v>
      </c>
      <c r="K27" s="109" t="n"/>
      <c r="L27" s="109" t="n"/>
      <c r="M27" s="110" t="n"/>
      <c r="N27" s="81" t="n">
        <v>0</v>
      </c>
      <c r="O27" s="80" t="inlineStr">
        <is>
          <t>4S4-BE-01</t>
        </is>
      </c>
      <c r="P27" s="80" t="inlineStr">
        <is>
          <t>Repeated duplicate telemetry does not inflate sponsor reports</t>
        </is>
      </c>
      <c r="Q27" s="82" t="inlineStr">
        <is>
          <t>Spec §34</t>
        </is>
      </c>
      <c r="R27" s="74" t="inlineStr">
        <is>
          <t>Formerly 5S4-BE-01 (Phase 5 became Phase 6, 2026-10-27).</t>
        </is>
      </c>
    </row>
    <row r="28" ht="23.85" customHeight="1" s="75">
      <c r="A28" s="104" t="n">
        <v>23</v>
      </c>
      <c r="B28" s="105" t="inlineStr">
        <is>
          <t>6S4-OPS-01</t>
        </is>
      </c>
      <c r="C28" s="81" t="n">
        <v>4</v>
      </c>
      <c r="D28" s="82" t="inlineStr">
        <is>
          <t>Sprint 4 · Telemetry at scale</t>
        </is>
      </c>
      <c r="E28" s="138" t="inlineStr">
        <is>
          <t>OPS</t>
        </is>
      </c>
      <c r="F28" s="120" t="inlineStr">
        <is>
          <t>Vendor console</t>
        </is>
      </c>
      <c r="G28" s="80" t="inlineStr">
        <is>
          <t>Event streaming and buffering</t>
        </is>
      </c>
      <c r="H28" s="107" t="inlineStr">
        <is>
          <t>Formerly 4S4-OPS-01 (moved 2026-10-20: the game is parked). A queue in front of ingestion so a traffic burst in-world does not drop sponsorship data.</t>
        </is>
      </c>
      <c r="I28" s="108" t="inlineStr">
        <is>
          <t>Blocked</t>
        </is>
      </c>
      <c r="J28" s="108" t="n">
        <v>5</v>
      </c>
      <c r="K28" s="109" t="n"/>
      <c r="L28" s="109" t="n"/>
      <c r="M28" s="110" t="n"/>
      <c r="N28" s="81" t="n">
        <v>0</v>
      </c>
      <c r="O28" s="80" t="inlineStr">
        <is>
          <t>4S4-BE-01</t>
        </is>
      </c>
      <c r="P28" s="80" t="inlineStr">
        <is>
          <t>Ingestion sustains the agreed burst rate with buffering and no event loss</t>
        </is>
      </c>
      <c r="Q28" s="82" t="inlineStr">
        <is>
          <t>Spec §31, §38</t>
        </is>
      </c>
      <c r="R28" s="74" t="inlineStr">
        <is>
          <t>Formerly 5S4-OPS-01 (Phase 5 became Phase 6, 2026-10-27).</t>
        </is>
      </c>
    </row>
    <row r="29" ht="23.85" customHeight="1" s="75">
      <c r="A29" s="104" t="n">
        <v>24</v>
      </c>
      <c r="B29" s="105" t="inlineStr">
        <is>
          <t>6S4-OPS-02</t>
        </is>
      </c>
      <c r="C29" s="81" t="n">
        <v>4</v>
      </c>
      <c r="D29" s="82" t="inlineStr">
        <is>
          <t>Sprint 4 · Telemetry at scale</t>
        </is>
      </c>
      <c r="E29" s="138" t="inlineStr">
        <is>
          <t>OPS</t>
        </is>
      </c>
      <c r="F29" s="120" t="inlineStr">
        <is>
          <t>Code</t>
        </is>
      </c>
      <c r="G29" s="80" t="inlineStr">
        <is>
          <t>Load test event ingestion and dashboards</t>
        </is>
      </c>
      <c r="H29" s="107" t="inlineStr">
        <is>
          <t>Formerly 4S8-OPS-01 (moved 2026-10-20: the game is parked). Prove the throughput and dashboard latency targets hold at expected Phase 4 traffic, before a pilot world goes live.</t>
        </is>
      </c>
      <c r="I29" s="108" t="inlineStr">
        <is>
          <t>Blocked</t>
        </is>
      </c>
      <c r="J29" s="108" t="n">
        <v>5</v>
      </c>
      <c r="K29" s="109" t="n"/>
      <c r="L29" s="109" t="n"/>
      <c r="M29" s="110" t="n"/>
      <c r="N29" s="81" t="n">
        <v>0</v>
      </c>
      <c r="O29" s="80" t="inlineStr">
        <is>
          <t>6S4-OPS-01</t>
        </is>
      </c>
      <c r="P29" s="80" t="inlineStr">
        <is>
          <t>Load test meets the agreed ingestion throughput and dashboard latency targets</t>
        </is>
      </c>
      <c r="Q29" s="82" t="inlineStr">
        <is>
          <t>Spec §34</t>
        </is>
      </c>
      <c r="R29" s="74" t="inlineStr">
        <is>
          <t>Formerly 5S4-OPS-02 (Phase 5 became Phase 6, 2026-10-27).</t>
        </is>
      </c>
    </row>
    <row r="30" ht="23.85" customHeight="1" s="75">
      <c r="A30" s="104" t="n">
        <v>25</v>
      </c>
      <c r="B30" s="105" t="inlineStr">
        <is>
          <t>6S5-BE-01</t>
        </is>
      </c>
      <c r="C30" s="81" t="n">
        <v>5</v>
      </c>
      <c r="D30" s="82" t="inlineStr">
        <is>
          <t>Sprint 5 · Viewability, metrics and pricing</t>
        </is>
      </c>
      <c r="E30" s="138" t="inlineStr">
        <is>
          <t>BE</t>
        </is>
      </c>
      <c r="F30" s="120" t="inlineStr">
        <is>
          <t>Code</t>
        </is>
      </c>
      <c r="G30" s="80" t="inlineStr">
        <is>
          <t>Viewability rule engine</t>
        </is>
      </c>
      <c r="H30" s="107" t="inlineStr">
        <is>
          <t>Formerly 4S5-BE-01 (moved 2026-10-20: the game is parked). Versioned rules — minimum visible percentage and minimum dwell — decide which renders count as viewable impressions.</t>
        </is>
      </c>
      <c r="I30" s="108" t="inlineStr">
        <is>
          <t>Blocked</t>
        </is>
      </c>
      <c r="J30" s="108" t="n">
        <v>5</v>
      </c>
      <c r="K30" s="109" t="n"/>
      <c r="L30" s="109" t="n"/>
      <c r="M30" s="110" t="n"/>
      <c r="N30" s="81" t="n">
        <v>0</v>
      </c>
      <c r="O30" s="80" t="inlineStr">
        <is>
          <t>4S4-DATA-01</t>
        </is>
      </c>
      <c r="P30" s="80" t="inlineStr">
        <is>
          <t>Viewable impressions are calculated per versioned rule and remain distinct from gross renders</t>
        </is>
      </c>
      <c r="Q30" s="82" t="inlineStr">
        <is>
          <t>Spec §30, §34</t>
        </is>
      </c>
      <c r="R30" s="74" t="inlineStr">
        <is>
          <t>Formerly 5S5-BE-01 (Phase 5 became Phase 6, 2026-10-27).</t>
        </is>
      </c>
    </row>
    <row r="31" ht="23.85" customHeight="1" s="75">
      <c r="A31" s="104" t="n">
        <v>26</v>
      </c>
      <c r="B31" s="105" t="inlineStr">
        <is>
          <t>6S5-DATA-01</t>
        </is>
      </c>
      <c r="C31" s="81" t="n">
        <v>5</v>
      </c>
      <c r="D31" s="82" t="inlineStr">
        <is>
          <t>Sprint 5 · Viewability, metrics and pricing</t>
        </is>
      </c>
      <c r="E31" s="138" t="inlineStr">
        <is>
          <t>DATA</t>
        </is>
      </c>
      <c r="F31" s="120" t="inlineStr">
        <is>
          <t>Code</t>
        </is>
      </c>
      <c r="G31" s="80" t="inlineStr">
        <is>
          <t>Virtual metric aggregation job</t>
        </is>
      </c>
      <c r="H31" s="107" t="inlineStr">
        <is>
          <t>Formerly 4S5-DATA-01 (moved 2026-10-20: the game is parked). Visits, gross impressions, viewable impressions, dwell, interactions, challenge metrics and session-level uniques.</t>
        </is>
      </c>
      <c r="I31" s="108" t="inlineStr">
        <is>
          <t>Blocked</t>
        </is>
      </c>
      <c r="J31" s="108" t="n">
        <v>5</v>
      </c>
      <c r="K31" s="109" t="n"/>
      <c r="L31" s="109" t="n"/>
      <c r="M31" s="110" t="n"/>
      <c r="N31" s="81" t="n">
        <v>0</v>
      </c>
      <c r="O31" s="80" t="inlineStr">
        <is>
          <t>6S5-BE-01</t>
        </is>
      </c>
      <c r="P31" s="80" t="inlineStr">
        <is>
          <t>Aggregates compute on schedule and dashboards read aggregates, never raw telemetry</t>
        </is>
      </c>
      <c r="Q31" s="82" t="inlineStr">
        <is>
          <t>Spec §27.3</t>
        </is>
      </c>
      <c r="R31" s="74" t="inlineStr">
        <is>
          <t>Formerly 5S5-DATA-01 (Phase 5 became Phase 6, 2026-10-27).</t>
        </is>
      </c>
    </row>
    <row r="32" ht="22.35" customHeight="1" s="75">
      <c r="A32" s="104" t="n">
        <v>27</v>
      </c>
      <c r="B32" s="105" t="inlineStr">
        <is>
          <t>6S5-DATA-02</t>
        </is>
      </c>
      <c r="C32" s="81" t="n">
        <v>5</v>
      </c>
      <c r="D32" s="82" t="inlineStr">
        <is>
          <t>Sprint 5 · Viewability, metrics and pricing</t>
        </is>
      </c>
      <c r="E32" s="138" t="inlineStr">
        <is>
          <t>DATA</t>
        </is>
      </c>
      <c r="F32" s="120" t="inlineStr">
        <is>
          <t>Code</t>
        </is>
      </c>
      <c r="G32" s="80" t="inlineStr">
        <is>
          <t>World traffic benchmarks</t>
        </is>
      </c>
      <c r="H32" s="107" t="inlineStr">
        <is>
          <t>Formerly 4S5-DATA-02 (moved 2026-10-20: the game is parked). Baseline visits, dwell and interaction rates per world and zone — the inputs to virtual pricing.</t>
        </is>
      </c>
      <c r="I32" s="108" t="inlineStr">
        <is>
          <t>Blocked</t>
        </is>
      </c>
      <c r="J32" s="108" t="n">
        <v>3</v>
      </c>
      <c r="K32" s="109" t="n"/>
      <c r="L32" s="109" t="n"/>
      <c r="M32" s="110" t="n"/>
      <c r="N32" s="81" t="n">
        <v>0</v>
      </c>
      <c r="O32" s="80" t="inlineStr">
        <is>
          <t>6S5-DATA-01</t>
        </is>
      </c>
      <c r="P32" s="80" t="inlineStr">
        <is>
          <t>Traffic benchmarks compute per world and zone</t>
        </is>
      </c>
      <c r="Q32" s="82" t="inlineStr">
        <is>
          <t>Spec §30, §32</t>
        </is>
      </c>
      <c r="R32" s="74" t="inlineStr">
        <is>
          <t>Formerly 5S5-DATA-02 (Phase 5 became Phase 6, 2026-10-27).</t>
        </is>
      </c>
    </row>
    <row r="33" ht="23.85" customHeight="1" s="75">
      <c r="A33" s="104" t="n">
        <v>28</v>
      </c>
      <c r="B33" s="105" t="inlineStr">
        <is>
          <t>6S5-FE-01</t>
        </is>
      </c>
      <c r="C33" s="81" t="n">
        <v>5</v>
      </c>
      <c r="D33" s="82" t="inlineStr">
        <is>
          <t>Sprint 5 · Viewability, metrics and pricing</t>
        </is>
      </c>
      <c r="E33" s="138" t="inlineStr">
        <is>
          <t>FE</t>
        </is>
      </c>
      <c r="F33" s="120" t="inlineStr">
        <is>
          <t>Code</t>
        </is>
      </c>
      <c r="G33" s="80" t="inlineStr">
        <is>
          <t>Build the virtual metrics dashboard</t>
        </is>
      </c>
      <c r="H33" s="107" t="inlineStr">
        <is>
          <t>Formerly 4S5-FE-01 (moved 2026-10-20: the game is parked). Visits, impressions, viewable impressions, dwell, interactions, completion and the reward funnel.</t>
        </is>
      </c>
      <c r="I33" s="108" t="inlineStr">
        <is>
          <t>Blocked</t>
        </is>
      </c>
      <c r="J33" s="108" t="n">
        <v>5</v>
      </c>
      <c r="K33" s="109" t="n"/>
      <c r="L33" s="109" t="n"/>
      <c r="M33" s="110" t="n"/>
      <c r="N33" s="81" t="n">
        <v>0</v>
      </c>
      <c r="O33" s="80" t="inlineStr">
        <is>
          <t>6S5-DATA-01</t>
        </is>
      </c>
      <c r="P33" s="80" t="inlineStr">
        <is>
          <t>Dashboard renders virtual delivery with gross and viewable clearly separated</t>
        </is>
      </c>
      <c r="Q33" s="82" t="inlineStr">
        <is>
          <t>Spec §26 P4-07</t>
        </is>
      </c>
      <c r="R33" s="74" t="inlineStr">
        <is>
          <t>Formerly 5S5-FE-01 (Phase 5 became Phase 6, 2026-10-27).</t>
        </is>
      </c>
    </row>
    <row r="34" ht="23.85" customHeight="1" s="75">
      <c r="A34" s="104" t="n">
        <v>29</v>
      </c>
      <c r="B34" s="105" t="inlineStr">
        <is>
          <t>6S5-BE-02</t>
        </is>
      </c>
      <c r="C34" s="81" t="n">
        <v>5</v>
      </c>
      <c r="D34" s="82" t="inlineStr">
        <is>
          <t>Sprint 5 · Viewability, metrics and pricing</t>
        </is>
      </c>
      <c r="E34" s="138" t="inlineStr">
        <is>
          <t>BE</t>
        </is>
      </c>
      <c r="F34" s="120" t="inlineStr">
        <is>
          <t>Code</t>
        </is>
      </c>
      <c r="G34" s="80" t="inlineStr">
        <is>
          <t>Virtual pricing model</t>
        </is>
      </c>
      <c r="H34" s="107" t="inlineStr">
        <is>
          <t>Formerly 4S5-BE-02 (moved 2026-10-20: the game is parked). Rules-based and transparent first: base rate × traffic × viewability × dwell × scarcity × exclusivity × seasonality × integration depth.</t>
        </is>
      </c>
      <c r="I34" s="108" t="inlineStr">
        <is>
          <t>Blocked</t>
        </is>
      </c>
      <c r="J34" s="108" t="n">
        <v>5</v>
      </c>
      <c r="K34" s="109" t="n"/>
      <c r="L34" s="109" t="n"/>
      <c r="M34" s="110" t="n"/>
      <c r="N34" s="81" t="n">
        <v>0</v>
      </c>
      <c r="O34" s="80" t="inlineStr">
        <is>
          <t>6S5-DATA-02</t>
        </is>
      </c>
      <c r="P34" s="80" t="inlineStr">
        <is>
          <t>A virtual placement produces a recommended rate with its factor breakdown visible</t>
        </is>
      </c>
      <c r="Q34" s="82" t="inlineStr">
        <is>
          <t>Spec §32</t>
        </is>
      </c>
      <c r="R34" s="74" t="inlineStr">
        <is>
          <t>Formerly 5S5-BE-02 (Phase 5 became Phase 6, 2026-10-27).</t>
        </is>
      </c>
    </row>
    <row r="35" ht="23.85" customHeight="1" s="75">
      <c r="A35" s="104" t="n">
        <v>30</v>
      </c>
      <c r="B35" s="105" t="inlineStr">
        <is>
          <t>6S6-BE-01</t>
        </is>
      </c>
      <c r="C35" s="81" t="n">
        <v>6</v>
      </c>
      <c r="D35" s="82" t="inlineStr">
        <is>
          <t>Sprint 6 · In-world activations and rewards</t>
        </is>
      </c>
      <c r="E35" s="138" t="inlineStr">
        <is>
          <t>BE</t>
        </is>
      </c>
      <c r="F35" s="120" t="inlineStr">
        <is>
          <t>Code</t>
        </is>
      </c>
      <c r="G35" s="80" t="inlineStr">
        <is>
          <t>Activation definition model</t>
        </is>
      </c>
      <c r="H35" s="107" t="inlineStr">
        <is>
          <t>Formerly 4S6-BE-01 (moved 2026-10-20: the game is parked). Challenges, quests, scavenger hunts, skill tests, product discovery and sponsor booths, with start conditions, completion criteria and reward triggers.</t>
        </is>
      </c>
      <c r="I35" s="108" t="inlineStr">
        <is>
          <t>Blocked</t>
        </is>
      </c>
      <c r="J35" s="108" t="n">
        <v>5</v>
      </c>
      <c r="K35" s="109" t="n"/>
      <c r="L35" s="109" t="n"/>
      <c r="M35" s="110" t="n"/>
      <c r="N35" s="81" t="n">
        <v>0</v>
      </c>
      <c r="O35" s="80" t="inlineStr">
        <is>
          <t>4S2-BE-01</t>
        </is>
      </c>
      <c r="P35" s="80" t="inlineStr">
        <is>
          <t>An activation can be defined with rules, completion criteria and a linked reward</t>
        </is>
      </c>
      <c r="Q35" s="82" t="inlineStr">
        <is>
          <t>Spec §30</t>
        </is>
      </c>
      <c r="R35" s="74" t="inlineStr">
        <is>
          <t>Formerly 5S6-BE-01 (Phase 5 became Phase 6, 2026-10-27).</t>
        </is>
      </c>
    </row>
    <row r="36" ht="23.85" customHeight="1" s="75">
      <c r="A36" s="104" t="n">
        <v>31</v>
      </c>
      <c r="B36" s="105" t="inlineStr">
        <is>
          <t>6S6-BE-02</t>
        </is>
      </c>
      <c r="C36" s="81" t="n">
        <v>6</v>
      </c>
      <c r="D36" s="82" t="inlineStr">
        <is>
          <t>Sprint 6 · In-world activations and rewards</t>
        </is>
      </c>
      <c r="E36" s="138" t="inlineStr">
        <is>
          <t>BE</t>
        </is>
      </c>
      <c r="F36" s="120" t="inlineStr">
        <is>
          <t>Code</t>
        </is>
      </c>
      <c r="G36" s="80" t="inlineStr">
        <is>
          <t>Activation start and complete flow</t>
        </is>
      </c>
      <c r="H36" s="107" t="inlineStr">
        <is>
          <t>Formerly 4S6-BE-02 (moved 2026-10-20: the game is parked). Validate completion against activation, session and user constraints before anything is awarded.</t>
        </is>
      </c>
      <c r="I36" s="108" t="inlineStr">
        <is>
          <t>Blocked</t>
        </is>
      </c>
      <c r="J36" s="108" t="n">
        <v>5</v>
      </c>
      <c r="K36" s="109" t="n"/>
      <c r="L36" s="109" t="n"/>
      <c r="M36" s="110" t="n"/>
      <c r="N36" s="81" t="n">
        <v>0</v>
      </c>
      <c r="O36" s="80" t="inlineStr">
        <is>
          <t>6S6-BE-01</t>
        </is>
      </c>
      <c r="P36" s="80" t="inlineStr">
        <is>
          <t>Activation can start and complete, validated against its eligibility rules</t>
        </is>
      </c>
      <c r="Q36" s="82" t="inlineStr">
        <is>
          <t>Spec §27.4</t>
        </is>
      </c>
      <c r="R36" s="74" t="inlineStr">
        <is>
          <t>Formerly 5S6-BE-02 (Phase 5 became Phase 6, 2026-10-27).</t>
        </is>
      </c>
    </row>
    <row r="37" ht="23.85" customHeight="1" s="75">
      <c r="A37" s="104" t="n">
        <v>32</v>
      </c>
      <c r="B37" s="105" t="inlineStr">
        <is>
          <t>6S6-BE-03</t>
        </is>
      </c>
      <c r="C37" s="81" t="n">
        <v>6</v>
      </c>
      <c r="D37" s="82" t="inlineStr">
        <is>
          <t>Sprint 6 · In-world activations and rewards</t>
        </is>
      </c>
      <c r="E37" s="138" t="inlineStr">
        <is>
          <t>BE</t>
        </is>
      </c>
      <c r="F37" s="120" t="inlineStr">
        <is>
          <t>Code</t>
        </is>
      </c>
      <c r="G37" s="80" t="inlineStr">
        <is>
          <t>Reward trigger with exactly-once guarantee</t>
        </is>
      </c>
      <c r="H37" s="107" t="inlineStr">
        <is>
          <t>Formerly 4S6-BE-03 (moved 2026-10-20: the game is parked). The in-world equivalent of Phase 1's single-use QR redemption, and it needs the same database-level guarantee rather than application logic.</t>
        </is>
      </c>
      <c r="I37" s="108" t="inlineStr">
        <is>
          <t>Blocked</t>
        </is>
      </c>
      <c r="J37" s="108" t="n">
        <v>5</v>
      </c>
      <c r="K37" s="109" t="n"/>
      <c r="L37" s="109" t="n"/>
      <c r="M37" s="110" t="n"/>
      <c r="N37" s="81" t="n">
        <v>0</v>
      </c>
      <c r="O37" s="80" t="inlineStr">
        <is>
          <t>6S6-BE-02</t>
        </is>
      </c>
      <c r="P37" s="80" t="inlineStr">
        <is>
          <t>An activation triggers a SponsorX reward exactly once per configured eligibility rule</t>
        </is>
      </c>
      <c r="Q37" s="82" t="inlineStr">
        <is>
          <t>Spec §34</t>
        </is>
      </c>
      <c r="R37" s="74" t="inlineStr">
        <is>
          <t>Formerly 5S6-BE-03 (Phase 5 became Phase 6, 2026-10-27).</t>
        </is>
      </c>
    </row>
    <row r="38" ht="23.85" customHeight="1" s="75">
      <c r="A38" s="104" t="n">
        <v>33</v>
      </c>
      <c r="B38" s="105" t="inlineStr">
        <is>
          <t>6S6-INT-01</t>
        </is>
      </c>
      <c r="C38" s="81" t="n">
        <v>6</v>
      </c>
      <c r="D38" s="82" t="inlineStr">
        <is>
          <t>Sprint 6 · In-world activations and rewards</t>
        </is>
      </c>
      <c r="E38" s="138" t="inlineStr">
        <is>
          <t>INT</t>
        </is>
      </c>
      <c r="F38" s="120" t="inlineStr">
        <is>
          <t>Code</t>
        </is>
      </c>
      <c r="G38" s="80" t="inlineStr">
        <is>
          <t>Wire in-world rewards to the wallet service</t>
        </is>
      </c>
      <c r="H38" s="107" t="inlineStr">
        <is>
          <t>Formerly 4S6-INT-01 (moved 2026-10-20: the game is parked). Completion produces a claim token and deep link; the fan receives it in-world and optionally by wallet, SMS or email.</t>
        </is>
      </c>
      <c r="I38" s="108" t="inlineStr">
        <is>
          <t>Blocked</t>
        </is>
      </c>
      <c r="J38" s="108" t="n">
        <v>3</v>
      </c>
      <c r="K38" s="109" t="n"/>
      <c r="L38" s="109" t="n"/>
      <c r="M38" s="110" t="n"/>
      <c r="N38" s="81" t="n">
        <v>0</v>
      </c>
      <c r="O38" s="80" t="inlineStr">
        <is>
          <t>6S6-BE-03</t>
        </is>
      </c>
      <c r="P38" s="80" t="inlineStr">
        <is>
          <t>A completed activation delivers a reward through the existing reward and wallet services</t>
        </is>
      </c>
      <c r="Q38" s="82" t="inlineStr">
        <is>
          <t>Spec §27.4</t>
        </is>
      </c>
      <c r="R38" s="74" t="inlineStr">
        <is>
          <t>Formerly 5S6-INT-01 (Phase 5 became Phase 6, 2026-10-27).</t>
        </is>
      </c>
    </row>
    <row r="39" ht="23.85" customHeight="1" s="75">
      <c r="A39" s="104" t="n">
        <v>34</v>
      </c>
      <c r="B39" s="105" t="inlineStr">
        <is>
          <t>6S6-FE-01</t>
        </is>
      </c>
      <c r="C39" s="81" t="n">
        <v>6</v>
      </c>
      <c r="D39" s="82" t="inlineStr">
        <is>
          <t>Sprint 6 · In-world activations and rewards</t>
        </is>
      </c>
      <c r="E39" s="138" t="inlineStr">
        <is>
          <t>FE</t>
        </is>
      </c>
      <c r="F39" s="120" t="inlineStr">
        <is>
          <t>Code</t>
        </is>
      </c>
      <c r="G39" s="80" t="inlineStr">
        <is>
          <t>Build the activation builder</t>
        </is>
      </c>
      <c r="H39" s="107" t="inlineStr">
        <is>
          <t>Formerly 4S6-FE-01 (moved 2026-10-20: the game is parked). Challenge rules, start condition, completion criteria, reward trigger and sponsor content.</t>
        </is>
      </c>
      <c r="I39" s="108" t="inlineStr">
        <is>
          <t>Blocked</t>
        </is>
      </c>
      <c r="J39" s="108" t="n">
        <v>5</v>
      </c>
      <c r="K39" s="109" t="n"/>
      <c r="L39" s="109" t="n"/>
      <c r="M39" s="110" t="n"/>
      <c r="N39" s="81" t="n">
        <v>0</v>
      </c>
      <c r="O39" s="80" t="inlineStr">
        <is>
          <t>6S8-ART-01</t>
        </is>
      </c>
      <c r="P39" s="80" t="inlineStr">
        <is>
          <t>A campaign manager can build and publish an activation without engineering help</t>
        </is>
      </c>
      <c r="Q39" s="82" t="inlineStr">
        <is>
          <t>Spec §26 P4-06</t>
        </is>
      </c>
      <c r="R39" s="74" t="inlineStr">
        <is>
          <t>Formerly 5S6-FE-01 (Phase 5 became Phase 6, 2026-10-27).</t>
        </is>
      </c>
    </row>
    <row r="40" ht="23.85" customHeight="1" s="75">
      <c r="A40" s="104" t="n">
        <v>35</v>
      </c>
      <c r="B40" s="105" t="inlineStr">
        <is>
          <t>6S7-DATA-01</t>
        </is>
      </c>
      <c r="C40" s="81" t="n">
        <v>7</v>
      </c>
      <c r="D40" s="82" t="inlineStr">
        <is>
          <t>Sprint 7 · Game reporting and operations</t>
        </is>
      </c>
      <c r="E40" s="138" t="inlineStr">
        <is>
          <t>DATA</t>
        </is>
      </c>
      <c r="F40" s="120" t="inlineStr">
        <is>
          <t>Code</t>
        </is>
      </c>
      <c r="G40" s="80" t="inlineStr">
        <is>
          <t>Cross-channel aggregation without double counting</t>
        </is>
      </c>
      <c r="H40" s="107" t="inlineStr">
        <is>
          <t>Formerly 4S7-DATA-01 (moved 2026-10-20: the game is parked). The hard part. A fan who scans a QR and completes an in-world challenge is one person, and must not be counted twice.</t>
        </is>
      </c>
      <c r="I40" s="108" t="inlineStr">
        <is>
          <t>Blocked</t>
        </is>
      </c>
      <c r="J40" s="108" t="n">
        <v>5</v>
      </c>
      <c r="K40" s="109" t="n"/>
      <c r="L40" s="109" t="n"/>
      <c r="M40" s="110" t="n"/>
      <c r="N40" s="81" t="n">
        <v>0</v>
      </c>
      <c r="O40" s="80" t="inlineStr">
        <is>
          <t>4S7-BE-01</t>
        </is>
      </c>
      <c r="P40" s="80" t="inlineStr">
        <is>
          <t>Cross-channel dashboard shows INFINEX metrics alongside other channels without double counting</t>
        </is>
      </c>
      <c r="Q40" s="82" t="inlineStr">
        <is>
          <t>Spec §34</t>
        </is>
      </c>
      <c r="R40" s="74" t="inlineStr">
        <is>
          <t>Formerly 5S7-DATA-01 (Phase 5 became Phase 6, 2026-10-27).</t>
        </is>
      </c>
    </row>
    <row r="41" ht="23.85" customHeight="1" s="75">
      <c r="A41" s="104" t="n">
        <v>36</v>
      </c>
      <c r="B41" s="105" t="inlineStr">
        <is>
          <t>6S7-FE-01</t>
        </is>
      </c>
      <c r="C41" s="81" t="n">
        <v>7</v>
      </c>
      <c r="D41" s="82" t="inlineStr">
        <is>
          <t>Sprint 7 · Game reporting and operations</t>
        </is>
      </c>
      <c r="E41" s="138" t="inlineStr">
        <is>
          <t>FE</t>
        </is>
      </c>
      <c r="F41" s="120" t="inlineStr">
        <is>
          <t>Code</t>
        </is>
      </c>
      <c r="G41" s="80" t="inlineStr">
        <is>
          <t>Build the cross-channel campaign dashboard</t>
        </is>
      </c>
      <c r="H41" s="107" t="inlineStr">
        <is>
          <t>Formerly 4S7-FE-01 (moved 2026-10-20: the game is parked). Compare INFINEX against social, streaming, event and athlete inventory in one view.</t>
        </is>
      </c>
      <c r="I41" s="108" t="inlineStr">
        <is>
          <t>Blocked</t>
        </is>
      </c>
      <c r="J41" s="108" t="n">
        <v>5</v>
      </c>
      <c r="K41" s="109" t="n"/>
      <c r="L41" s="109" t="n"/>
      <c r="M41" s="110" t="n"/>
      <c r="N41" s="81" t="n">
        <v>0</v>
      </c>
      <c r="O41" s="80" t="inlineStr">
        <is>
          <t>6S7-DATA-01</t>
        </is>
      </c>
      <c r="P41" s="80" t="inlineStr">
        <is>
          <t>Dashboard compares all channels on consistent metrics</t>
        </is>
      </c>
      <c r="Q41" s="82" t="inlineStr">
        <is>
          <t>Spec §26 P4-08</t>
        </is>
      </c>
      <c r="R41" s="74" t="inlineStr">
        <is>
          <t>Formerly 5S7-FE-01 (Phase 5 became Phase 6, 2026-10-27).</t>
        </is>
      </c>
    </row>
    <row r="42" ht="22.35" customHeight="1" s="75">
      <c r="A42" s="104" t="n">
        <v>37</v>
      </c>
      <c r="B42" s="105" t="inlineStr">
        <is>
          <t>6S7-FE-02</t>
        </is>
      </c>
      <c r="C42" s="81" t="n">
        <v>7</v>
      </c>
      <c r="D42" s="82" t="inlineStr">
        <is>
          <t>Sprint 7 · Game reporting and operations</t>
        </is>
      </c>
      <c r="E42" s="138" t="inlineStr">
        <is>
          <t>FE</t>
        </is>
      </c>
      <c r="F42" s="120" t="inlineStr">
        <is>
          <t>Code</t>
        </is>
      </c>
      <c r="G42" s="80" t="inlineStr">
        <is>
          <t>Build the sponsor activation report</t>
        </is>
      </c>
      <c r="H42" s="107" t="inlineStr">
        <is>
          <t>Formerly 4S7-FE-02 (moved 2026-10-20: the game is parked). Virtual activation summary with content, engagement, rewards, screenshots and proofs, and recommended next actions.</t>
        </is>
      </c>
      <c r="I42" s="108" t="inlineStr">
        <is>
          <t>Blocked</t>
        </is>
      </c>
      <c r="J42" s="108" t="n">
        <v>5</v>
      </c>
      <c r="K42" s="109" t="n"/>
      <c r="L42" s="109" t="n"/>
      <c r="M42" s="110" t="n"/>
      <c r="N42" s="81" t="n">
        <v>0</v>
      </c>
      <c r="O42" s="80" t="inlineStr">
        <is>
          <t>6S5-FE-01</t>
        </is>
      </c>
      <c r="P42" s="80" t="inlineStr">
        <is>
          <t>A pilot sponsor receives a report with virtual delivery, interaction, reward funnel and creative proof</t>
        </is>
      </c>
      <c r="Q42" s="82" t="inlineStr">
        <is>
          <t>Spec §26 P4-11, §34</t>
        </is>
      </c>
      <c r="R42" s="74" t="inlineStr">
        <is>
          <t>Formerly 5S7-FE-02 (Phase 5 became Phase 6, 2026-10-27).</t>
        </is>
      </c>
    </row>
    <row r="43" ht="23.85" customHeight="1" s="75">
      <c r="A43" s="104" t="n">
        <v>38</v>
      </c>
      <c r="B43" s="105" t="inlineStr">
        <is>
          <t>6S7-FE-03</t>
        </is>
      </c>
      <c r="C43" s="81" t="n">
        <v>7</v>
      </c>
      <c r="D43" s="82" t="inlineStr">
        <is>
          <t>Sprint 7 · Game reporting and operations</t>
        </is>
      </c>
      <c r="E43" s="138" t="inlineStr">
        <is>
          <t>FE</t>
        </is>
      </c>
      <c r="F43" s="120" t="inlineStr">
        <is>
          <t>Code</t>
        </is>
      </c>
      <c r="G43" s="80" t="inlineStr">
        <is>
          <t>Build the world heatmap and zone insights</t>
        </is>
      </c>
      <c r="H43" s="107" t="inlineStr">
        <is>
          <t>Formerly 4S7-FE-03 (moved 2026-10-20: the game is parked). Aggregated zone traffic and engagement, where INFINEX telemetry supports it.</t>
        </is>
      </c>
      <c r="I43" s="108" t="inlineStr">
        <is>
          <t>Blocked</t>
        </is>
      </c>
      <c r="J43" s="108" t="n">
        <v>5</v>
      </c>
      <c r="K43" s="109" t="n"/>
      <c r="L43" s="109" t="n"/>
      <c r="M43" s="110" t="n"/>
      <c r="N43" s="81" t="n">
        <v>0</v>
      </c>
      <c r="O43" s="80" t="inlineStr">
        <is>
          <t>6S5-DATA-02</t>
        </is>
      </c>
      <c r="P43" s="80" t="inlineStr">
        <is>
          <t>Heatmap renders zone-level traffic and engagement</t>
        </is>
      </c>
      <c r="Q43" s="82" t="inlineStr">
        <is>
          <t>Spec §26 P4-12</t>
        </is>
      </c>
      <c r="R43" s="74" t="inlineStr">
        <is>
          <t>Formerly 5S7-FE-03 (Phase 5 became Phase 6, 2026-10-27).</t>
        </is>
      </c>
    </row>
    <row r="44" ht="22.35" customHeight="1" s="75">
      <c r="A44" s="104" t="n">
        <v>39</v>
      </c>
      <c r="B44" s="105" t="inlineStr">
        <is>
          <t>6S7-FE-04</t>
        </is>
      </c>
      <c r="C44" s="81" t="n">
        <v>7</v>
      </c>
      <c r="D44" s="82" t="inlineStr">
        <is>
          <t>Sprint 7 · Game reporting and operations</t>
        </is>
      </c>
      <c r="E44" s="138" t="inlineStr">
        <is>
          <t>FE</t>
        </is>
      </c>
      <c r="F44" s="120" t="inlineStr">
        <is>
          <t>Code</t>
        </is>
      </c>
      <c r="G44" s="80" t="inlineStr">
        <is>
          <t>Build the INFINEX operations console</t>
        </is>
      </c>
      <c r="H44" s="107" t="inlineStr">
        <is>
          <t>Formerly 4S8-FE-01 (moved 2026-10-20: the game is parked). Health, event lag, placement failures, creative mismatch, kill switch and incident log.</t>
        </is>
      </c>
      <c r="I44" s="108" t="inlineStr">
        <is>
          <t>Blocked</t>
        </is>
      </c>
      <c r="J44" s="108" t="n">
        <v>5</v>
      </c>
      <c r="K44" s="109" t="n"/>
      <c r="L44" s="109" t="n"/>
      <c r="M44" s="110" t="n"/>
      <c r="N44" s="81" t="n">
        <v>0</v>
      </c>
      <c r="O44" s="80" t="inlineStr">
        <is>
          <t>4S3-INT-02</t>
        </is>
      </c>
      <c r="P44" s="80" t="inlineStr">
        <is>
          <t>Console displays event lag, client heartbeat, deployment failures and active incidents</t>
        </is>
      </c>
      <c r="Q44" s="82" t="inlineStr">
        <is>
          <t>Spec §26 P4-09, §34</t>
        </is>
      </c>
      <c r="R44" s="74" t="inlineStr">
        <is>
          <t>Formerly 5S7-FE-04 (Phase 5 became Phase 6, 2026-10-27).</t>
        </is>
      </c>
    </row>
    <row r="45" ht="23.85" customHeight="1" s="75">
      <c r="A45" s="104" t="n">
        <v>40</v>
      </c>
      <c r="B45" s="105" t="inlineStr">
        <is>
          <t>6S7-DATA-02</t>
        </is>
      </c>
      <c r="C45" s="81" t="n">
        <v>7</v>
      </c>
      <c r="D45" s="82" t="inlineStr">
        <is>
          <t>Sprint 7 · Game reporting and operations</t>
        </is>
      </c>
      <c r="E45" s="138" t="inlineStr">
        <is>
          <t>DATA</t>
        </is>
      </c>
      <c r="F45" s="120" t="inlineStr">
        <is>
          <t>Code</t>
        </is>
      </c>
      <c r="G45" s="80" t="inlineStr">
        <is>
          <t>Virtual fraud and anomaly checks</t>
        </is>
      </c>
      <c r="H45" s="107" t="inlineStr">
        <is>
          <t>Formerly 4S8-DATA-01 (moved 2026-10-20: the game is parked). Invalid or suspicious event patterns flagged before they reach a sponsor report — this is Phase 3's anomaly work applied to telemetry.</t>
        </is>
      </c>
      <c r="I45" s="108" t="inlineStr">
        <is>
          <t>Blocked</t>
        </is>
      </c>
      <c r="J45" s="108" t="n">
        <v>5</v>
      </c>
      <c r="K45" s="109" t="n"/>
      <c r="L45" s="109" t="n"/>
      <c r="M45" s="110" t="n"/>
      <c r="N45" s="81" t="n">
        <v>0</v>
      </c>
      <c r="O45" s="80" t="inlineStr">
        <is>
          <t>6S4-BE-01</t>
        </is>
      </c>
      <c r="P45" s="80" t="inlineStr">
        <is>
          <t>Suspicious event patterns are flagged and excluded from sponsor-facing aggregates</t>
        </is>
      </c>
      <c r="Q45" s="82" t="inlineStr">
        <is>
          <t>Spec §27.3</t>
        </is>
      </c>
      <c r="R45" s="74" t="inlineStr">
        <is>
          <t>Formerly 5S7-DATA-02 (Phase 5 became Phase 6, 2026-10-27).</t>
        </is>
      </c>
    </row>
    <row r="46" ht="23.85" customHeight="1" s="75">
      <c r="A46" s="104" t="n">
        <v>41</v>
      </c>
      <c r="B46" s="105" t="inlineStr">
        <is>
          <t>6S8-ART-01</t>
        </is>
      </c>
      <c r="C46" s="81" t="n">
        <v>8</v>
      </c>
      <c r="D46" s="82" t="inlineStr">
        <is>
          <t>Sprint 8 · Virtual inventory screens, controls and launch</t>
        </is>
      </c>
      <c r="E46" s="138" t="inlineStr">
        <is>
          <t>ART</t>
        </is>
      </c>
      <c r="F46" s="120" t="inlineStr">
        <is>
          <t>Design tool</t>
        </is>
      </c>
      <c r="G46" s="80" t="inlineStr">
        <is>
          <t>Design the virtual admin and sponsor screens</t>
        </is>
      </c>
      <c r="H46" s="107" t="inlineStr">
        <is>
          <t>Formerly 4S0-ART-01 (moved 2026-10-20: the game is parked). Twelve new screens including placement preview metadata, activation builder and the world heatmap. Placement specs need a designer who understands 3D constraints.</t>
        </is>
      </c>
      <c r="I46" s="108" t="inlineStr">
        <is>
          <t>Code review</t>
        </is>
      </c>
      <c r="J46" s="108" t="n">
        <v>5</v>
      </c>
      <c r="K46" s="109" t="n">
        <v>46294</v>
      </c>
      <c r="L46" s="109" t="n"/>
      <c r="M46" s="110" t="inlineStr">
        <is>
          <t>rcfworks</t>
        </is>
      </c>
      <c r="N46" s="81" t="n">
        <v>0</v>
      </c>
      <c r="O46" s="80" t="inlineStr">
        <is>
          <t>4S0-PMO-02</t>
        </is>
      </c>
      <c r="P46" s="80" t="inlineStr">
        <is>
          <t>All 12 Phase 4 screens designed, with creative technical constraints specified per placement type</t>
        </is>
      </c>
      <c r="Q46" s="82" t="inlineStr">
        <is>
          <t>Spec §26</t>
        </is>
      </c>
      <c r="R46" s="74" t="inlineStr">
        <is>
          <t>Designed 2026-09-29 by Claude Design: https://claude.ai/artifact/KBMLqnbXedfz6UiXTRC6Ue — the 10 screens the Phase 4 plan defines (the row says 12), every state, desktop and phone, sample data labelled. | 2026-10-08 checked: NOT MET. The canvas has all 10 screens the plan defines (4S1-FE-01…4S8-FE-01), each in normal/empty/loading/error on desktop and phone, and the creative limits per placement type ARE specified (placement preview: video wall 16:9, 90% safe area, video 50 MB / image 20 MB; 2D billboard 4:1 or 1:1, 92%, image 20 MB; 3D object 1:1 texture, texture 8 MB / glTF 25 MB; deploy screen checks against them). Missing: the blueprint's §34 Phase 4 screens 'virtual campaign extension' and 'virtual pricing' — the 10 + these 2 = the 12 the row names. Neither has a plan task either. | Formerly 5S8-ART-01 (Phase 5 became Phase 6, 2026-10-27).</t>
        </is>
      </c>
    </row>
    <row r="47" ht="22.35" customHeight="1" s="75">
      <c r="A47" s="104" t="n">
        <v>42</v>
      </c>
      <c r="B47" s="105" t="inlineStr">
        <is>
          <t>6S8-FE-01</t>
        </is>
      </c>
      <c r="C47" s="81" t="n">
        <v>8</v>
      </c>
      <c r="D47" s="82" t="inlineStr">
        <is>
          <t>Sprint 8 · Virtual inventory screens, controls and launch</t>
        </is>
      </c>
      <c r="E47" s="138" t="inlineStr">
        <is>
          <t>FE</t>
        </is>
      </c>
      <c r="F47" s="120" t="inlineStr">
        <is>
          <t>Code</t>
        </is>
      </c>
      <c r="G47" s="80" t="inlineStr">
        <is>
          <t>Build the world registry screen</t>
        </is>
      </c>
      <c r="H47" s="107" t="inlineStr">
        <is>
          <t>Formerly 4S1-FE-01 (moved 2026-10-20: the game is parked). Worlds, districts, venues, zones, environment IDs and operational status.</t>
        </is>
      </c>
      <c r="I47" s="108" t="inlineStr">
        <is>
          <t>Blocked</t>
        </is>
      </c>
      <c r="J47" s="108" t="n">
        <v>3</v>
      </c>
      <c r="K47" s="109" t="n"/>
      <c r="L47" s="109" t="n"/>
      <c r="M47" s="110" t="n"/>
      <c r="N47" s="81" t="n">
        <v>0</v>
      </c>
      <c r="O47" s="80" t="inlineStr">
        <is>
          <t>6S8-ART-01</t>
        </is>
      </c>
      <c r="P47" s="80" t="inlineStr">
        <is>
          <t>Admin can register and manage worlds and zones</t>
        </is>
      </c>
      <c r="Q47" s="82" t="inlineStr">
        <is>
          <t>Spec §26 P4-01</t>
        </is>
      </c>
      <c r="R47" s="74" t="inlineStr">
        <is>
          <t>Formerly 5S8-FE-01 (Phase 5 became Phase 6, 2026-10-27).</t>
        </is>
      </c>
    </row>
    <row r="48" ht="23.85" customHeight="1" s="75">
      <c r="A48" s="104" t="n">
        <v>43</v>
      </c>
      <c r="B48" s="105" t="inlineStr">
        <is>
          <t>6S8-FE-02</t>
        </is>
      </c>
      <c r="C48" s="81" t="n">
        <v>8</v>
      </c>
      <c r="D48" s="82" t="inlineStr">
        <is>
          <t>Sprint 8 · Virtual inventory screens, controls and launch</t>
        </is>
      </c>
      <c r="E48" s="138" t="inlineStr">
        <is>
          <t>FE</t>
        </is>
      </c>
      <c r="F48" s="120" t="inlineStr">
        <is>
          <t>Code</t>
        </is>
      </c>
      <c r="G48" s="80" t="inlineStr">
        <is>
          <t>Build the placement manager</t>
        </is>
      </c>
      <c r="H48" s="107" t="inlineStr">
        <is>
          <t>Formerly 4S1-FE-02 (moved 2026-10-20: the game is parked). Placement IDs, dimensions and type, zone, viewability rules, dates and pricing.</t>
        </is>
      </c>
      <c r="I48" s="108" t="inlineStr">
        <is>
          <t>Blocked</t>
        </is>
      </c>
      <c r="J48" s="108" t="n">
        <v>5</v>
      </c>
      <c r="K48" s="109" t="n"/>
      <c r="L48" s="109" t="n"/>
      <c r="M48" s="110" t="n"/>
      <c r="N48" s="81" t="n">
        <v>0</v>
      </c>
      <c r="O48" s="80" t="inlineStr">
        <is>
          <t>4S1-BE-02</t>
        </is>
      </c>
      <c r="P48" s="80" t="inlineStr">
        <is>
          <t>Admin can create, configure and price placements</t>
        </is>
      </c>
      <c r="Q48" s="82" t="inlineStr">
        <is>
          <t>Spec §26 P4-02</t>
        </is>
      </c>
      <c r="R48" s="74" t="inlineStr">
        <is>
          <t>Formerly 5S8-FE-02 (Phase 5 became Phase 6, 2026-10-27).</t>
        </is>
      </c>
    </row>
    <row r="49" ht="23.85" customHeight="1" s="75">
      <c r="A49" s="104" t="n">
        <v>44</v>
      </c>
      <c r="B49" s="105" t="inlineStr">
        <is>
          <t>6S8-FE-03</t>
        </is>
      </c>
      <c r="C49" s="81" t="n">
        <v>8</v>
      </c>
      <c r="D49" s="82" t="inlineStr">
        <is>
          <t>Sprint 8 · Virtual inventory screens, controls and launch</t>
        </is>
      </c>
      <c r="E49" s="138" t="inlineStr">
        <is>
          <t>FE</t>
        </is>
      </c>
      <c r="F49" s="120" t="inlineStr">
        <is>
          <t>Code</t>
        </is>
      </c>
      <c r="G49" s="80" t="inlineStr">
        <is>
          <t>Build placement preview metadata</t>
        </is>
      </c>
      <c r="H49" s="107" t="inlineStr">
        <is>
          <t>Formerly 4S1-FE-03 (moved 2026-10-20: the game is parked). Thumbnail, orientation, allowed creative types, technical constraints and placement test status — so a sponsor knows what they are buying.</t>
        </is>
      </c>
      <c r="I49" s="108" t="inlineStr">
        <is>
          <t>Blocked</t>
        </is>
      </c>
      <c r="J49" s="108" t="n">
        <v>3</v>
      </c>
      <c r="K49" s="109" t="n"/>
      <c r="L49" s="109" t="n"/>
      <c r="M49" s="110" t="n"/>
      <c r="N49" s="81" t="n">
        <v>0</v>
      </c>
      <c r="O49" s="80" t="inlineStr">
        <is>
          <t>4S1-BE-02</t>
        </is>
      </c>
      <c r="P49" s="80" t="inlineStr">
        <is>
          <t>Preview metadata renders and shows the placement's staging test status</t>
        </is>
      </c>
      <c r="Q49" s="82" t="inlineStr">
        <is>
          <t>Spec §26 P4-03</t>
        </is>
      </c>
      <c r="R49" s="74" t="inlineStr">
        <is>
          <t>Formerly 5S8-FE-03 (Phase 5 became Phase 6, 2026-10-27).</t>
        </is>
      </c>
    </row>
    <row r="50" ht="23.85" customHeight="1" s="75">
      <c r="A50" s="104" t="n">
        <v>45</v>
      </c>
      <c r="B50" s="105" t="inlineStr">
        <is>
          <t>6S8-FE-04</t>
        </is>
      </c>
      <c r="C50" s="81" t="n">
        <v>8</v>
      </c>
      <c r="D50" s="82" t="inlineStr">
        <is>
          <t>Sprint 8 · Virtual inventory screens, controls and launch</t>
        </is>
      </c>
      <c r="E50" s="138" t="inlineStr">
        <is>
          <t>FE</t>
        </is>
      </c>
      <c r="F50" s="120" t="inlineStr">
        <is>
          <t>Code</t>
        </is>
      </c>
      <c r="G50" s="80" t="inlineStr">
        <is>
          <t>Build the creative deployment console</t>
        </is>
      </c>
      <c r="H50" s="107" t="inlineStr">
        <is>
          <t>Formerly 4S2-FE-01 (moved 2026-10-20: the game is parked). Assign creative version, approve, schedule, publish and roll back.</t>
        </is>
      </c>
      <c r="I50" s="108" t="inlineStr">
        <is>
          <t>Blocked</t>
        </is>
      </c>
      <c r="J50" s="108" t="n">
        <v>5</v>
      </c>
      <c r="K50" s="109" t="n"/>
      <c r="L50" s="109" t="n"/>
      <c r="M50" s="110" t="n"/>
      <c r="N50" s="81" t="n">
        <v>0</v>
      </c>
      <c r="O50" s="80" t="inlineStr">
        <is>
          <t>6S8-ART-01</t>
        </is>
      </c>
      <c r="P50" s="80" t="inlineStr">
        <is>
          <t>Staff can run the full deployment lifecycle from the console</t>
        </is>
      </c>
      <c r="Q50" s="82" t="inlineStr">
        <is>
          <t>Spec §26 P4-05</t>
        </is>
      </c>
      <c r="R50" s="74" t="inlineStr">
        <is>
          <t>Formerly 5S8-FE-04 (Phase 5 became Phase 6, 2026-10-27).</t>
        </is>
      </c>
    </row>
    <row r="51" ht="23.85" customHeight="1" s="75">
      <c r="A51" s="104" t="n">
        <v>46</v>
      </c>
      <c r="B51" s="105" t="inlineStr">
        <is>
          <t>6S8-BE-01</t>
        </is>
      </c>
      <c r="C51" s="81" t="n">
        <v>8</v>
      </c>
      <c r="D51" s="82" t="inlineStr">
        <is>
          <t>Sprint 8 · Virtual inventory screens, controls and launch</t>
        </is>
      </c>
      <c r="E51" s="138" t="inlineStr">
        <is>
          <t>BE</t>
        </is>
      </c>
      <c r="F51" s="120" t="inlineStr">
        <is>
          <t>Code</t>
        </is>
      </c>
      <c r="G51" s="80" t="inlineStr">
        <is>
          <t>Emergency pause and kill switch</t>
        </is>
      </c>
      <c r="H51" s="107" t="inlineStr">
        <is>
          <t>Formerly 4S8-BE-01 (moved 2026-10-20: the game is parked). One control that takes a sponsor's creative down across every world immediately. You will need it on a Friday evening.</t>
        </is>
      </c>
      <c r="I51" s="108" t="inlineStr">
        <is>
          <t>Blocked</t>
        </is>
      </c>
      <c r="J51" s="108" t="n">
        <v>3</v>
      </c>
      <c r="K51" s="109" t="n"/>
      <c r="L51" s="109" t="n"/>
      <c r="M51" s="110" t="n"/>
      <c r="N51" s="81" t="n">
        <v>0</v>
      </c>
      <c r="O51" s="80" t="inlineStr">
        <is>
          <t>4S2-BE-05</t>
        </is>
      </c>
      <c r="P51" s="80" t="inlineStr">
        <is>
          <t>Emergency pause removes creative from all worlds within the agreed time target</t>
        </is>
      </c>
      <c r="Q51" s="82" t="inlineStr">
        <is>
          <t>Spec §28</t>
        </is>
      </c>
      <c r="R51" s="74" t="inlineStr">
        <is>
          <t>Formerly 5S8-BE-01 (Phase 5 became Phase 6, 2026-10-27).</t>
        </is>
      </c>
    </row>
    <row r="52" s="75">
      <c r="A52" s="104" t="n">
        <v>47</v>
      </c>
      <c r="B52" s="105" t="inlineStr">
        <is>
          <t>6S8-BE-02</t>
        </is>
      </c>
      <c r="C52" s="81" t="n">
        <v>8</v>
      </c>
      <c r="D52" s="82" t="inlineStr">
        <is>
          <t>Sprint 8 · Virtual inventory screens, controls and launch</t>
        </is>
      </c>
      <c r="E52" s="138" t="inlineStr">
        <is>
          <t>BE</t>
        </is>
      </c>
      <c r="F52" s="120" t="inlineStr">
        <is>
          <t>Code</t>
        </is>
      </c>
      <c r="G52" s="80" t="inlineStr">
        <is>
          <t>Deployment incident log</t>
        </is>
      </c>
      <c r="H52" s="107" t="inlineStr">
        <is>
          <t>Formerly 4S8-BE-02 (moved 2026-10-20: the game is parked). Type, severity, opened and closed times, notes. Ops history a sponsor can be shown.</t>
        </is>
      </c>
      <c r="I52" s="108" t="inlineStr">
        <is>
          <t>Blocked</t>
        </is>
      </c>
      <c r="J52" s="108" t="n">
        <v>3</v>
      </c>
      <c r="K52" s="109" t="n"/>
      <c r="L52" s="109" t="n"/>
      <c r="M52" s="110" t="n"/>
      <c r="N52" s="81" t="n">
        <v>0</v>
      </c>
      <c r="O52" s="80" t="inlineStr">
        <is>
          <t>6S8-BE-01</t>
        </is>
      </c>
      <c r="P52" s="80" t="inlineStr">
        <is>
          <t>Incidents are logged, tracked and closable with notes</t>
        </is>
      </c>
      <c r="Q52" s="82" t="inlineStr">
        <is>
          <t>Spec §30</t>
        </is>
      </c>
      <c r="R52" s="74" t="inlineStr">
        <is>
          <t>Formerly 5S8-BE-02 (Phase 5 became Phase 6, 2026-10-27).</t>
        </is>
      </c>
    </row>
    <row r="53" s="75">
      <c r="A53" s="104" t="n">
        <v>48</v>
      </c>
      <c r="B53" s="105" t="inlineStr">
        <is>
          <t>6S8-PMO-01</t>
        </is>
      </c>
      <c r="C53" s="81" t="n">
        <v>8</v>
      </c>
      <c r="D53" s="82" t="inlineStr">
        <is>
          <t>Sprint 8 · Virtual inventory screens, controls and launch</t>
        </is>
      </c>
      <c r="E53" s="138" t="inlineStr">
        <is>
          <t>PMO</t>
        </is>
      </c>
      <c r="F53" s="120" t="inlineStr">
        <is>
          <t>Document</t>
        </is>
      </c>
      <c r="G53" s="80" t="inlineStr">
        <is>
          <t>Phase 4 UAT</t>
        </is>
      </c>
      <c r="H53" s="107" t="inlineStr">
        <is>
          <t>Formerly 4S9-PMO-02 (moved 2026-10-20: the game is parked). The web application walked end to end: BTG registers a world and its placements, sells a placement into a campaign, deploys, pauses and rolls back creative, and uses the emergency pause, all from SponsorX's screens. Since 2026-10-20 nothing here needs the game.</t>
        </is>
      </c>
      <c r="I53" s="108" t="inlineStr">
        <is>
          <t>Blocked</t>
        </is>
      </c>
      <c r="J53" s="108" t="n">
        <v>5</v>
      </c>
      <c r="K53" s="109" t="n"/>
      <c r="L53" s="109" t="n"/>
      <c r="M53" s="110" t="n"/>
      <c r="N53" s="81" t="n">
        <v>0</v>
      </c>
      <c r="O53" s="80" t="inlineStr">
        <is>
          <t>6S8-FE-01, 6S8-FE-02, 6S8-FE-03, 6S8-FE-04, 6S8-BE-02</t>
        </is>
      </c>
      <c r="P53" s="80" t="inlineStr">
        <is>
          <t>Phase 6 criteria 14 and 15 demonstrated and signed off</t>
        </is>
      </c>
      <c r="Q53" s="82" t="inlineStr">
        <is>
          <t>Spec §34</t>
        </is>
      </c>
      <c r="R53" s="74" t="inlineStr">
        <is>
          <t>Changed 2026-10-16 (user): no longer waits on the pilot world (now Phase 6). | Formerly 5S8-PMO-01 (Phase 5 became Phase 6, 2026-10-27).</t>
        </is>
      </c>
    </row>
    <row r="54" s="75">
      <c r="A54" s="104" t="n">
        <v>49</v>
      </c>
      <c r="B54" s="105" t="inlineStr">
        <is>
          <t>6S8-OPS-01</t>
        </is>
      </c>
      <c r="C54" s="81" t="n">
        <v>8</v>
      </c>
      <c r="D54" s="82" t="inlineStr">
        <is>
          <t>Sprint 8 · Virtual inventory screens, controls and launch</t>
        </is>
      </c>
      <c r="E54" s="138" t="inlineStr">
        <is>
          <t>OPS</t>
        </is>
      </c>
      <c r="F54" s="120" t="inlineStr">
        <is>
          <t>Vendor console</t>
        </is>
      </c>
      <c r="G54" s="80" t="inlineStr">
        <is>
          <t>Production rollout and incident readiness</t>
        </is>
      </c>
      <c r="H54" s="107" t="inlineStr">
        <is>
          <t>Formerly 4S9-OPS-01 (moved 2026-10-20: the game is parked). Streaming, observability, scaling and an on-call path before the first paying virtual sponsor.</t>
        </is>
      </c>
      <c r="I54" s="108" t="inlineStr">
        <is>
          <t>Blocked</t>
        </is>
      </c>
      <c r="J54" s="108" t="n">
        <v>3</v>
      </c>
      <c r="K54" s="109" t="n"/>
      <c r="L54" s="109" t="n"/>
      <c r="M54" s="110" t="n"/>
      <c r="N54" s="81" t="n">
        <v>0</v>
      </c>
      <c r="O54" s="80" t="inlineStr">
        <is>
          <t>6S8-PMO-01</t>
        </is>
      </c>
      <c r="P54" s="80" t="inlineStr">
        <is>
          <t>Production rollout complete with monitoring, alerting and an incident runbook</t>
        </is>
      </c>
      <c r="Q54" s="82" t="inlineStr">
        <is>
          <t>Spec §31, §38</t>
        </is>
      </c>
      <c r="R54" s="74" t="inlineStr">
        <is>
          <t>Formerly 5S8-OPS-01 (Phase 5 became Phase 6, 2026-10-27).</t>
        </is>
      </c>
    </row>
    <row r="55" s="75"/>
  </sheetData>
  <autoFilter ref="A4:R54"/>
  <mergeCells count="2">
    <mergeCell ref="A2:R2"/>
    <mergeCell ref="A1:R1"/>
  </mergeCells>
  <conditionalFormatting sqref="I5:I5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4">
    <cfRule type="expression" rank="0" priority="7" equalAverage="0" aboveAverage="0" dxfId="32" text="" percent="0" bottom="0">
      <formula>$I5="Done"</formula>
    </cfRule>
  </conditionalFormatting>
  <conditionalFormatting sqref="N5:N54">
    <cfRule type="cellIs" rank="0" priority="8" equalAverage="0" operator="greaterThanOrEqual" aboveAverage="0" dxfId="33" text="" percent="0" bottom="0">
      <formula>50</formula>
    </cfRule>
  </conditionalFormatting>
  <dataValidations count="1">
    <dataValidation sqref="I5:I54" showDropDown="0" showInputMessage="0" showErrorMessage="0" allowBlank="1" type="list">
      <formula1>"Ready,In progress,Code review,Blocked,Done"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3"/>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Done</t>
        </is>
      </c>
      <c r="K5" s="74" t="n">
        <v>3</v>
      </c>
      <c r="L5" s="162" t="n">
        <v>46315</v>
      </c>
      <c r="M5" s="162" t="n">
        <v>46317</v>
      </c>
      <c r="N5" s="74" t="inlineStr">
        <is>
          <t>rcfworks</t>
        </is>
      </c>
      <c r="O5" s="74" t="n">
        <v>0</v>
      </c>
      <c r="Q5" s="74" t="inlineStr">
        <is>
          <t>Template delivered, versioned, approved for production use</t>
        </is>
      </c>
      <c r="R5" s="74" t="inlineStr">
        <is>
          <t>§12, §26</t>
        </is>
      </c>
      <c r="S5" s="74" t="inlineStr">
        <is>
          <t>Moved to the Legal sheet 2026-09-15. Unblocks reset to 0: no development task depends on legal approval. Approved 2026-10-22 by rcfworks with Rodney's delegated authority (SponsorX Legal folder); issued in the app as v2 (P8-BE-07).</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Done</t>
        </is>
      </c>
      <c r="K6" s="74" t="n">
        <v>1</v>
      </c>
      <c r="L6" s="162" t="n">
        <v>46315</v>
      </c>
      <c r="M6" s="162" t="n">
        <v>46317</v>
      </c>
      <c r="N6" s="74" t="inlineStr">
        <is>
          <t>rcfworks</t>
        </is>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 Approved 2026-10-22 by rcfworks with Rodney's delegated authority (SponsorX Legal folder); issued in the app as v2 (P8-BE-07). Answer: click-to-accept by a verified guardian is sufficient (Option A); no e-sign vendor.</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Done</t>
        </is>
      </c>
      <c r="K7" s="74" t="n">
        <v>3</v>
      </c>
      <c r="L7" s="162" t="n">
        <v>46315</v>
      </c>
      <c r="M7" s="162" t="n">
        <v>46317</v>
      </c>
      <c r="N7" s="74" t="inlineStr">
        <is>
          <t>rcfworks</t>
        </is>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 Approved 2026-10-22 by rcfworks with Rodney's delegated authority (SponsorX Legal folder); issued in the app as v2 (P8-BE-07).</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Done</t>
        </is>
      </c>
      <c r="K8" s="74" t="n">
        <v>3</v>
      </c>
      <c r="L8" s="162" t="n">
        <v>46315</v>
      </c>
      <c r="M8" s="162" t="n">
        <v>46317</v>
      </c>
      <c r="N8" s="74" t="inlineStr">
        <is>
          <t>rcfworks</t>
        </is>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 Approved 2026-10-22 by rcfworks with Rodney's delegated authority (SponsorX Legal folder); issued in the app as v2 (P8-BE-07).</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Athlete-responsibility wording (redefined 2026-10-20)</t>
        </is>
      </c>
      <c r="I9" s="74" t="inlineStr">
        <is>
          <t>Redefined 2026-10-20 by the programme owner: no state-by-state rules list. The athlete (or a minor's guardian) confirms they follow their own school, league and local rules (P8-BE-02); built-in limits stay for everyone; a disputed deal is paused and documents requested (P8-BE-03). Counsel approves the responsibility paragraph in the athlete agreement draft (item 1).</t>
        </is>
      </c>
      <c r="J9" s="74" t="inlineStr">
        <is>
          <t>Done</t>
        </is>
      </c>
      <c r="K9" s="74" t="n">
        <v>0.5</v>
      </c>
      <c r="L9" s="162" t="n">
        <v>46315</v>
      </c>
      <c r="M9" s="162" t="n">
        <v>46317</v>
      </c>
      <c r="N9" s="74" t="inlineStr">
        <is>
          <t>rcfworks</t>
        </is>
      </c>
      <c r="O9" s="74" t="n">
        <v>0</v>
      </c>
      <c r="Q9" s="74" t="inlineStr">
        <is>
          <t>Counsel approves the athlete-responsibility paragraph and confirmation wording (in the P0-LEG-01 draft)</t>
        </is>
      </c>
      <c r="R9" s="74" t="inlineStr">
        <is>
          <t>§26, §4</t>
        </is>
      </c>
      <c r="S9" s="74" t="inlineStr">
        <is>
          <t>Moved to the Legal sheet 2026-09-15. Unblocks reset to 0: no development task depends on legal approval. Approved 2026-10-22 by rcfworks with Rodney's delegated authority (SponsorX Legal folder); issued in the app as v2 (P8-BE-07).</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Sponsor-responsibility wording for rewards (redefined 2026-10-20)</t>
        </is>
      </c>
      <c r="I10" s="74" t="inlineStr">
        <is>
          <t>Redefined 2026-10-20 by the programme owner: BTG does not vet every reward state by state. The sponsor confirms its reward is lawful wherever offered (age limits, alcohol/cannabis/betting rules); the app runs instant rewards only (no chance, nothing to pay); BTG pauses a reward anyone objects to (existing PAUSED). Counsel approves the sponsor paragraph in the 2S0-LEG-01 draft, Part B section B7.</t>
        </is>
      </c>
      <c r="J10" s="74" t="inlineStr">
        <is>
          <t>Done</t>
        </is>
      </c>
      <c r="K10" s="74" t="n">
        <v>0.5</v>
      </c>
      <c r="L10" s="162" t="n">
        <v>46315</v>
      </c>
      <c r="M10" s="162" t="n">
        <v>46317</v>
      </c>
      <c r="N10" s="74" t="inlineStr">
        <is>
          <t>rcfworks</t>
        </is>
      </c>
      <c r="O10" s="74" t="n">
        <v>0</v>
      </c>
      <c r="Q10" s="74" t="inlineStr">
        <is>
          <t>Counsel approves the sponsor-responsibility paragraph for rewards</t>
        </is>
      </c>
      <c r="R10" s="74" t="inlineStr">
        <is>
          <t>§16</t>
        </is>
      </c>
      <c r="S10" s="74" t="inlineStr">
        <is>
          <t>Moved to the Legal sheet 2026-09-15. Unblocks reset to 0: no development task depends on legal approval. Approved 2026-10-22 by rcfworks with Rodney's delegated authority (SponsorX Legal folder); issued in the app as v2 (P8-BE-07).</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Done</t>
        </is>
      </c>
      <c r="K11" s="74" t="n">
        <v>5</v>
      </c>
      <c r="L11" s="162" t="n">
        <v>46315</v>
      </c>
      <c r="M11" s="162" t="n">
        <v>46317</v>
      </c>
      <c r="N11" s="74" t="inlineStr">
        <is>
          <t>rcfworks</t>
        </is>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 Approved 2026-10-22 by rcfworks with Rodney's delegated authority (SponsorX Legal folder); issued in the app as v2 (P8-BE-07).</t>
        </is>
      </c>
    </row>
    <row r="12">
      <c r="A12" s="74" t="inlineStr">
        <is>
          <t>Phase 2</t>
        </is>
      </c>
      <c r="B12" s="74" t="n">
        <v>5</v>
      </c>
      <c r="C12" s="74" t="inlineStr">
        <is>
          <t>2S0-LEG-02</t>
        </is>
      </c>
      <c r="D12" s="74" t="n">
        <v>0</v>
      </c>
      <c r="E12" s="74" t="inlineStr">
        <is>
          <t>Sprint 0 · Architecture &amp; design</t>
        </is>
      </c>
      <c r="F12" s="74" t="inlineStr">
        <is>
          <t>LEG</t>
        </is>
      </c>
      <c r="G12" s="74" t="inlineStr">
        <is>
          <t>External · BTG's accountant</t>
        </is>
      </c>
      <c r="H12" s="74" t="inlineStr">
        <is>
          <t>Tax position: confirm four proposed answers (redefined 2026-10-20)</t>
        </is>
      </c>
      <c r="I12" s="74" t="inlineStr">
        <is>
          <t>Proposed 2026-10-20, for BTG's accountant to confirm, not research (draft 7 in the SponsorX Legal folder): Stripe Connect collects W-9/W-8 and files 1099s for marketplace payouts; BTG finance handles managed campaign payments (Zoho Books) as for any contractor; SponsorX never stores a tax ID; a minor's form is in the minor's name. No app change; one Stripe setting at go-live.</t>
        </is>
      </c>
      <c r="J12" s="74" t="inlineStr">
        <is>
          <t>Done</t>
        </is>
      </c>
      <c r="K12" s="74" t="n">
        <v>0.5</v>
      </c>
      <c r="L12" s="162" t="n">
        <v>46315</v>
      </c>
      <c r="M12" s="162" t="n">
        <v>46317</v>
      </c>
      <c r="N12" s="74" t="inlineStr">
        <is>
          <t>rcfworks</t>
        </is>
      </c>
      <c r="O12" s="74" t="n">
        <v>0</v>
      </c>
      <c r="P12" s="74" t="inlineStr">
        <is>
          <t>2S0-PMO-02</t>
        </is>
      </c>
      <c r="Q12" s="74" t="inlineStr">
        <is>
          <t>BTG's accountant confirms (or corrects) the four proposed answers in draft 7; Stripe tax reporting switched on for connected accounts</t>
        </is>
      </c>
      <c r="R12" s="74" t="inlineStr">
        <is>
          <t>Spec §9, §10</t>
        </is>
      </c>
      <c r="S12" s="74" t="inlineStr">
        <is>
          <t>Moved to the Legal sheet 2026-09-15. Unblocks reset to 0: no development task depends on legal approval. Approved 2026-10-22 by rcfworks with Rodney's delegated authority (SponsorX Legal folder); issued in the app as v2 (P8-BE-07). The four proposed answers in document 7 confirmed; no app change; the Stripe tax-reporting switch is a go-live step.</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Done</t>
        </is>
      </c>
      <c r="K13" s="74" t="n">
        <v>3</v>
      </c>
      <c r="L13" s="162" t="n">
        <v>46315</v>
      </c>
      <c r="M13" s="162" t="n">
        <v>46317</v>
      </c>
      <c r="N13" s="74" t="inlineStr">
        <is>
          <t>rcfworks</t>
        </is>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 Approved 2026-10-22 by rcfworks with Rodney's delegated authority (SponsorX Legal folder); issued in the app as v2 (P8-BE-07). Report renamed Campaign Results Report with the approved foot note; results-screen labels are P8-FE-08.</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12.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3"/>
    <row r="4"/>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0"/>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0"/>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3"/>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5"/>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 6</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2026-10-29T11:50:03Z</dcterms:modified>
  <cp:revision>0</cp:revision>
</cp:coreProperties>
</file>