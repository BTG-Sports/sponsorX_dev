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2'!$A$4:$R$69</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2'!$I$5:$I$69,"Ready")</f>
        <v/>
      </c>
      <c r="C6" s="85">
        <f>COUNTIF('Phase 2'!$I$5:$I$69,"In progress")</f>
        <v/>
      </c>
      <c r="D6" s="85">
        <f>COUNTIF('Phase 2'!$I$5:$I$69,"Code review")</f>
        <v/>
      </c>
      <c r="E6" s="85">
        <f>COUNTIF('Phase 2'!$I$5:$I$69,"Blocked")</f>
        <v/>
      </c>
      <c r="F6" s="85">
        <f>COUNTIF('Phase 2'!$I$5:$I$69,"Done")</f>
        <v/>
      </c>
      <c r="G6" s="85">
        <f>COUNTA('Phase 2'!$B$5:$B$69)</f>
        <v/>
      </c>
      <c r="H6" s="85">
        <f>SUMIF('Phase 2'!$I$5:$I$69,"&lt;&gt;Done",'Phase 2'!$J$5:$J$69)</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2'!$F$5:$F$69,"Document")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2'!$F$5:$F$69,"Zoho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2'!$F$5:$F$69,"Vendor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2'!$F$5:$F$69,"Code")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2'!$F$5:$F$69,"Code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2'!$F$5:$F$69,"Design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2'!$F$5:$F$69,"Document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2'!$F$5:$F$69,"External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2"/>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40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Ready</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Ready</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Ready</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Ready</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Ready</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Ready</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Ready</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Ready</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In progress</t>
        </is>
      </c>
      <c r="J178" s="108" t="n">
        <v>3</v>
      </c>
      <c r="K178" s="109" t="inlineStr">
        <is>
          <t>2026-09-24</t>
        </is>
      </c>
      <c r="L178" s="109" t="n"/>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Code review</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Code review</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Blocked</t>
        </is>
      </c>
      <c r="J223" s="108" t="n">
        <v>3</v>
      </c>
      <c r="K223" s="109" t="n"/>
      <c r="L223" s="109" t="n"/>
      <c r="M223" s="110" t="n"/>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Code review</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Blocked</t>
        </is>
      </c>
      <c r="J225" s="108" t="n">
        <v>3</v>
      </c>
      <c r="K225" s="109" t="n"/>
      <c r="L225" s="109" t="n"/>
      <c r="M225" s="110" t="n"/>
      <c r="N225" s="81" t="n">
        <v>1</v>
      </c>
      <c r="O225" s="80" t="inlineStr">
        <is>
          <t>P1-FE-18</t>
        </is>
      </c>
      <c r="P225" s="80" t="inlineStr">
        <is>
          <t>Every slot's state and buyer readable in one list; filter-kit reused rather than rebuilt</t>
        </is>
      </c>
      <c r="Q225" s="82" t="inlineStr">
        <is>
          <t>Spec §8</t>
        </is>
      </c>
      <c r="R225" s="111" t="n"/>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Blocked</t>
        </is>
      </c>
      <c r="J226" s="108" t="n">
        <v>3</v>
      </c>
      <c r="K226" s="109" t="n"/>
      <c r="L226" s="109" t="n"/>
      <c r="M226" s="110" t="n"/>
      <c r="N226" s="81" t="n">
        <v>1</v>
      </c>
      <c r="O226" s="80" t="inlineStr">
        <is>
          <t>P1-FE-18</t>
        </is>
      </c>
      <c r="P226" s="80" t="inlineStr">
        <is>
          <t>A split reads per edition and is visibly distinct from the athlete earnings surface</t>
        </is>
      </c>
      <c r="Q226" s="82" t="inlineStr">
        <is>
          <t>Spec §5.3, §8</t>
        </is>
      </c>
      <c r="R226" s="111" t="n"/>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Blocked</t>
        </is>
      </c>
      <c r="J244" s="108" t="n">
        <v>5</v>
      </c>
      <c r="K244" s="109" t="n"/>
      <c r="L244" s="109" t="n"/>
      <c r="M244" s="110" t="n"/>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Blocked</t>
        </is>
      </c>
      <c r="J246" s="108" t="n">
        <v>5</v>
      </c>
      <c r="K246" s="109" t="n"/>
      <c r="L246" s="109" t="n"/>
      <c r="M246" s="110" t="n"/>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n"/>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Blocked</t>
        </is>
      </c>
      <c r="J247" s="108" t="n">
        <v>3</v>
      </c>
      <c r="K247" s="109" t="n"/>
      <c r="L247" s="109" t="n"/>
      <c r="M247" s="110" t="n"/>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sheetData>
  <autoFilter ref="A4:R253"/>
  <mergeCells count="2">
    <mergeCell ref="A2:R2"/>
    <mergeCell ref="A1:R1"/>
  </mergeCells>
  <conditionalFormatting sqref="I5:I25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3">
    <cfRule type="expression" rank="0" priority="7" equalAverage="0" aboveAverage="0" dxfId="32" text="" percent="0" bottom="0">
      <formula>$I5="Done"</formula>
    </cfRule>
  </conditionalFormatting>
  <conditionalFormatting sqref="N5:N253">
    <cfRule type="cellIs" rank="0" priority="8" equalAverage="0" operator="greaterThanOrEqual" aboveAverage="0" dxfId="33" text="" percent="0" bottom="0">
      <formula>50</formula>
    </cfRule>
  </conditionalFormatting>
  <dataValidations count="1">
    <dataValidation sqref="I5:I25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65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Blocked</t>
        </is>
      </c>
      <c r="J67" s="108" t="n">
        <v>3</v>
      </c>
      <c r="K67" s="109" t="n"/>
      <c r="L67" s="109" t="n"/>
      <c r="M67" s="110" t="n"/>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Raised 2026-09-24 — deferred from Phase 1 by business decision.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Blocked</t>
        </is>
      </c>
      <c r="J68" s="108" t="n">
        <v>3</v>
      </c>
      <c r="K68" s="109" t="n"/>
      <c r="L68" s="109" t="n"/>
      <c r="M68" s="110" t="n"/>
      <c r="N68" s="85" t="n"/>
      <c r="O68" s="84" t="inlineStr">
        <is>
          <t>2S6-BE-03, P8-INT-01</t>
        </is>
      </c>
      <c r="P68" s="84" t="inlineStr">
        <is>
          <t>Claims with sponsor-contact consent enqueue zoho.pushLead; claims without it, or withdrawn, never do — excluded at query level</t>
        </is>
      </c>
      <c r="Q68" s="86" t="inlineStr">
        <is>
          <t>§18</t>
        </is>
      </c>
      <c r="R68" s="111" t="inlineStr">
        <is>
          <t>Moved from Phase 1 (P6-INT-01) on 2026-09-24.</t>
        </is>
      </c>
    </row>
    <row r="69">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Blocked</t>
        </is>
      </c>
      <c r="J69" s="108" t="n">
        <v>3</v>
      </c>
      <c r="K69" s="109" t="n"/>
      <c r="L69" s="109" t="n"/>
      <c r="M69" s="110" t="n"/>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Moved from Phase 1 (P7-BE-06) on 2026-09-24 — G-07 chose a print stylesheet for Phase 1.</t>
        </is>
      </c>
    </row>
  </sheetData>
  <autoFilter ref="A4:R69"/>
  <mergeCells count="2">
    <mergeCell ref="A2:R2"/>
    <mergeCell ref="A1:R1"/>
  </mergeCells>
  <conditionalFormatting sqref="I5:I6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9">
    <cfRule type="expression" rank="0" priority="7" equalAverage="0" aboveAverage="0" dxfId="32" text="" percent="0" bottom="0">
      <formula>$I5="Done"</formula>
    </cfRule>
  </conditionalFormatting>
  <conditionalFormatting sqref="N5:N69">
    <cfRule type="cellIs" rank="0" priority="8" equalAverage="0" operator="greaterThanOrEqual" aboveAverage="0" dxfId="33" text="" percent="0" bottom="0">
      <formula>50</formula>
    </cfRule>
  </conditionalFormatting>
  <dataValidations count="1">
    <dataValidation sqref="I5:I6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2026-09-24T12:37:40Z</dcterms:modified>
  <cp:revision>0</cp:revision>
</cp:coreProperties>
</file>