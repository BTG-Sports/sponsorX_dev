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hase 1" sheetId="4" state="visible" r:id="rId4"/>
    <sheet name="Phase 2" sheetId="5" state="visible" r:id="rId5"/>
    <sheet name="Phase 3" sheetId="6" state="visible" r:id="rId6"/>
    <sheet name="Phase 4" sheetId="7" state="visible" r:id="rId7"/>
    <sheet name="Legal" sheetId="8" state="visible" r:id="rId8"/>
    <sheet name="Legend" sheetId="9" state="visible" r:id="rId9"/>
  </sheets>
  <definedNames>
    <definedName name="_xlnm._FilterDatabase" localSheetId="3" hidden="1">'Phase 1'!$A$4:$R$266</definedName>
    <definedName name="_xlnm._FilterDatabase" localSheetId="4" hidden="1">'Phase 2'!$A$4:$R$72</definedName>
    <definedName name="_xlnm._FilterDatabase" localSheetId="5" hidden="1">'Phase 3'!$A$4:$R$48</definedName>
    <definedName name="_xlnm._FilterDatabase" localSheetId="6" hidden="1">'Phase 4'!$A$4:$R$55</definedName>
    <definedName name="_xlnm._FilterDatabase" localSheetId="7"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3">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354 tasks. Each phase has its own sheet. Every task says where the work physically happens.</t>
        </is>
      </c>
    </row>
    <row r="3"/>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0"/>
    <row r="11"/>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2"/>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29"/>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3"/>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 Counts cover the 351 delivery tasks only — the 9 legal/counsel tasks moved to the Legal sheet on 2026-09-15 and are tracked there (360 total). 'External · counsel' therefore reads 0 here.</t>
        </is>
      </c>
    </row>
    <row r="3"/>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2'!$I$5:$I$72,"Ready")</f>
        <v/>
      </c>
      <c r="C6" s="85">
        <f>COUNTIF('Phase 2'!$I$5:$I$72,"In progress")</f>
        <v/>
      </c>
      <c r="D6" s="85">
        <f>COUNTIF('Phase 2'!$I$5:$I$72,"Code review")</f>
        <v/>
      </c>
      <c r="E6" s="85">
        <f>COUNTIF('Phase 2'!$I$5:$I$72,"Blocked")</f>
        <v/>
      </c>
      <c r="F6" s="85">
        <f>COUNTIF('Phase 2'!$I$5:$I$72,"Done")</f>
        <v/>
      </c>
      <c r="G6" s="85">
        <f>COUNTA('Phase 2'!$B$5:$B$72)</f>
        <v/>
      </c>
      <c r="H6" s="85">
        <f>SUMIF('Phase 2'!$I$5:$I$72,"&lt;&gt;Done",'Phase 2'!$J$5:$J$72)</f>
        <v/>
      </c>
    </row>
    <row r="7" ht="15" customHeight="1" s="75">
      <c r="A7" s="95" t="inlineStr">
        <is>
          <t>Phase 3</t>
        </is>
      </c>
      <c r="B7" s="81">
        <f>COUNTIF('Phase 3'!$I$5:$I$48,"Ready")</f>
        <v/>
      </c>
      <c r="C7" s="81">
        <f>COUNTIF('Phase 3'!$I$5:$I$48,"In progress")</f>
        <v/>
      </c>
      <c r="D7" s="81">
        <f>COUNTIF('Phase 3'!$I$5:$I$48,"Code review")</f>
        <v/>
      </c>
      <c r="E7" s="81">
        <f>COUNTIF('Phase 3'!$I$5:$I$48,"Blocked")</f>
        <v/>
      </c>
      <c r="F7" s="81">
        <f>COUNTIF('Phase 3'!$I$5:$I$48,"Done")</f>
        <v/>
      </c>
      <c r="G7" s="81">
        <f>COUNTA('Phase 3'!$B$5:$B$48)</f>
        <v/>
      </c>
      <c r="H7" s="81">
        <f>SUMIF('Phase 3'!$I$5:$I$48,"&lt;&gt;Done",'Phase 3'!$J$5:$J$48)</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0"/>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1'!$F$5:$F$400,"Document")</f>
        <v/>
      </c>
      <c r="C13" s="81">
        <f>COUNTIF('Phase 2'!$F$5:$F$72,"Document")</f>
        <v/>
      </c>
      <c r="D13" s="81">
        <f>COUNTIF('Phase 3'!$F$5:$F$48,"Document")</f>
        <v/>
      </c>
      <c r="E13" s="81">
        <f>COUNTIF('Phase 4'!$F$5:$F$55,"Document")</f>
        <v/>
      </c>
      <c r="F13" s="81">
        <f>SUM(B13:E13)</f>
        <v/>
      </c>
    </row>
    <row r="14" ht="15" customHeight="1" s="75">
      <c r="A14" s="98" t="inlineStr">
        <is>
          <t>Zoho dashboard</t>
        </is>
      </c>
      <c r="B14" s="81">
        <f>COUNTIF('Phase 1'!$F$5:$F$400,"Zoho dashboard")</f>
        <v/>
      </c>
      <c r="C14" s="81">
        <f>COUNTIF('Phase 2'!$F$5:$F$72,"Zoho dashboard")</f>
        <v/>
      </c>
      <c r="D14" s="81">
        <f>COUNTIF('Phase 3'!$F$5:$F$48,"Zoho dashboard")</f>
        <v/>
      </c>
      <c r="E14" s="81">
        <f>COUNTIF('Phase 4'!$F$5:$F$55,"Zoho dashboard")</f>
        <v/>
      </c>
      <c r="F14" s="81">
        <f>SUM(B14:E14)</f>
        <v/>
      </c>
    </row>
    <row r="15" ht="15" customHeight="1" s="75">
      <c r="A15" s="99" t="inlineStr">
        <is>
          <t>Vendor console</t>
        </is>
      </c>
      <c r="B15" s="81">
        <f>COUNTIF('Phase 1'!$F$5:$F$400,"Vendor console")</f>
        <v/>
      </c>
      <c r="C15" s="81">
        <f>COUNTIF('Phase 2'!$F$5:$F$72,"Vendor console")</f>
        <v/>
      </c>
      <c r="D15" s="81">
        <f>COUNTIF('Phase 3'!$F$5:$F$48,"Vendor console")</f>
        <v/>
      </c>
      <c r="E15" s="81">
        <f>COUNTIF('Phase 4'!$F$5:$F$55,"Vendor console")</f>
        <v/>
      </c>
      <c r="F15" s="81">
        <f>SUM(B15:E15)</f>
        <v/>
      </c>
    </row>
    <row r="16" ht="15" customHeight="1" s="75">
      <c r="A16" s="100" t="inlineStr">
        <is>
          <t>Code</t>
        </is>
      </c>
      <c r="B16" s="81">
        <f>COUNTIF('Phase 1'!$F$5:$F$400,"Code")</f>
        <v/>
      </c>
      <c r="C16" s="81">
        <f>COUNTIF('Phase 2'!$F$5:$F$72,"Code")</f>
        <v/>
      </c>
      <c r="D16" s="81">
        <f>COUNTIF('Phase 3'!$F$5:$F$48,"Code")</f>
        <v/>
      </c>
      <c r="E16" s="81">
        <f>COUNTIF('Phase 4'!$F$5:$F$55,"Code")</f>
        <v/>
      </c>
      <c r="F16" s="81">
        <f>SUM(B16:E16)</f>
        <v/>
      </c>
    </row>
    <row r="17" ht="15" customHeight="1" s="75">
      <c r="A17" s="99" t="inlineStr">
        <is>
          <t>Code + console</t>
        </is>
      </c>
      <c r="B17" s="81">
        <f>COUNTIF('Phase 1'!$F$5:$F$400,"Code + console")</f>
        <v/>
      </c>
      <c r="C17" s="81">
        <f>COUNTIF('Phase 2'!$F$5:$F$72,"Code + console")</f>
        <v/>
      </c>
      <c r="D17" s="81">
        <f>COUNTIF('Phase 3'!$F$5:$F$48,"Code + console")</f>
        <v/>
      </c>
      <c r="E17" s="81">
        <f>COUNTIF('Phase 4'!$F$5:$F$55,"Code + console")</f>
        <v/>
      </c>
      <c r="F17" s="81">
        <f>SUM(B17:E17)</f>
        <v/>
      </c>
    </row>
    <row r="18" ht="15" customHeight="1" s="75">
      <c r="A18" s="101" t="inlineStr">
        <is>
          <t>Design tool</t>
        </is>
      </c>
      <c r="B18" s="81">
        <f>COUNTIF('Phase 1'!$F$5:$F$400,"Design tool")</f>
        <v/>
      </c>
      <c r="C18" s="81">
        <f>COUNTIF('Phase 2'!$F$5:$F$72,"Design tool")</f>
        <v/>
      </c>
      <c r="D18" s="81">
        <f>COUNTIF('Phase 3'!$F$5:$F$48,"Design tool")</f>
        <v/>
      </c>
      <c r="E18" s="81">
        <f>COUNTIF('Phase 4'!$F$5:$F$55,"Design tool")</f>
        <v/>
      </c>
      <c r="F18" s="81">
        <f>SUM(B18:E18)</f>
        <v/>
      </c>
    </row>
    <row r="19" ht="15" customHeight="1" s="75">
      <c r="A19" s="97" t="inlineStr">
        <is>
          <t>Document + code</t>
        </is>
      </c>
      <c r="B19" s="81">
        <f>COUNTIF('Phase 1'!$F$5:$F$400,"Document + code")</f>
        <v/>
      </c>
      <c r="C19" s="81">
        <f>COUNTIF('Phase 2'!$F$5:$F$72,"Document + code")</f>
        <v/>
      </c>
      <c r="D19" s="81">
        <f>COUNTIF('Phase 3'!$F$5:$F$48,"Document + code")</f>
        <v/>
      </c>
      <c r="E19" s="81">
        <f>COUNTIF('Phase 4'!$F$5:$F$55,"Document + code")</f>
        <v/>
      </c>
      <c r="F19" s="81">
        <f>SUM(B19:E19)</f>
        <v/>
      </c>
    </row>
    <row r="20" ht="15" customHeight="1" s="75">
      <c r="A20" s="102" t="inlineStr">
        <is>
          <t>External · counsel</t>
        </is>
      </c>
      <c r="B20" s="81">
        <f>COUNTIF('Phase 1'!$F$5:$F$400,"External · counsel")</f>
        <v/>
      </c>
      <c r="C20" s="81">
        <f>COUNTIF('Phase 2'!$F$5:$F$72,"External · counsel")</f>
        <v/>
      </c>
      <c r="D20" s="81">
        <f>COUNTIF('Phase 3'!$F$5:$F$48,"External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26"/>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3"/>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6"/>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19</v>
      </c>
      <c r="E22" s="74" t="n">
        <v>18</v>
      </c>
      <c r="F22" s="74" t="n">
        <v>10</v>
      </c>
      <c r="G22" s="74" t="n">
        <v>11</v>
      </c>
      <c r="H22" s="74" t="n">
        <v>11</v>
      </c>
      <c r="I22" s="74" t="n">
        <v>12</v>
      </c>
      <c r="J22" s="74" t="n">
        <v>12</v>
      </c>
      <c r="K22" s="74" t="n">
        <v>0</v>
      </c>
      <c r="L22" s="74" t="n">
        <v>139</v>
      </c>
      <c r="M22" s="74" t="n">
        <v>308</v>
      </c>
    </row>
    <row r="23">
      <c r="A23" s="74" t="inlineStr">
        <is>
          <t>2026-09-25</t>
        </is>
      </c>
      <c r="B23" s="74" t="n">
        <v>25</v>
      </c>
      <c r="C23" s="74" t="n">
        <v>21</v>
      </c>
      <c r="D23" s="74" t="n">
        <v>19</v>
      </c>
      <c r="E23" s="74" t="n">
        <v>18</v>
      </c>
      <c r="F23" s="74" t="n">
        <v>10</v>
      </c>
      <c r="G23" s="74" t="n">
        <v>11</v>
      </c>
      <c r="H23" s="74" t="n">
        <v>11</v>
      </c>
      <c r="I23" s="74" t="n">
        <v>12</v>
      </c>
      <c r="J23" s="74" t="n">
        <v>13</v>
      </c>
      <c r="K23" s="74" t="n">
        <v>0</v>
      </c>
      <c r="L23" s="74" t="n">
        <v>140</v>
      </c>
      <c r="M23" s="74" t="n">
        <v>305</v>
      </c>
    </row>
    <row r="24">
      <c r="A24" s="74" t="inlineStr">
        <is>
          <t>2026-09-28</t>
        </is>
      </c>
      <c r="B24" s="74" t="n">
        <v>25</v>
      </c>
      <c r="C24" s="74" t="n">
        <v>38</v>
      </c>
      <c r="D24" s="74" t="n">
        <v>19</v>
      </c>
      <c r="E24" s="74" t="n">
        <v>24</v>
      </c>
      <c r="F24" s="74" t="n">
        <v>16</v>
      </c>
      <c r="G24" s="74" t="n">
        <v>17</v>
      </c>
      <c r="H24" s="74" t="n">
        <v>17</v>
      </c>
      <c r="I24" s="74" t="n">
        <v>19</v>
      </c>
      <c r="J24" s="74" t="n">
        <v>18</v>
      </c>
      <c r="K24" s="74" t="n">
        <v>26</v>
      </c>
      <c r="L24" s="74" t="n">
        <v>219</v>
      </c>
      <c r="M24" s="74" t="n">
        <v>77</v>
      </c>
    </row>
    <row r="25">
      <c r="A25" s="74" t="inlineStr">
        <is>
          <t>2026-09-29</t>
        </is>
      </c>
      <c r="B25" s="74" t="n">
        <v>25</v>
      </c>
      <c r="C25" s="74" t="n">
        <v>38</v>
      </c>
      <c r="D25" s="74" t="n">
        <v>21</v>
      </c>
      <c r="E25" s="74" t="n">
        <v>26</v>
      </c>
      <c r="F25" s="74" t="n">
        <v>16</v>
      </c>
      <c r="G25" s="74" t="n">
        <v>17</v>
      </c>
      <c r="H25" s="74" t="n">
        <v>17</v>
      </c>
      <c r="I25" s="74" t="n">
        <v>19</v>
      </c>
      <c r="J25" s="74" t="n">
        <v>18</v>
      </c>
      <c r="K25" s="74" t="n">
        <v>26</v>
      </c>
      <c r="L25" s="74" t="n">
        <v>223</v>
      </c>
      <c r="M25" s="74" t="n">
        <v>79</v>
      </c>
    </row>
    <row r="26">
      <c r="A26" s="74" t="inlineStr">
        <is>
          <t>2026-09-30</t>
        </is>
      </c>
      <c r="B26" s="74" t="n">
        <v>25</v>
      </c>
      <c r="C26" s="74" t="n">
        <v>38</v>
      </c>
      <c r="D26" s="74" t="n">
        <v>21</v>
      </c>
      <c r="E26" s="74" t="n">
        <v>26</v>
      </c>
      <c r="F26" s="74" t="n">
        <v>16</v>
      </c>
      <c r="G26" s="74" t="n">
        <v>17</v>
      </c>
      <c r="H26" s="74" t="n">
        <v>17</v>
      </c>
      <c r="I26" s="74" t="n">
        <v>19</v>
      </c>
      <c r="J26" s="74" t="n">
        <v>18</v>
      </c>
      <c r="K26" s="74" t="n">
        <v>26</v>
      </c>
      <c r="L26" s="74" t="n">
        <v>223</v>
      </c>
      <c r="M26" s="74" t="n">
        <v>92</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R266"/>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256 tasks · 615 person-days · the loop that must work before anything else is built · Stage 9 (SponsorX NEXT, spec v2.0) is gated, not queued</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In progress</t>
        </is>
      </c>
      <c r="J14" s="108" t="n">
        <v>1</v>
      </c>
      <c r="K14" s="109" t="inlineStr">
        <is>
          <t>2026-09-18</t>
        </is>
      </c>
      <c r="L14" s="109" t="n"/>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 | 2026-09-28: sponsorx.net NOW SERVES PRODUCTION. Railway custom domain on production web (CNAME @ → c0ojxycv.up.railway.app, DNS only; TXT _railway-verify), verified, TLS certificate valid; public pages 200, portals redirect to /login, sign-in page uses the live Clerk instance (clerk.sponsorx.net). Records added in the Cloudflare dashboard by the user — the repo's CLOUDFLARE_API_TOKEN is account-scoped with no DNS permission on the zone. Row stays In progress: auto-renew + registrar lock and the stack-decision.md note are the acceptance items not yet confirmed.</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In progress</t>
        </is>
      </c>
      <c r="J15" s="108" t="n">
        <v>1</v>
      </c>
      <c r="K15" s="109" t="inlineStr">
        <is>
          <t>2026-09-14</t>
        </is>
      </c>
      <c r="L15" s="109" t="n"/>
      <c r="M15" s="110" t="inlineStr">
        <is>
          <t>rcfworks</t>
        </is>
      </c>
      <c r="N15" s="85" t="n">
        <v>2</v>
      </c>
      <c r="O15" s="84" t="n"/>
      <c r="P15" s="84" t="inlineStr">
        <is>
          <t>Both instances exist; MFA available for privileged roles</t>
        </is>
      </c>
      <c r="Q15" s="86" t="inlineStr">
        <is>
          <t>Addendum A4, §26</t>
        </is>
      </c>
      <c r="R15"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In progress</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In progress</t>
        </is>
      </c>
      <c r="J57" s="108" t="n">
        <v>3</v>
      </c>
      <c r="K57" s="109" t="inlineStr">
        <is>
          <t>2026-09-18</t>
        </is>
      </c>
      <c r="L57" s="109" t="n"/>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2026-09-24</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 | 2026-09-24: Done at the user's instruction — acceptance confirmed met.</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Done</t>
        </is>
      </c>
      <c r="J63" s="108" t="n">
        <v>3</v>
      </c>
      <c r="K63" s="109" t="inlineStr">
        <is>
          <t>2026-09-18</t>
        </is>
      </c>
      <c r="L63" s="109" t="inlineStr">
        <is>
          <t>2026-09-29</t>
        </is>
      </c>
      <c r="M63" s="110" t="inlineStr">
        <is>
          <t>HeckerCreatives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 2026-09-29 (HeckerCreatives, taken over from rcfworks at the user's instruction): the remaining fixture-only screens wired live, fixtures kept for ?demo=. Sponsor Campaigns list + campaign detail (GET /campaigns + /campaigns/:id/ops; another sponsor's id is 'not found'); admin Operations Board (money/pacing from /campaigns, the four queues from the desks' own lists, integration health, audit log; a 403 section says 'not in your role'); athlete home (own invitations/deliverables/earnings/profile + guardian readiness gate); property portal (/properties/mine + /team/roster); public /properties/[slug] on NEW GET /public/properties/:slug (adults named, minors counted never named - confirm policy); public /brief now actually submits (POST /public/inquiries -&gt; Inquiry + queued Zoho Lead); athlete profile editor seeded from /athletes/me, socials save via PUT, other sections say 'ask BTG' (user decision; raised P3-BE-15). Portal chrome was already real (QA pass 5). Left demo-only by design: /sponsor/marketplace/[jobId] (only reachable from the demo media tab). Verified: backend 1700/1700, frontend 386/386, lint + build green, 8 signed-in browser walks green, 0 console errors, 0px overflow at 390. 2026-09-29 QA passes 7+8 (Memory/2026-09-29/qa-pass7.md, qa-pass8.md): 15 findings; fixed F-1..F-6, F-9..F-13, F-15 the same day - NUL-byte 500s on public slugs, brief draft loss on failed send, unlinked athlete/property states, GET /campaigns paged (+ new GET /campaigns/:id) so counts and money no longer stop at 100, saveSocials returns errors instead of throwing, long-name wrap, outage vs not-found on the public property page, radio-group arrow keys, Dockerfile HOSTNAME. Open for the team: F-7 public notFound returns 200 under (public)/loading.tsx; F-8 SPONSOR_ANALYST spend visibility policy. Re-verified: backend 1711/1711, frontend 391/391, build green, re-test walks green. QA pass 9 (Memory/2026-09-29/qa-pass9.md): static review + official e2e (15/7/0) + scale/axe probes; fixed F-16 (HIGH: public school page named FEATURED minors with no recorded age - now confirmed adults only), F-17 (raw NUL bytes made 3 sources binary), F-18 (athlete socials save erased BTG-verified rows), F-19 (row-id cursor -&gt; keyset: no silent truncation, no cross-tenant id oracle), F-20 (brief timeout copy), F-21..F-23. Backend 1720/1720, frontend 391/391, build green. Check pass (Memory/2026-09-29/check-pass.md): 14 roles x every page + access matrix + axe; fixed C-1 (role-aware admin desks + nav via lib/admin-access.ts, Not in your role instead of sample desks), C-2 (guardian demo notices), C-3 (campaign detail role state), C-4 (brief picker contrast), C-5 (SX-03 notice). Pagination design + live API paging contract verified on every 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In progress</t>
        </is>
      </c>
      <c r="J68" s="108" t="n">
        <v>3</v>
      </c>
      <c r="K68" s="109" t="inlineStr">
        <is>
          <t>2026-09-18</t>
        </is>
      </c>
      <c r="L68" s="109" t="n"/>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In progress</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In progress</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Done</t>
        </is>
      </c>
      <c r="J84" s="108" t="n">
        <v>3</v>
      </c>
      <c r="K84" s="109" t="inlineStr">
        <is>
          <t>2026-09-24</t>
        </is>
      </c>
      <c r="L84" s="109" t="inlineStr">
        <is>
          <t>2026-09-24</t>
        </is>
      </c>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 | 2026-09-24: Done at the user's instruction — acceptance confirmed met.</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Done</t>
        </is>
      </c>
      <c r="J85" s="108" t="n">
        <v>3</v>
      </c>
      <c r="K85" s="109" t="inlineStr">
        <is>
          <t>2026-09-25</t>
        </is>
      </c>
      <c r="L85" s="109" t="inlineStr">
        <is>
          <t>2026-09-25</t>
        </is>
      </c>
      <c r="M85" s="110" t="inlineStr">
        <is>
          <t>HeckerCreatives</t>
        </is>
      </c>
      <c r="N85" s="81" t="n">
        <v>1</v>
      </c>
      <c r="O85" s="80" t="inlineStr">
        <is>
          <t>P3-BE-07</t>
        </is>
      </c>
      <c r="P85" s="80" t="inlineStr">
        <is>
          <t>Real applications appear; approve / request-changes / reject all work; the score factor snapshot renders</t>
        </is>
      </c>
      <c r="Q85" s="82" t="inlineStr">
        <is>
          <t>§23</t>
        </is>
      </c>
      <c r="R85" s="111" t="inlineStr">
        <is>
          <t>Wired live (P3-FE-02): GET /applications now carries the latest rules-v1 snapshot; desk live mode does begin-review/approve/request-changes/reject via server actions; verified by a signed-in headless walk (24 checks) incl. persistence across reload.</t>
        </is>
      </c>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Done</t>
        </is>
      </c>
      <c r="J88" s="108" t="n">
        <v>3</v>
      </c>
      <c r="K88" s="109" t="inlineStr">
        <is>
          <t>2026-09-24</t>
        </is>
      </c>
      <c r="L88" s="109" t="inlineStr">
        <is>
          <t>2026-09-24</t>
        </is>
      </c>
      <c r="M88" s="110" t="inlineStr">
        <is>
          <t>HeckerCreatives</t>
        </is>
      </c>
      <c r="N88" s="85" t="n"/>
      <c r="O88" s="84" t="inlineStr">
        <is>
          <t>P3-BE-01</t>
        </is>
      </c>
      <c r="P88" s="84" t="inlineStr">
        <is>
          <t>A real application submits, validates and persists; the guardian branch appears for minors</t>
        </is>
      </c>
      <c r="Q88" s="86" t="inlineStr">
        <is>
          <t>§11</t>
        </is>
      </c>
      <c r="R88" s="111" t="inlineStr">
        <is>
          <t>Wired 2026-09-24 via a server action (API_URL server-side). Verified end to end: headless browser submitted a minor's application through the real wizard into Postgres. Surfaced+fixed: ZodError answered 500 - errorBody() maps validation to 400 with named issues for all contract routes.</t>
        </is>
      </c>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Done</t>
        </is>
      </c>
      <c r="J89" s="108" t="n">
        <v>3</v>
      </c>
      <c r="K89" s="109" t="inlineStr">
        <is>
          <t>2026-09-25</t>
        </is>
      </c>
      <c r="L89" s="109" t="inlineStr">
        <is>
          <t>2026-09-25</t>
        </is>
      </c>
      <c r="M89" s="110" t="inlineStr">
        <is>
          <t>HeckerCreatives</t>
        </is>
      </c>
      <c r="N89" s="81" t="n"/>
      <c r="O89" s="80" t="inlineStr">
        <is>
          <t>P3-BE-04</t>
        </is>
      </c>
      <c r="P89" s="80" t="inlineStr">
        <is>
          <t>Real profile data renders; the completion meter reflects actual §11 section state</t>
        </is>
      </c>
      <c r="Q89" s="82" t="inlineStr">
        <is>
          <t>§24</t>
        </is>
      </c>
      <c r="R89" s="111" t="inlineStr">
        <is>
          <t>Wired live (P3-FE-03): new GET /athletes/me; meter derived per §11 section (payment honestly not-collected, excluded from %); signed-in athlete walk 12/12; portal chrome now greets the real user.</t>
        </is>
      </c>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Done</t>
        </is>
      </c>
      <c r="J90" s="108" t="n">
        <v>1</v>
      </c>
      <c r="K90" s="109" t="inlineStr">
        <is>
          <t>2026-09-25</t>
        </is>
      </c>
      <c r="L90" s="109" t="inlineStr">
        <is>
          <t>2026-09-25</t>
        </is>
      </c>
      <c r="M90" s="110" t="inlineStr">
        <is>
          <t>HeckerCreatives</t>
        </is>
      </c>
      <c r="N90" s="85" t="n"/>
      <c r="O90" s="84" t="inlineStr">
        <is>
          <t>P3-BE-09</t>
        </is>
      </c>
      <c r="P90" s="84" t="inlineStr">
        <is>
          <t>An athlete sees their own rates; no other athlete's rates are reachable</t>
        </is>
      </c>
      <c r="Q90" s="86" t="inlineStr">
        <is>
          <t>§24, Guide §04</t>
        </is>
      </c>
      <c r="R90" s="111" t="inlineStr">
        <is>
          <t>Wired live (P3-FE-04): rate card renders on the profile's private Rates section via GET /athletes/{id}/rates (readRateCard now carries the job NAME, never sponsorPrice); own-scope isolation is P3-BE-09's tests; live walk proved a real rate rendering.</t>
        </is>
      </c>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Done</t>
        </is>
      </c>
      <c r="J91" s="108" t="n">
        <v>1</v>
      </c>
      <c r="K91" s="109" t="inlineStr">
        <is>
          <t>2026-09-25</t>
        </is>
      </c>
      <c r="L91" s="109" t="inlineStr">
        <is>
          <t>2026-09-25</t>
        </is>
      </c>
      <c r="M91" s="110" t="inlineStr">
        <is>
          <t>HeckerCreatives</t>
        </is>
      </c>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Wired live (P3-FE-05): new public GET /public/catalogue/packages sharing the sponsor read's PACKAGE_SELECT (athlete pay absent by construction); /packages prefers real rows with job-code line items, fixture grid only as outage fallback (footer already declares prices indicative). Verified live: 6 real packages, no pay leak.</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Done</t>
        </is>
      </c>
      <c r="J93" s="108" t="n">
        <v>3</v>
      </c>
      <c r="K93" s="109" t="inlineStr">
        <is>
          <t>2026-09-28</t>
        </is>
      </c>
      <c r="L93" s="109" t="inlineStr">
        <is>
          <t>2026-09-28</t>
        </is>
      </c>
      <c r="M93" s="110" t="inlineStr">
        <is>
          <t>HeckerCreatives</t>
        </is>
      </c>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Code review</t>
        </is>
      </c>
      <c r="J100" s="108" t="n">
        <v>3</v>
      </c>
      <c r="K100" s="109" t="inlineStr">
        <is>
          <t>2026-09-24</t>
        </is>
      </c>
      <c r="L100" s="109" t="n"/>
      <c r="M100" s="110" t="inlineStr">
        <is>
          <t>rcfworks</t>
        </is>
      </c>
      <c r="N100" s="85" t="n">
        <v>1</v>
      </c>
      <c r="O100" s="84" t="inlineStr">
        <is>
          <t>P4-BE-02</t>
        </is>
      </c>
      <c r="P100" s="84" t="inlineStr">
        <is>
          <t>A sponsor browses real packages and inventory and submits a real brief — request/reserve, not self-checkout</t>
        </is>
      </c>
      <c r="Q100" s="86" t="inlineStr">
        <is>
          <t>§17, §9 screen 4</t>
        </is>
      </c>
      <c r="R100" s="111" t="inlineStr">
        <is>
          <t>2026-09-24: A signed-in SPONSOR_ADMIN/ANALYST sees the REAL catalogue (new GET /catalogue/packages and /catalogue/jobs — sponsor prices only) and the brief drawer files a REAL brief through the submitBrief server function → POST /briefs → DRAFT (request, not checkout). Demo/?demo= and signed-out keep the fixture demo; the media tab is hidden live (no Phase 1 model). Category is now the closed vocabulary (frontend copy pinned to the backend's). Proven: frontend tests/marketplace-live.test.ts; backend tests/brief-contract.test.ts imports the frontend's own mapping, parses it with CampaignBriefInput and files it through the API as a signed-in sponsor (201 DRAFT, fields stored; another sponsor's id → 403). /me now returns sponsorId.</t>
        </is>
      </c>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Done</t>
        </is>
      </c>
      <c r="J101" s="108" t="n">
        <v>3</v>
      </c>
      <c r="K101" s="109" t="inlineStr">
        <is>
          <t>2026-09-25</t>
        </is>
      </c>
      <c r="L101" s="109" t="inlineStr">
        <is>
          <t>2026-09-28</t>
        </is>
      </c>
      <c r="M101" s="110" t="inlineStr">
        <is>
          <t>HeckerCreatives</t>
        </is>
      </c>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Done</t>
        </is>
      </c>
      <c r="J104" s="108" t="n">
        <v>5</v>
      </c>
      <c r="K104" s="109" t="inlineStr">
        <is>
          <t>2026-09-28</t>
        </is>
      </c>
      <c r="L104" s="109" t="inlineStr">
        <is>
          <t>2026-09-28</t>
        </is>
      </c>
      <c r="M104" s="110" t="inlineStr">
        <is>
          <t>HeckerCreatives</t>
        </is>
      </c>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Done</t>
        </is>
      </c>
      <c r="J105" s="108" t="n">
        <v>3</v>
      </c>
      <c r="K105" s="109" t="inlineStr">
        <is>
          <t>2026-09-28</t>
        </is>
      </c>
      <c r="L105" s="109" t="inlineStr">
        <is>
          <t>2026-09-28</t>
        </is>
      </c>
      <c r="M105" s="110" t="inlineStr">
        <is>
          <t>HeckerCreatives</t>
        </is>
      </c>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Done</t>
        </is>
      </c>
      <c r="J106" s="108" t="n">
        <v>3</v>
      </c>
      <c r="K106" s="109" t="inlineStr">
        <is>
          <t>2026-09-28</t>
        </is>
      </c>
      <c r="L106" s="109" t="inlineStr">
        <is>
          <t>2026-09-28</t>
        </is>
      </c>
      <c r="M106" s="110" t="inlineStr">
        <is>
          <t>HeckerCreatives</t>
        </is>
      </c>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Done</t>
        </is>
      </c>
      <c r="J108" s="108" t="n">
        <v>3</v>
      </c>
      <c r="K108" s="109" t="inlineStr">
        <is>
          <t>2026-09-28</t>
        </is>
      </c>
      <c r="L108" s="109" t="inlineStr">
        <is>
          <t>2026-09-28</t>
        </is>
      </c>
      <c r="M108" s="110" t="inlineStr">
        <is>
          <t>HeckerCreatives</t>
        </is>
      </c>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Done</t>
        </is>
      </c>
      <c r="J110" s="108" t="n">
        <v>1</v>
      </c>
      <c r="K110" s="109" t="inlineStr">
        <is>
          <t>2026-09-24</t>
        </is>
      </c>
      <c r="L110" s="109" t="inlineStr">
        <is>
          <t>2026-09-24</t>
        </is>
      </c>
      <c r="M110" s="110" t="inlineStr">
        <is>
          <t>rcfworks</t>
        </is>
      </c>
      <c r="N110" s="85" t="n"/>
      <c r="O110" s="84" t="inlineStr">
        <is>
          <t>P4-FE-01</t>
        </is>
      </c>
      <c r="P110" s="84" t="inlineStr">
        <is>
          <t>Every sponsor-facing query uses explicit select; AthleteRate.amount is absent from all of them</t>
        </is>
      </c>
      <c r="Q110" s="86" t="inlineStr">
        <is>
          <t>Guide §04</t>
        </is>
      </c>
      <c r="R110" s="111" t="inlineStr">
        <is>
          <t>2026-09-24: Explicit select: the P2-OPS-06 lint rule (src, worker, tests) is pinned by tests/sponsor-field-authz.test.ts. No athlete pay on the wire: marker values planted in AthleteRate.amount, NilJob base pay + sell floors, CampaignOrder.compensation and Earning.gross; every documented GET called as SPONSOR_ADMIN and SPONSOR_ANALYST on their own campaign — no marker and no pay field name in any response; positive control reaches their report and catalogue; rate card → 403. Mutation-checked: adding baseLow to the jobs read fails it and names the column. | 2026-09-24: Done at the user's instruction — acceptance confirmed met.</t>
        </is>
      </c>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Done</t>
        </is>
      </c>
      <c r="J117" s="108" t="n">
        <v>5</v>
      </c>
      <c r="K117" s="109" t="inlineStr">
        <is>
          <t>2026-09-28</t>
        </is>
      </c>
      <c r="L117" s="109" t="inlineStr">
        <is>
          <t>2026-09-28</t>
        </is>
      </c>
      <c r="M117" s="110" t="inlineStr">
        <is>
          <t>HeckerCreatives</t>
        </is>
      </c>
      <c r="N117" s="81" t="n">
        <v>1</v>
      </c>
      <c r="O117" s="80" t="inlineStr">
        <is>
          <t>P5-BE-08</t>
        </is>
      </c>
      <c r="P117" s="80" t="inlineStr">
        <is>
          <t>The full review board works — draft review, revision request, sponsor routing, approval, publication proof</t>
        </is>
      </c>
      <c r="Q117" s="82" t="inlineStr">
        <is>
          <t>§10, §23</t>
        </is>
      </c>
      <c r="R117" s="111" t="inlineStr">
        <is>
          <t>2026-09-28: no sponsor-side content approval screen exists; BTG approves SPONSOR_REVIEW items on the sponsor's behalf (policy allows). A sponsor approvals surface may be a missing task.</t>
        </is>
      </c>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Done</t>
        </is>
      </c>
      <c r="J121" s="108" t="n">
        <v>3</v>
      </c>
      <c r="K121" s="109" t="inlineStr">
        <is>
          <t>2026-09-28</t>
        </is>
      </c>
      <c r="L121" s="109" t="inlineStr">
        <is>
          <t>2026-09-28</t>
        </is>
      </c>
      <c r="M121" s="110" t="inlineStr">
        <is>
          <t>HeckerCreatives</t>
        </is>
      </c>
      <c r="N121" s="81" t="n"/>
      <c r="O121" s="80" t="inlineStr">
        <is>
          <t>P5-BE-01</t>
        </is>
      </c>
      <c r="P121" s="80" t="inlineStr">
        <is>
          <t>An athlete reads the real order terms and accepts; the guardian branch renders for minors; the exact text shown is what gets hashed</t>
        </is>
      </c>
      <c r="Q121" s="82" t="inlineStr">
        <is>
          <t>§24</t>
        </is>
      </c>
      <c r="R121" s="111" t="inlineStr">
        <is>
          <t>2026-09-28: also fixed P5-BE-01 defect — acceptAgreementIn was once-per-signer, so an athlete's 2nd Campaign Order under the same version was unacceptable forever; acceptOrder now asks per-order. Acceptance evidence now records the signer's IP/UA via the edge-keyed forward (SPONSORX_EDGE_KEY must be set in each env).</t>
        </is>
      </c>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Done</t>
        </is>
      </c>
      <c r="J122" s="108" t="n">
        <v>3</v>
      </c>
      <c r="K122" s="109" t="inlineStr">
        <is>
          <t>2026-09-28</t>
        </is>
      </c>
      <c r="L122" s="109" t="inlineStr">
        <is>
          <t>2026-09-28</t>
        </is>
      </c>
      <c r="M122" s="110" t="inlineStr">
        <is>
          <t>HeckerCreatives</t>
        </is>
      </c>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Done</t>
        </is>
      </c>
      <c r="J123" s="108" t="n">
        <v>3</v>
      </c>
      <c r="K123" s="109" t="inlineStr">
        <is>
          <t>2026-09-28</t>
        </is>
      </c>
      <c r="L123" s="109" t="inlineStr">
        <is>
          <t>2026-09-28</t>
        </is>
      </c>
      <c r="M123" s="110" t="inlineStr">
        <is>
          <t>HeckerCreatives</t>
        </is>
      </c>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Done</t>
        </is>
      </c>
      <c r="J124" s="108" t="n">
        <v>5</v>
      </c>
      <c r="K124" s="109" t="inlineStr">
        <is>
          <t>2026-09-28</t>
        </is>
      </c>
      <c r="L124" s="109" t="inlineStr">
        <is>
          <t>2026-09-28</t>
        </is>
      </c>
      <c r="M124" s="110" t="inlineStr">
        <is>
          <t>HeckerCreatives</t>
        </is>
      </c>
      <c r="N124" s="85" t="n"/>
      <c r="O124" s="84" t="inlineStr">
        <is>
          <t>P5-BE-05</t>
        </is>
      </c>
      <c r="P124" s="84" t="inlineStr">
        <is>
          <t>Per-athlete acceptance, due dates, approval state, under-delivery and issue flags all render from real data</t>
        </is>
      </c>
      <c r="Q124" s="86" t="inlineStr">
        <is>
          <t>§9 screen 9</t>
        </is>
      </c>
      <c r="R124" s="111" t="inlineStr">
        <is>
          <t>2026-09-28: also built the missing BTG step 'draft &amp; send Campaign Order' (after an accepted invite) in the ops drawer — POST /campaigns/:id/orders had no screen, which broke the §39 loop between invitation and signature.</t>
        </is>
      </c>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Done</t>
        </is>
      </c>
      <c r="J126" s="108" t="n">
        <v>3</v>
      </c>
      <c r="K126" s="109" t="inlineStr">
        <is>
          <t>2026-09-28</t>
        </is>
      </c>
      <c r="L126" s="109" t="inlineStr">
        <is>
          <t>2026-09-28</t>
        </is>
      </c>
      <c r="M126" s="110" t="inlineStr">
        <is>
          <t>HeckerCreatives</t>
        </is>
      </c>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Code review</t>
        </is>
      </c>
      <c r="J131" s="108" t="n">
        <v>3</v>
      </c>
      <c r="K131" s="109" t="inlineStr">
        <is>
          <t>2026-09-24</t>
        </is>
      </c>
      <c r="L131" s="109" t="n"/>
      <c r="M131" s="110" t="inlineStr">
        <is>
          <t>rcfworks</t>
        </is>
      </c>
      <c r="N131" s="81" t="n">
        <v>4</v>
      </c>
      <c r="O131" s="80" t="inlineStr">
        <is>
          <t>P6-BE-04</t>
        </is>
      </c>
      <c r="P131" s="80" t="inlineStr">
        <is>
          <t>Real redemption works; the page still renders without JavaScript; invalid, expired and already-used states all render</t>
        </is>
      </c>
      <c r="Q131" s="82" t="inlineStr">
        <is>
          <t>§16, Guide §06</t>
        </is>
      </c>
      <c r="R131" s="111" t="inlineStr">
        <is>
          <t>2026-09-24: /r/&lt;token&gt; is now a route handler returning plain HTML (no React, no scripts) rendered from the API's new read-only GET /public/rewards/:token: invalid, not active, expired, already used, claimable and claimed all render. Claim and redeem are plain &lt;form method=post&gt; → route handlers → API → 303 back; LANDING is a 1×1 image beacon; SCAN recorded on first visit only. Consent wording comes from the API (CONSENT_TEXT for version 2026-09-01). Proven: frontend tests/redeem-page.test.ts (every state, zero &lt;script&gt;, escaping, real claim/redeem payloads) and a LIVE run — real API + Next dev + local DB, driven by curl (no JS): all states rendered, a real claim stored with consent version, first redeem OK, second tap 'Already used', funnel exactly 1 SCAN/LANDING/CLAIM/REDEEM.</t>
        </is>
      </c>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Code review</t>
        </is>
      </c>
      <c r="J135" s="108" t="n">
        <v>1</v>
      </c>
      <c r="K135" s="109" t="n">
        <v>46294</v>
      </c>
      <c r="L135" s="109" t="n"/>
      <c r="M135" s="110" t="inlineStr">
        <is>
          <t>rcfworks</t>
        </is>
      </c>
      <c r="N135" s="81" t="n"/>
      <c r="O135" s="80" t="inlineStr">
        <is>
          <t>P6-BE-06</t>
        </is>
      </c>
      <c r="P135" s="80" t="inlineStr">
        <is>
          <t>QR assets usable at venue print sizes with adequate quiet zone and contrast</t>
        </is>
      </c>
      <c r="Q135" s="82" t="inlineStr">
        <is>
          <t>§16</t>
        </is>
      </c>
      <c r="R135" s="111" t="inlineStr">
        <is>
          <t xml:space="preserve"> Designed 2026-09-29 by Claude Design: https://claude.ai/artifact/UmkyjWppiZ2PPDoeJ5RnBU — poster 11×17 (QR 4 in), table tent 4×6 folded (QR 1.75 in), sticker 3×3 (QR 1.25 in); quiet zone ≥4 modules; light and dark-brand versions. Made usable 2026-09-29: /print/reward (admin; 'Print templates' in each reward's QR panel) fills poster / table tent / sticker, light or dark brand, with the token's real QR at real inches (@page); measured 4.00 / 1.75 / 1.25 in; quiet-zone padding added to the PNG's 2-module margin (lib/qr-print.ts, tested). Sponsor name stands in for a logo — none is stored.</t>
        </is>
      </c>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Done</t>
        </is>
      </c>
      <c r="J136" s="108" t="n">
        <v>3</v>
      </c>
      <c r="K136" s="109" t="inlineStr">
        <is>
          <t>2026-09-23</t>
        </is>
      </c>
      <c r="L136" s="109" t="inlineStr">
        <is>
          <t>2026-09-24</t>
        </is>
      </c>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 | 2026-09-24: Done at the user's instruction — acceptance confirmed met.</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Done</t>
        </is>
      </c>
      <c r="J138" s="108" t="n">
        <v>5</v>
      </c>
      <c r="K138" s="109" t="inlineStr">
        <is>
          <t>2026-09-28</t>
        </is>
      </c>
      <c r="L138" s="109" t="inlineStr">
        <is>
          <t>2026-09-28</t>
        </is>
      </c>
      <c r="M138" s="110" t="inlineStr">
        <is>
          <t>HeckerCreatives</t>
        </is>
      </c>
      <c r="N138" s="85" t="n"/>
      <c r="O138" s="84" t="inlineStr">
        <is>
          <t>P6-BE-02</t>
        </is>
      </c>
      <c r="P138" s="84" t="inlineStr">
        <is>
          <t>Reward, eligibility, landing page, consent copy, limits and expiration are all configurable and persist</t>
        </is>
      </c>
      <c r="Q138" s="86" t="inlineStr">
        <is>
          <t>§9 screen 10</t>
        </is>
      </c>
      <c r="R138" s="111" t="inlineStr">
        <is>
          <t>2026-09-28: live desk wired — rewards list with 4-event funnels, lifecycle, per-athlete QR tokens (worker PNG via audited signed URL), creator persisting offer/terms/expiry/single-use/tokens/go-live, consent shown read-only (central version). Open: eligibility, redemption cap, landing copy have no columns — raised P6-BE-08.</t>
        </is>
      </c>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Done</t>
        </is>
      </c>
      <c r="J139" s="108" t="n">
        <v>3</v>
      </c>
      <c r="K139" s="109" t="inlineStr">
        <is>
          <t>2026-09-28</t>
        </is>
      </c>
      <c r="L139" s="109" t="inlineStr">
        <is>
          <t>2026-09-28</t>
        </is>
      </c>
      <c r="M139" s="110" t="inlineStr">
        <is>
          <t>HeckerCreatives</t>
        </is>
      </c>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Done</t>
        </is>
      </c>
      <c r="J141" s="108" t="n">
        <v>3</v>
      </c>
      <c r="K141" s="109" t="inlineStr">
        <is>
          <t>2026-09-25</t>
        </is>
      </c>
      <c r="L141" s="109" t="inlineStr">
        <is>
          <t>2026-09-25</t>
        </is>
      </c>
      <c r="M141" s="110" t="inlineStr">
        <is>
          <t>rcfworks</t>
        </is>
      </c>
      <c r="N141" s="81" t="n"/>
      <c r="O141" s="80" t="inlineStr">
        <is>
          <t>P6-FE-02</t>
        </is>
      </c>
      <c r="P141" s="80" t="inlineStr">
        <is>
          <t>All four events recorded separately; a second redeem attempt is rejected</t>
        </is>
      </c>
      <c r="Q141" s="82" t="inlineStr">
        <is>
          <t>§30</t>
        </is>
      </c>
      <c r="R141" s="111" t="inlineStr">
        <is>
          <t>2026-09-25: e2e/redeem-flow.spec.ts drives the REAL stack (web → API → Postgres, JavaScript off) — scan the QR page, LANDING beacon, claim with email + consent, staff redeem, then a second redeem POST: 303 → 'Already used'. Asserts the database holds exactly SCAN 1 · LANDING 1 · CLAIM 1 · REDEEM 1. Found and fixed a double LANDING (the post-redirect-get return re-fired the beacon). CI e2e job now has Postgres + migrations + the API so it runs on every push. | 2026-09-25: Done at the user's instruction — acceptance met; both specs run and pass in CI (PR #69).</t>
        </is>
      </c>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Done</t>
        </is>
      </c>
      <c r="J142" s="108" t="n">
        <v>1</v>
      </c>
      <c r="K142" s="109" t="inlineStr">
        <is>
          <t>2026-09-25</t>
        </is>
      </c>
      <c r="L142" s="109" t="inlineStr">
        <is>
          <t>2026-09-25</t>
        </is>
      </c>
      <c r="M142" s="110" t="inlineStr">
        <is>
          <t>rcfworks</t>
        </is>
      </c>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inlineStr">
        <is>
          <t>2026-09-25: e2e/redeem-budget.spec.ts on Pixel 7 with Slow 4G + 4× CPU throttling: 0 script requests, 0 &lt;script&gt; tags, no font, no stylesheet, &lt;20 KB (all gated); load time recorded per run, not gated — the next dev server swung 1.2–5.7 s on CI runners; production latency is P8-OPS-02's staging measurement. Measured locally 2 requests · 4.1 KB · 1,224 ms. frontend/tests/fan-route-budget.test.ts pins plain dynamic route: no revalidate/generateStaticParams/force-static/edge runtime in /r, /t, /u, and the Clerk proxy (edge middleware) now skips them. | 2026-09-25: Done at the user's instruction — acceptance met; both specs run and pass in CI (PR #69).</t>
        </is>
      </c>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Done</t>
        </is>
      </c>
      <c r="J143" s="108" t="n">
        <v>3</v>
      </c>
      <c r="K143" s="109" t="inlineStr">
        <is>
          <t>2026-09-24</t>
        </is>
      </c>
      <c r="L143" s="109" t="inlineStr">
        <is>
          <t>2026-09-24</t>
        </is>
      </c>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 | 2026-09-24: Done at the user's instruction — acceptance confirmed met.</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Done</t>
        </is>
      </c>
      <c r="J149" s="108" t="n">
        <v>5</v>
      </c>
      <c r="K149" s="109" t="inlineStr">
        <is>
          <t>2026-09-28</t>
        </is>
      </c>
      <c r="L149" s="109" t="inlineStr">
        <is>
          <t>2026-09-28</t>
        </is>
      </c>
      <c r="M149" s="110" t="inlineStr">
        <is>
          <t>HeckerCreatives</t>
        </is>
      </c>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Dropped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 | MOVED TO PHASE 2 on 2026-09-24 (user decision) as 2S7-BE-02. By its own AC it is not required in Phase 1: G-07 (P0-PMO-05) chose a print stylesheet, delivered by the browser PDF (report-pdf.ts).</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Done</t>
        </is>
      </c>
      <c r="J156" s="108" t="n">
        <v>3</v>
      </c>
      <c r="K156" s="109" t="inlineStr">
        <is>
          <t>2026-09-28</t>
        </is>
      </c>
      <c r="L156" s="109" t="inlineStr">
        <is>
          <t>2026-09-28</t>
        </is>
      </c>
      <c r="M156" s="110" t="inlineStr">
        <is>
          <t>HeckerCreatives</t>
        </is>
      </c>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Done</t>
        </is>
      </c>
      <c r="J157" s="108" t="n">
        <v>5</v>
      </c>
      <c r="K157" s="109" t="inlineStr">
        <is>
          <t>2026-09-28</t>
        </is>
      </c>
      <c r="L157" s="109" t="inlineStr">
        <is>
          <t>2026-09-28</t>
        </is>
      </c>
      <c r="M157" s="110" t="inlineStr">
        <is>
          <t>HeckerCreatives</t>
        </is>
      </c>
      <c r="N157" s="81" t="n"/>
      <c r="O157" s="80" t="inlineStr">
        <is>
          <t>P7-BE-03</t>
        </is>
      </c>
      <c r="P157" s="80" t="inlineStr">
        <is>
          <t>Earnings states, commission calculation, Zoho invoice references and reconciliation view all render from real data</t>
        </is>
      </c>
      <c r="Q157" s="82" t="inlineStr">
        <is>
          <t>§10, §23</t>
        </is>
      </c>
      <c r="R157" s="111" t="inlineStr">
        <is>
          <t>2026-09-28: read-only by design — payout actions stay blocked on the §37 payment policy. Zoho invoice refs + reconciliation render for BTG_ADMIN only: the RBAC matrix's 2026-09-24 decision denies FINANCE the invoice read; the FINANCE view says so. Confirm that's intended for a finance workspace.</t>
        </is>
      </c>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Done</t>
        </is>
      </c>
      <c r="J158" s="108" t="n">
        <v>5</v>
      </c>
      <c r="K158" s="109" t="inlineStr">
        <is>
          <t>2026-09-28</t>
        </is>
      </c>
      <c r="L158" s="109" t="inlineStr">
        <is>
          <t>2026-09-28</t>
        </is>
      </c>
      <c r="M158" s="110" t="inlineStr">
        <is>
          <t>HeckerCreatives</t>
        </is>
      </c>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Done</t>
        </is>
      </c>
      <c r="J159" s="108" t="n">
        <v>3</v>
      </c>
      <c r="K159" s="109" t="inlineStr">
        <is>
          <t>2026-09-28</t>
        </is>
      </c>
      <c r="L159" s="109" t="inlineStr">
        <is>
          <t>2026-09-28</t>
        </is>
      </c>
      <c r="M159" s="110" t="inlineStr">
        <is>
          <t>HeckerCreatives</t>
        </is>
      </c>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Done</t>
        </is>
      </c>
      <c r="J160" s="108" t="n">
        <v>3</v>
      </c>
      <c r="K160" s="109" t="inlineStr">
        <is>
          <t>2026-09-28</t>
        </is>
      </c>
      <c r="L160" s="109" t="inlineStr">
        <is>
          <t>2026-09-28</t>
        </is>
      </c>
      <c r="M160" s="110" t="inlineStr">
        <is>
          <t>HeckerCreatives</t>
        </is>
      </c>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Done</t>
        </is>
      </c>
      <c r="J161" s="108" t="n">
        <v>3</v>
      </c>
      <c r="K161" s="109" t="inlineStr">
        <is>
          <t>2026-09-28</t>
        </is>
      </c>
      <c r="L161" s="109" t="inlineStr">
        <is>
          <t>2026-09-28</t>
        </is>
      </c>
      <c r="M161" s="110" t="inlineStr">
        <is>
          <t>HeckerCreatives</t>
        </is>
      </c>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Blocked</t>
        </is>
      </c>
      <c r="J166" s="108" t="n">
        <v>5</v>
      </c>
      <c r="K166" s="109" t="n"/>
      <c r="L166" s="109" t="n"/>
      <c r="M166" s="110" t="n"/>
      <c r="N166" s="85" t="n">
        <v>2</v>
      </c>
      <c r="O166" s="84" t="inlineStr">
        <is>
          <t>all phases</t>
        </is>
      </c>
      <c r="P166" s="84" t="inlineStr">
        <is>
          <t>All fourteen §30 criteria demonstrated and recorded</t>
        </is>
      </c>
      <c r="Q166" s="86" t="inlineStr">
        <is>
          <t>§30</t>
        </is>
      </c>
      <c r="R166" s="111" t="n"/>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Done</t>
        </is>
      </c>
      <c r="J168" s="108" t="n">
        <v>3</v>
      </c>
      <c r="K168" s="109" t="inlineStr">
        <is>
          <t>2026-09-28</t>
        </is>
      </c>
      <c r="L168" s="109" t="inlineStr">
        <is>
          <t>2026-09-28</t>
        </is>
      </c>
      <c r="M168" s="110" t="inlineStr">
        <is>
          <t>HeckerCreatives</t>
        </is>
      </c>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Blocked</t>
        </is>
      </c>
      <c r="J170" s="108" t="n">
        <v>3</v>
      </c>
      <c r="K170" s="109" t="n"/>
      <c r="L170" s="109" t="n"/>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Blocked</t>
        </is>
      </c>
      <c r="J171" s="108" t="n">
        <v>5</v>
      </c>
      <c r="K171" s="109" t="n"/>
      <c r="L171" s="109" t="n"/>
      <c r="M171" s="110" t="n"/>
      <c r="N171" s="81" t="n">
        <v>1</v>
      </c>
      <c r="O171" s="80" t="inlineStr">
        <is>
          <t>P8-QA-01</t>
        </is>
      </c>
      <c r="P171" s="80" t="inlineStr">
        <is>
          <t>Scripts exist for athlete, sponsor, admin and fan journeys; run with real pilot users on staging</t>
        </is>
      </c>
      <c r="Q171" s="82" t="inlineStr">
        <is>
          <t>§29 Sprint 7, §38</t>
        </is>
      </c>
      <c r="R171" s="111" t="n"/>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Done</t>
        </is>
      </c>
      <c r="J172" s="108" t="n">
        <v>3</v>
      </c>
      <c r="K172" s="109" t="inlineStr">
        <is>
          <t>2026-09-24</t>
        </is>
      </c>
      <c r="L172" s="109" t="inlineStr">
        <is>
          <t>2026-09-24</t>
        </is>
      </c>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 | 2026-09-24: Done at the user's instruction — acceptance confirmed met.</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Done</t>
        </is>
      </c>
      <c r="J173" s="108" t="n">
        <v>3</v>
      </c>
      <c r="K173" s="109" t="inlineStr">
        <is>
          <t>2026-09-24</t>
        </is>
      </c>
      <c r="L173" s="109" t="inlineStr">
        <is>
          <t>2026-09-24</t>
        </is>
      </c>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 | 2026-09-24: Done at the user's instruction — acceptance confirmed met.</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Done</t>
        </is>
      </c>
      <c r="J174" s="108" t="n">
        <v>3</v>
      </c>
      <c r="K174" s="109" t="inlineStr">
        <is>
          <t>2026-09-28</t>
        </is>
      </c>
      <c r="L174" s="109" t="inlineStr">
        <is>
          <t>2026-09-28</t>
        </is>
      </c>
      <c r="M174" s="110" t="inlineStr">
        <is>
          <t>HeckerCreatives</t>
        </is>
      </c>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Done</t>
        </is>
      </c>
      <c r="J177" s="108" t="n">
        <v>3</v>
      </c>
      <c r="K177" s="109" t="inlineStr">
        <is>
          <t>2026-09-24</t>
        </is>
      </c>
      <c r="L177" s="109" t="inlineStr">
        <is>
          <t>2026-09-24</t>
        </is>
      </c>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 | 2026-09-24: Done at the user's instruction — acceptance confirmed met.</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Done</t>
        </is>
      </c>
      <c r="J178" s="108" t="n">
        <v>3</v>
      </c>
      <c r="K178" s="109" t="inlineStr">
        <is>
          <t>2026-09-24</t>
        </is>
      </c>
      <c r="L178" s="109" t="inlineStr">
        <is>
          <t>2026-09-25</t>
        </is>
      </c>
      <c r="M178" s="110" t="inlineStr">
        <is>
          <t>rcfworks</t>
        </is>
      </c>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inlineStr">
        <is>
          <t>2026-09-24: Target built (P6-FE-02, script-free route handler). Load test runs against STAGING once this batch deploys (merge to main), then the result and the Cloudflare Workers decision (A10) are recorded here. | 2026-09-25: DONE ON STAGING — documentation/SponsorX-Fan-QR-Load-Test.md. autocannon bursts of 1/25/50/100/200 simultaneous fans on /r/&lt;token&gt;: up to 537 loads/s, 0 errors of 16,116, median ~355 ms (the Manila→Singapore edge→Virginia round trip), slowest 2.5% 480 ms. Cloudflare Workers trigger DEFERRED with data: threshold set (slowest 2.5% &gt;800 ms or &gt;1% errors at expected peak ~25 loads/s); tested &gt;20× peak. FOUND AND FIXED (#64/#65): rate limits keyed on Railway's edge node, not the fan — a 50-fan burst had 75% refused; now X-Real-IP, verified unspoofable and per-fan (120 served, then refused). | 2026-09-25: Done at the user's instruction — both acceptance clauses met (burst characterised; Workers trigger explicitly deferred with data).</t>
        </is>
      </c>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Done</t>
        </is>
      </c>
      <c r="J179" s="108" t="n">
        <v>1</v>
      </c>
      <c r="K179" s="109" t="inlineStr">
        <is>
          <t>2026-09-24</t>
        </is>
      </c>
      <c r="L179" s="109" t="inlineStr">
        <is>
          <t>2026-09-24</t>
        </is>
      </c>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 | 2026-09-24: Done at the user's instruction — acceptance confirmed met.</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Done</t>
        </is>
      </c>
      <c r="J180" s="108" t="n">
        <v>3</v>
      </c>
      <c r="K180" s="109" t="inlineStr">
        <is>
          <t>2026-09-28</t>
        </is>
      </c>
      <c r="L180" s="109" t="inlineStr">
        <is>
          <t>2026-09-28</t>
        </is>
      </c>
      <c r="M180" s="110" t="inlineStr">
        <is>
          <t>HeckerCreatives</t>
        </is>
      </c>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Done</t>
        </is>
      </c>
      <c r="J181" s="108" t="n">
        <v>3</v>
      </c>
      <c r="K181" s="109" t="inlineStr">
        <is>
          <t>2026-09-28</t>
        </is>
      </c>
      <c r="L181" s="109" t="inlineStr">
        <is>
          <t>2026-09-28</t>
        </is>
      </c>
      <c r="M181" s="110" t="inlineStr">
        <is>
          <t>HeckerCreatives</t>
        </is>
      </c>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Done</t>
        </is>
      </c>
      <c r="J182" s="108" t="n">
        <v>3</v>
      </c>
      <c r="K182" s="109" t="inlineStr">
        <is>
          <t>2026-09-28</t>
        </is>
      </c>
      <c r="L182" s="109" t="inlineStr">
        <is>
          <t>2026-09-28</t>
        </is>
      </c>
      <c r="M182" s="110" t="inlineStr">
        <is>
          <t>HeckerCreatives</t>
        </is>
      </c>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Blocked</t>
        </is>
      </c>
      <c r="J183" s="108" t="n">
        <v>3</v>
      </c>
      <c r="K183" s="109" t="n"/>
      <c r="L183" s="109" t="n"/>
      <c r="M183" s="110" t="n"/>
      <c r="N183" s="81" t="n"/>
      <c r="O183" s="80" t="inlineStr">
        <is>
          <t>all phases</t>
        </is>
      </c>
      <c r="P183" s="80" t="inlineStr">
        <is>
          <t>A developer who has never seen the project can run it locally and ship a change</t>
        </is>
      </c>
      <c r="Q183" s="82" t="inlineStr">
        <is>
          <t>§38</t>
        </is>
      </c>
      <c r="R183" s="111" t="n"/>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1</v>
      </c>
      <c r="O184" s="84" t="inlineStr">
        <is>
          <t>P8-QA-02, P8-OPS-01</t>
        </is>
      </c>
      <c r="P184" s="84" t="inlineStr">
        <is>
          <t>§37's pre-pilot and pre-sponsor-pilot gates formally signed off</t>
        </is>
      </c>
      <c r="Q184" s="86" t="inlineStr">
        <is>
          <t>§37</t>
        </is>
      </c>
      <c r="R184" s="111" t="n"/>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Blocked</t>
        </is>
      </c>
      <c r="J185" s="108" t="n">
        <v>3</v>
      </c>
      <c r="K185" s="109" t="n"/>
      <c r="L185" s="109" t="n"/>
      <c r="M185" s="110" t="n"/>
      <c r="N185" s="81" t="n"/>
      <c r="O185" s="80" t="inlineStr">
        <is>
          <t>P8-QA-01</t>
        </is>
      </c>
      <c r="P185" s="80" t="inlineStr">
        <is>
          <t>Every E2E test from Phases 3–7 runs green in one suite in CI</t>
        </is>
      </c>
      <c r="Q185" s="82" t="inlineStr">
        <is>
          <t>§38</t>
        </is>
      </c>
      <c r="R185" s="111" t="n"/>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 | 2026-09-24 FOLLOW-UP (honest correction): the write half of the sweep was weaker than first reported — invalid test bodies returned 500 (ZodError had no status) and 500 was counted as a refusal. Fixed: validation errors now 400; bodies corrected; the sweep fails on any 400 or 500. Every write route × every tenant-B actor now reaches past validation and is refused, tenant-A fingerprint unchanged. Stays Done — now proven for writes too.</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Done</t>
        </is>
      </c>
      <c r="J187" s="108" t="n">
        <v>3</v>
      </c>
      <c r="K187" s="109" t="inlineStr">
        <is>
          <t>2026-09-24</t>
        </is>
      </c>
      <c r="L187" s="109" t="inlineStr">
        <is>
          <t>2026-09-24</t>
        </is>
      </c>
      <c r="M187" s="110" t="inlineStr">
        <is>
          <t>rcfworks</t>
        </is>
      </c>
      <c r="N187" s="81" t="n"/>
      <c r="O187" s="80" t="inlineStr">
        <is>
          <t>P6-FE-02</t>
        </is>
      </c>
      <c r="P187" s="80" t="inlineStr">
        <is>
          <t>Redeem page, tracking redirect, join form and public profiles reviewed for injection, enumeration and rate-limit exposure</t>
        </is>
      </c>
      <c r="Q187" s="82" t="inlineStr">
        <is>
          <t>§26</t>
        </is>
      </c>
      <c r="R187" s="111" t="inlineStr">
        <is>
          <t>2026-09-24: documentation/SponsorX-Public-Surface-Security-Review.md. Fixed: F1 every public rate limit counted the WEB SERVER not the fan (one bucket per event) → trusted forward via SPONSORX_EDGE_KEY (set on staging web+api; production when it goes live); F2 tracking destinations accepted javascript:/data: → http(s) only, also on resolve; F3 malformed bodies answered 500 → 400. Reviewed clean: SQL (Prisma/parameterised), HTML escaping (tested), redirects, token entropy (160/72 bits), limits on every public route, webhooks, fan PII. /join and public profiles are still fixture pages — re-check when P3-FE-01/03/05 wire them. | 2026-09-24: Done at the user's instruction — acceptance confirmed met.</t>
        </is>
      </c>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Done</t>
        </is>
      </c>
      <c r="J191" s="108" t="n">
        <v>1</v>
      </c>
      <c r="K191" s="109" t="inlineStr">
        <is>
          <t>2026-09-16</t>
        </is>
      </c>
      <c r="L191" s="109" t="inlineStr">
        <is>
          <t>2026-09-16</t>
        </is>
      </c>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Done</t>
        </is>
      </c>
      <c r="J192" s="108" t="n">
        <v>1</v>
      </c>
      <c r="K192" s="109" t="inlineStr">
        <is>
          <t>2026-09-16</t>
        </is>
      </c>
      <c r="L192" s="109" t="inlineStr">
        <is>
          <t>2026-09-16</t>
        </is>
      </c>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Done</t>
        </is>
      </c>
      <c r="J193" s="108" t="n">
        <v>1</v>
      </c>
      <c r="K193" s="109" t="inlineStr">
        <is>
          <t>2026-09-16</t>
        </is>
      </c>
      <c r="L193" s="109" t="inlineStr">
        <is>
          <t>2026-09-16</t>
        </is>
      </c>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Done</t>
        </is>
      </c>
      <c r="J194" s="108" t="n">
        <v>1</v>
      </c>
      <c r="K194" s="109" t="inlineStr">
        <is>
          <t>2026-09-16</t>
        </is>
      </c>
      <c r="L194" s="109" t="inlineStr">
        <is>
          <t>2026-09-16</t>
        </is>
      </c>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Done</t>
        </is>
      </c>
      <c r="J195" s="108" t="n">
        <v>1</v>
      </c>
      <c r="K195" s="109" t="inlineStr">
        <is>
          <t>2026-09-16</t>
        </is>
      </c>
      <c r="L195" s="109" t="inlineStr">
        <is>
          <t>2026-09-16</t>
        </is>
      </c>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Done</t>
        </is>
      </c>
      <c r="J196" s="108" t="n">
        <v>1</v>
      </c>
      <c r="K196" s="109" t="inlineStr">
        <is>
          <t>2026-09-17</t>
        </is>
      </c>
      <c r="L196" s="109" t="inlineStr">
        <is>
          <t>2026-09-17</t>
        </is>
      </c>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Done</t>
        </is>
      </c>
      <c r="J197" s="108" t="n">
        <v>1</v>
      </c>
      <c r="K197" s="109" t="inlineStr">
        <is>
          <t>2026-09-17</t>
        </is>
      </c>
      <c r="L197" s="109" t="inlineStr">
        <is>
          <t>2026-09-17</t>
        </is>
      </c>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Done</t>
        </is>
      </c>
      <c r="J199" s="108" t="n">
        <v>1</v>
      </c>
      <c r="K199" s="109" t="inlineStr">
        <is>
          <t>2026-09-24</t>
        </is>
      </c>
      <c r="L199" s="109" t="inlineStr">
        <is>
          <t>2026-09-24</t>
        </is>
      </c>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 | 2026-09-24: Done at the user's instruction — acceptance confirmed met.</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Done</t>
        </is>
      </c>
      <c r="J202" s="108" t="n">
        <v>3</v>
      </c>
      <c r="K202" s="109" t="inlineStr">
        <is>
          <t>2026-09-18</t>
        </is>
      </c>
      <c r="L202" s="109" t="inlineStr">
        <is>
          <t>2026-09-18</t>
        </is>
      </c>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Ready</t>
        </is>
      </c>
      <c r="J204" s="108" t="n">
        <v>1</v>
      </c>
      <c r="K204" s="109" t="n"/>
      <c r="L204" s="109" t="n"/>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Done</t>
        </is>
      </c>
      <c r="J206" s="108" t="n">
        <v>2</v>
      </c>
      <c r="K206" s="109" t="inlineStr">
        <is>
          <t>2026-09-25</t>
        </is>
      </c>
      <c r="L206" s="109" t="inlineStr">
        <is>
          <t>2026-09-25</t>
        </is>
      </c>
      <c r="M206" s="110" t="inlineStr">
        <is>
          <t>rcfworks</t>
        </is>
      </c>
      <c r="N206" s="81" t="n">
        <v>2</v>
      </c>
      <c r="O206" s="80" t="n"/>
      <c r="P206" s="80" t="inlineStr">
        <is>
          <t>Slot prices and the four-way split signed off as numbers, not ranges; the back cover and presenting sponsor recorded as quantity one</t>
        </is>
      </c>
      <c r="Q206" s="82" t="inlineStr">
        <is>
          <t>Spec §5.2, §5.3, §12</t>
        </is>
      </c>
      <c r="R206" s="111" t="inlineStr">
        <is>
          <t>2026-09-25: SIMULATED (standing instruction: simulate what BTG would supply) — documentation/SponsorX-NEXT-Rate-Card-Decision.md. Single prices: quarter $250, half $500, full $800, back cover $1,000 (qty 1), presenting sponsor $3,000 (qty 1), Local Business Package $1,500. Split 40/30/20/10 (SponsorX/school/student pool/editorial) — matches the P1-FE-23 screen, not the source's 35/25/25/15 illustration. BTG replaces with real numbers when pricing edition one. | 2026-09-25: Done at the user's instruction — acceptance met (CI green, PR #73).</t>
        </is>
      </c>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Done</t>
        </is>
      </c>
      <c r="J207" s="108" t="n">
        <v>3</v>
      </c>
      <c r="K207" s="109" t="inlineStr">
        <is>
          <t>2026-09-25</t>
        </is>
      </c>
      <c r="L207" s="109" t="inlineStr">
        <is>
          <t>2026-09-25</t>
        </is>
      </c>
      <c r="M207" s="110" t="inlineStr">
        <is>
          <t>rcfworks</t>
        </is>
      </c>
      <c r="N207" s="81" t="n">
        <v>1</v>
      </c>
      <c r="O207" s="80" t="n"/>
      <c r="P207" s="80" t="inlineStr">
        <is>
          <t>A school can sign one document and start; editorial approval authority named explicitly</t>
        </is>
      </c>
      <c r="Q207" s="82" t="inlineStr">
        <is>
          <t>Spec §7, §12</t>
        </is>
      </c>
      <c r="R207" s="111" t="inlineStr">
        <is>
          <t>2026-09-25: SIMULATED working terms — documentation/SponsorX-NEXT-School-Programme-Terms.md. One document (the NEXT Programme Agreement), signed by the principal, naming one faculty advisor. EDITORIAL APPROVAL: the faculty advisor approves all school-specific content and student participation; SponsorX decides production/format (spec §5.2). Covers masthead ownership, unsold inventory (filled editorially, never charged, no carry-over), revenue split 40/30/20/10, student work licensing (students keep copyright; non-exclusive licence with guardian consent for minors). Legal review tracked separately, does not gate the build. | 2026-09-25: Done at the user's instruction — acceptance met (one document; editorial approval named: the faculty advisor).</t>
        </is>
      </c>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Done</t>
        </is>
      </c>
      <c r="J208" s="108" t="n">
        <v>2</v>
      </c>
      <c r="K208" s="109" t="inlineStr">
        <is>
          <t>2026-09-25</t>
        </is>
      </c>
      <c r="L208" s="109" t="inlineStr">
        <is>
          <t>2026-09-25</t>
        </is>
      </c>
      <c r="M208" s="110" t="inlineStr">
        <is>
          <t>rcfworks</t>
        </is>
      </c>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2026-09-25: NEXT_PACKAGES in backend/src/domain/sponsor-packages.ts, seeded by the worker on boot (seedPackages, same SQL as the athlete packages). NEXT-LOCAL-1500 + NEXT-AD-QUARTER/HALF/FULL/BACK-COVER + NEXT-PRESENTING: empty lineItems, 0 athletes, all inventory in includes; no schema change. tests/next-packages.test.ts: real seed SQL → rows; sponsor catalogue lists them; a brief on NEXT-LOCAL-1500 qualified → Zoho Deal 'Kim's Auto Care — NEXT Local Business Package — Oct 2026', Amount 1500; margin floor callable only from CampaignOrder creation (needs athlete + job). Mutation-checked. Prices SIMULATED via P9-PMO-01. | 2026-09-25: Done at the user's instruction — acceptance met (CI green, PR #73).</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In progress</t>
        </is>
      </c>
      <c r="J209" s="108" t="n">
        <v>1</v>
      </c>
      <c r="K209" s="109" t="inlineStr">
        <is>
          <t>2026-09-25</t>
        </is>
      </c>
      <c r="L209" s="109" t="n"/>
      <c r="M209" s="110" t="inlineStr">
        <is>
          <t>rcfworks</t>
        </is>
      </c>
      <c r="N209" s="81" t="n">
        <v>1</v>
      </c>
      <c r="O209" s="80" t="inlineStr">
        <is>
          <t>P9-PMO-02</t>
        </is>
      </c>
      <c r="P209" s="80" t="inlineStr">
        <is>
          <t>The pilot school exists as a Property, its advisor has a login, and it appears in the property portal</t>
        </is>
      </c>
      <c r="Q209" s="82" t="inlineStr">
        <is>
          <t>Spec §3</t>
        </is>
      </c>
      <c r="R209" s="111" t="inlineStr">
        <is>
          <t>2026-09-25: BACKEND DONE, FRONTEND STEP LEFT. Pilot school (SIMULATED: Northside High School, Bowie MD, slug northside-high) seeded as Property kind SCHOOL by the worker's environment seed (seedPilotSchool; never in production). Advisor = PROPERTY_MGR linked to it (not the gated ADVISOR role), email northside.advisor+clerk_test@example.com — a Clerk TEST address, so on the dev Clerk instance anyone signs in with code 424242. New: property scope builder (own = actor's linked property in actor's tenant), GET /api/v1/properties/mine, /me returns propertyId. tests/pilot-school.test.ts: seed idempotent; first sign-in claims the account; /properties/mine returns the school; unlinked, staff and a cross-tenant forged link all 404 (mutation-checked). No Zoho Account — field-mapping S-9 sends property as text. REMAINING for 'appears in the property portal': the /property pages still render fixtures — wire them to GET /properties/mine (frontend).</t>
        </is>
      </c>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inlineStr">
        <is>
          <t>2026-09-25: lifted FOR THE BUILD by the programme owner — all NEXT backend proceeds now. Row stays open as the record that edition one has not sold (P9-DATA-01).</t>
        </is>
      </c>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Done</t>
        </is>
      </c>
      <c r="J212" s="108" t="n">
        <v>3</v>
      </c>
      <c r="K212" s="109" t="inlineStr">
        <is>
          <t>2026-09-25</t>
        </is>
      </c>
      <c r="L212" s="109" t="inlineStr">
        <is>
          <t>2026-09-25</t>
        </is>
      </c>
      <c r="M212" s="110" t="inlineStr">
        <is>
          <t>rcfworks</t>
        </is>
      </c>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inlineStr">
        <is>
          <t>Stage 9 gate (P9-PMO-03) lifted for the build by the programme owner 2026-09-25. Publication (propertyId or null for regional) + Edition (closeDate, publishTarget, printDate, pageCount, three production conditions, threshold) + EditionState incl. PUBLISHED_DIGITAL (V1 is free digital). Pure state machine domain/edition-state.ts; IN_PRODUCTION refused unless contentReady+rightsCleared+revenueMet; sale after closeDate refused in the domain (assertCanSell) and in Postgres. Routes POST /publications, /publications/{id}/editions, GET /editions/{id}, POST /editions/{id}/conditions|transition. tests/next-editions.test.ts (mutation-checked). | 2026-09-25: Done at the user's instruction — acceptance met; tests green in CI.</t>
        </is>
      </c>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Done</t>
        </is>
      </c>
      <c r="J213" s="108" t="n">
        <v>5</v>
      </c>
      <c r="K213" s="109" t="inlineStr">
        <is>
          <t>2026-09-25</t>
        </is>
      </c>
      <c r="L213" s="109" t="inlineStr">
        <is>
          <t>2026-09-25</t>
        </is>
      </c>
      <c r="M213" s="110" t="inlineStr">
        <is>
          <t>rcfworks</t>
        </is>
      </c>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inlineStr">
        <is>
          <t>Stage 9 gate (P9-PMO-03) lifted for the build by the programme owner 2026-09-25. AdSlot ledger → Campaign (not CampaignOrder), integer cents, quantity CHECK = 1 (one row per position). DATABASE-ENFORCED (migration 20260925120000, copy prisma/sql/adslot_inventory.sql): partial unique index = one BACK_COVER + one PRESENTING per edition; trigger adslot_guard_sale refuses re-selling a sold slot, selling when the edition is not SELLING or past closeDate, and cross-tenant campaigns. POST /editions/{id}/sales sells exactly the positions the package's includes (P9-BE-01) promises, all or nothing, price spread across slots. Tests: raw second back cover refused; two racing sales → one wins; raw update to another buyer refused; $1,500 package takes its full page and is refused (nothing sold) when none is left. | 2026-09-25: Done at the user's instruction — acceptance met; tests green in CI.</t>
        </is>
      </c>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Done</t>
        </is>
      </c>
      <c r="J214" s="108" t="n">
        <v>5</v>
      </c>
      <c r="K214" s="109" t="inlineStr">
        <is>
          <t>2026-09-25</t>
        </is>
      </c>
      <c r="L214" s="109" t="inlineStr">
        <is>
          <t>2026-09-25</t>
        </is>
      </c>
      <c r="M214" s="110" t="inlineStr">
        <is>
          <t>rcfworks</t>
        </is>
      </c>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inlineStr">
        <is>
          <t>Stage 9 Batch B (gate lifted for the build 2026-09-25). tests/next-students.test.ts (21 tests, HTTP through real auth/scope, mutation-checked). Student model (own table; Athlete gains only a back-relation — no nullable half), StudentState = every AthleteState state and edge (asserted pairwise) + INACTIVE. Advisor-reviewed: SUBMITTED is the student's own move, every other move needs student.approve (the school's ADVISOR or BTG) — tested: student can't approve self, other school's advisor refused. Minor → ACTIVE needs linked AND verified Guardian via the same guardianReadiness rule (Guardian model reused; BTG verifies). Public POST /public/students/applications lands SUBMITTED at the school, echoes only {id,state}. | 2026-09-25: Done at the user's instruction — acceptance met; tests green in CI.</t>
        </is>
      </c>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Done</t>
        </is>
      </c>
      <c r="J215" s="108" t="n">
        <v>3</v>
      </c>
      <c r="K215" s="109" t="inlineStr">
        <is>
          <t>2026-09-25</t>
        </is>
      </c>
      <c r="L215" s="109" t="inlineStr">
        <is>
          <t>2026-09-25</t>
        </is>
      </c>
      <c r="M215" s="110" t="inlineStr">
        <is>
          <t>rcfworks</t>
        </is>
      </c>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Stage 9 Batch B (gate lifted for the build 2026-09-25). tests/next-students.test.ts (21 tests, HTTP through real auth/scope, mutation-checked). Roles STUDENT + ADVISOR in the Role enum, policy.ts and the matrix doc (§15 marked transcribed). User.studentId added (§15.5 watch-for). Policy: student / studentCode / saleAttribution / studentPoints per §15.2 + studentProspect (added to the matrix); ADVISOR/STUDENT own-property rows on publication/edition/adSlot/editionEvent. Field denials: every protected field incl. athleteRate.amount denied to both; new revenueSplit.amount field. Catalogued-resource assertion (authz.coverage) and money-boundary tests (authz.fields, sponsor-field-authz — now also sweeps every GET as STUDENT/ADVISOR for pay markers) GROWN, not deleted. Matrix digest re-pinned; with the new roles/resources removed it hashes to the previous value. | 2026-09-25: Done at the user's instruction — acceptance met; tests green in CI.</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Done</t>
        </is>
      </c>
      <c r="J216" s="108" t="n">
        <v>3</v>
      </c>
      <c r="K216" s="109" t="inlineStr">
        <is>
          <t>2026-09-25</t>
        </is>
      </c>
      <c r="L216" s="109" t="inlineStr">
        <is>
          <t>2026-09-25</t>
        </is>
      </c>
      <c r="M216" s="110" t="inlineStr">
        <is>
          <t>rcfworks</t>
        </is>
      </c>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inlineStr">
        <is>
          <t>Stage 9 gate (P9-PMO-03) lifted for the build by the programme owner 2026-09-25. RevenueSplit per edition (SPONSORX/SCHOOL/STUDENT_POOL/EDITORIAL_FUND, bps + computed cents, 40/30/20/10 per P9-PMO-01), computed from sold slots in the same transaction as the edition closing; largest-remainder so the four always sum to revenue; revenueMet set vs threshold. Test: close → four payees, Earning count unchanged; an athlete order in a NEXT campaign still creates an ordinary Earning. GET /editions/{id}/splits (FINANCE/BTG). | 2026-09-25: Done at the user's instruction — acceptance met; tests green in CI.</t>
        </is>
      </c>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Done</t>
        </is>
      </c>
      <c r="J217" s="108" t="n">
        <v>3</v>
      </c>
      <c r="K217" s="109" t="inlineStr">
        <is>
          <t>2026-09-25</t>
        </is>
      </c>
      <c r="L217" s="109" t="inlineStr">
        <is>
          <t>2026-09-25</t>
        </is>
      </c>
      <c r="M217" s="110" t="inlineStr">
        <is>
          <t>rcfworks</t>
        </is>
      </c>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inlineStr">
        <is>
          <t>Stage 9 Batch B (gate lifted for the build 2026-09-25). tests/next-students.test.ts (21 tests, HTTP through real auth/scope, mutation-checked). StudentCode: one unguessable code per student (a person's, across every sale). Public GET /public/s/{code} resolves it (ACTIVE students only; same 404 for unknown and departed). A brief carries studentCode (CampaignBrief.studentCodeId); the ad sale (sellCampaignSlots) writes the SalesAttribution in the SAME transaction. Test: two sales to two sponsors on one code → two rows, $1,000; a sale with no code credits nobody; a departed student's code is refused. TrackingLink.deliverableId still unique+required, RewardToken untouched (asserted from schema). | 2026-09-25: Done at the user's instruction — acceptance met; tests green in CI.</t>
        </is>
      </c>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Done</t>
        </is>
      </c>
      <c r="J219" s="108" t="n">
        <v>3</v>
      </c>
      <c r="K219" s="109" t="inlineStr">
        <is>
          <t>2026-09-25</t>
        </is>
      </c>
      <c r="L219" s="109" t="inlineStr">
        <is>
          <t>2026-09-25</t>
        </is>
      </c>
      <c r="M219" s="110" t="inlineStr">
        <is>
          <t>rcfworks</t>
        </is>
      </c>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Stage 9 gate (P9-PMO-03) lifted for the build by the programme owner 2026-09-25. DECIDED and written in domain/campaign-state.ts: a NEXT sale is an ordinary Campaign with NO CampaignOrder; an AD-ONLY campaign (0 orders, ≥1 sold slot) may go DRAFT → APPROVAL, skipping STAFFING; campaigns with athlete work, or with nothing sold, cannot. Test: brief on NEXT-AD-HALF → campaign → slot sold → APPROVAL → launch → REPORTING → COMPLETED, with 0 orders, 0 invites, 0 earnings. | 2026-09-25: Done at the user's instruction — acceptance met; tests green in CI.</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Code review</t>
        </is>
      </c>
      <c r="J220" s="108" t="n">
        <v>5</v>
      </c>
      <c r="K220" s="109" t="n">
        <v>46294</v>
      </c>
      <c r="L220" s="109" t="n"/>
      <c r="M220" s="110" t="inlineStr">
        <is>
          <t>rcfworks</t>
        </is>
      </c>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 Designed 2026-09-29 by Claude Design from the programme owner's brief: https://claude.ai/artifact/JJ3fteuVxQM39Ysj7k7GAz — landing, apply wizard, schools proposal; dark and light, desktop and phone, every state, plus a US Letter print version.</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Done</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Done</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Done</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Done</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Done</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Done</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Code review</t>
        </is>
      </c>
      <c r="J227" s="108" t="n">
        <v>3</v>
      </c>
      <c r="K227" s="109" t="n">
        <v>46294</v>
      </c>
      <c r="L227" s="109" t="n"/>
      <c r="M227" s="110" t="inlineStr">
        <is>
          <t>rcfworks</t>
        </is>
      </c>
      <c r="N227" s="81" t="n"/>
      <c r="O227" s="80" t="inlineStr">
        <is>
          <t>P1-ART-08</t>
        </is>
      </c>
      <c r="P227" s="80" t="inlineStr">
        <is>
          <t>Both audiences have a clear next step; works at 390px</t>
        </is>
      </c>
      <c r="Q227" s="82" t="inlineStr">
        <is>
          <t>Spec §8, §9.5</t>
        </is>
      </c>
      <c r="R227" s="111" t="inlineStr">
        <is>
          <t xml:space="preserve"> Built 2026-09-29 at /next/about (the student portal owns /next — spec §8 listed both there). Latest editions from the new GET /public/next/editions. Walked locally, desktop and phone.</t>
        </is>
      </c>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Code review</t>
        </is>
      </c>
      <c r="J228" s="108" t="n">
        <v>3</v>
      </c>
      <c r="K228" s="109" t="n">
        <v>46294</v>
      </c>
      <c r="L228" s="109" t="n"/>
      <c r="M228" s="110" t="inlineStr">
        <is>
          <t>rcfworks</t>
        </is>
      </c>
      <c r="N228" s="81" t="n">
        <v>1</v>
      </c>
      <c r="O228" s="80" t="inlineStr">
        <is>
          <t>P1-ART-08</t>
        </is>
      </c>
      <c r="P228" s="80" t="inlineStr">
        <is>
          <t>A student completes the wizard on a phone against fixtures; the guardian step appears on the existing minor rule</t>
        </is>
      </c>
      <c r="Q228" s="82" t="inlineStr">
        <is>
          <t>Spec §8, §5.1</t>
        </is>
      </c>
      <c r="R228" s="111" t="inlineStr">
        <is>
          <t xml:space="preserve"> Built 2026-09-29 at /next/apply, phone-first: about you, school (live list, GET /public/next/schools), roles, guardian (only under 18, the API's own rule), review, confirmation; progress saves on the device. Not built (noted): emailed resume link, guardian consent email, 'my school isn't here' waitlist. Walked locally on a phone.</t>
        </is>
      </c>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Code review</t>
        </is>
      </c>
      <c r="J229" s="108" t="n">
        <v>2</v>
      </c>
      <c r="K229" s="109" t="n">
        <v>46294</v>
      </c>
      <c r="L229" s="109" t="n"/>
      <c r="M229" s="110" t="inlineStr">
        <is>
          <t>rcfworks</t>
        </is>
      </c>
      <c r="N229" s="81" t="n"/>
      <c r="O229" s="80" t="inlineStr">
        <is>
          <t>P1-ART-08</t>
        </is>
      </c>
      <c r="P229" s="80" t="inlineStr">
        <is>
          <t>An administrator can read what the school commits to and receives, and forward the page</t>
        </is>
      </c>
      <c r="Q229" s="82" t="inlineStr">
        <is>
          <t>Spec §8, §9.5</t>
        </is>
      </c>
      <c r="R229" s="111" t="inlineStr">
        <is>
          <t xml:space="preserve"> Built 2026-09-29 at /next/schools: the programme proposal from the NEXT programme terms, print-clean, copy link; contact next@sponsorx.net is SIMULATED (NEXT_CONTACT_EMAIL). Walked locally, incl. print.</t>
        </is>
      </c>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Done</t>
        </is>
      </c>
      <c r="J230" s="108" t="n">
        <v>3</v>
      </c>
      <c r="K230" s="109" t="inlineStr">
        <is>
          <t>2026-09-28</t>
        </is>
      </c>
      <c r="L230" s="109" t="inlineStr">
        <is>
          <t>2026-09-28</t>
        </is>
      </c>
      <c r="M230" s="110" t="inlineStr">
        <is>
          <t>HeckerCreatives</t>
        </is>
      </c>
      <c r="N230" s="81" t="n"/>
      <c r="O230" s="80" t="inlineStr">
        <is>
          <t>P9-BE-04, P9-BE-07, P1-FE-19</t>
        </is>
      </c>
      <c r="P230" s="80" t="inlineStr">
        <is>
          <t>Assignments, sales and codes come from the API; no fixture import remains in the student routes</t>
        </is>
      </c>
      <c r="Q230" s="82" t="inlineStr">
        <is>
          <t>Spec §8</t>
        </is>
      </c>
      <c r="R230" s="111" t="inlineStr">
        <is>
          <t>Sales, code, prospects and points are live. Assignments have no backend model (no editorial workflow) and show an honest not-connected state. A sponsor's name is not a STUDENT read, so the attribution ledger shows value and date only — flagged. Added /s/[code] public page; the brief form does not carry a code yet — flagged.</t>
        </is>
      </c>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Done</t>
        </is>
      </c>
      <c r="J231" s="108" t="n">
        <v>2</v>
      </c>
      <c r="K231" s="109" t="inlineStr">
        <is>
          <t>2026-09-28</t>
        </is>
      </c>
      <c r="L231" s="109" t="inlineStr">
        <is>
          <t>2026-09-28</t>
        </is>
      </c>
      <c r="M231" s="110" t="inlineStr">
        <is>
          <t>HeckerCreatives</t>
        </is>
      </c>
      <c r="N231" s="81" t="n"/>
      <c r="O231" s="80" t="inlineStr">
        <is>
          <t>P9-BE-05, P1-FE-20</t>
        </is>
      </c>
      <c r="P231" s="80" t="inlineStr">
        <is>
          <t>An advisor reviews and approves real records, scoped to one school and refused for any other</t>
        </is>
      </c>
      <c r="Q231" s="82" t="inlineStr">
        <is>
          <t>Spec §7, §8</t>
        </is>
      </c>
      <c r="R231" s="111" t="inlineStr">
        <is>
          <t>Applications are live, scoped to the advisor's school; another school's record gets a 403 (walked). Content review has no student-draft model in the backend and shows an honest not-connected state — needs a backend row.</t>
        </is>
      </c>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Done</t>
        </is>
      </c>
      <c r="J232" s="108" t="n">
        <v>3</v>
      </c>
      <c r="K232" s="109" t="inlineStr">
        <is>
          <t>2026-09-28</t>
        </is>
      </c>
      <c r="L232" s="109" t="inlineStr">
        <is>
          <t>2026-09-28</t>
        </is>
      </c>
      <c r="M232" s="110" t="inlineStr">
        <is>
          <t>HeckerCreatives</t>
        </is>
      </c>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Done</t>
        </is>
      </c>
      <c r="J233" s="108" t="n">
        <v>2</v>
      </c>
      <c r="K233" s="109" t="inlineStr">
        <is>
          <t>2026-09-28</t>
        </is>
      </c>
      <c r="L233" s="109" t="inlineStr">
        <is>
          <t>2026-09-28</t>
        </is>
      </c>
      <c r="M233" s="110" t="inlineStr">
        <is>
          <t>HeckerCreatives</t>
        </is>
      </c>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Done</t>
        </is>
      </c>
      <c r="J234" s="108" t="n">
        <v>2</v>
      </c>
      <c r="K234" s="109" t="inlineStr">
        <is>
          <t>2026-09-28</t>
        </is>
      </c>
      <c r="L234" s="109" t="inlineStr">
        <is>
          <t>2026-09-28</t>
        </is>
      </c>
      <c r="M234" s="110" t="inlineStr">
        <is>
          <t>HeckerCreatives</t>
        </is>
      </c>
      <c r="N234" s="81" t="n"/>
      <c r="O234" s="80" t="inlineStr">
        <is>
          <t>P9-BE-06, P1-FE-23</t>
        </is>
      </c>
      <c r="P234" s="80" t="inlineStr">
        <is>
          <t>A real split resolves to four payees on screen with no read of Earning</t>
        </is>
      </c>
      <c r="Q234" s="82" t="inlineStr">
        <is>
          <t>Spec §5.3</t>
        </is>
      </c>
      <c r="R234" s="111" t="inlineStr">
        <is>
          <t>Matrix gap flagged 2026-09-28: FINANCE holds revenueSplit read but no edition read (§15.3), so it cannot list editions to open this screen; SALES holds adSlot write but no edition read, so listSlots/sellCampaignSlots refuse it. Policy decision, not coded around.</t>
        </is>
      </c>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Code review</t>
        </is>
      </c>
      <c r="J235" s="108" t="n">
        <v>2</v>
      </c>
      <c r="K235" s="109" t="n">
        <v>46294</v>
      </c>
      <c r="L235" s="109" t="n"/>
      <c r="M235" s="110" t="inlineStr">
        <is>
          <t>rcfworks</t>
        </is>
      </c>
      <c r="N235" s="81" t="n"/>
      <c r="O235" s="80" t="inlineStr">
        <is>
          <t>P9-BE-04, P1-FE-25</t>
        </is>
      </c>
      <c r="P235" s="80" t="inlineStr">
        <is>
          <t>A real student application is created and reaches the advisor desk; a minor's guardian is captured on the existing rule</t>
        </is>
      </c>
      <c r="Q235" s="82" t="inlineStr">
        <is>
          <t>Spec §5.1, §8</t>
        </is>
      </c>
      <c r="R235" s="111" t="inlineStr">
        <is>
          <t xml:space="preserve"> Built 2026-09-29: the wizard submits to POST /public/students/applications, which now requires and captures a minor's guardian (422 without); the advisor's approval creates the student's and guardian's logins (athlete-login.ts, as P3-BE-15). Verified locally: a 15-year-old applied on a phone and appeared in Ms. Patel's advisor queue. Tests: backend next-public-apply (8, mutation-checked), frontend next-apply (9).</t>
        </is>
      </c>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Done</t>
        </is>
      </c>
      <c r="J236" s="108" t="n">
        <v>3</v>
      </c>
      <c r="K236" s="109" t="inlineStr">
        <is>
          <t>2026-09-25</t>
        </is>
      </c>
      <c r="L236" s="109" t="inlineStr">
        <is>
          <t>2026-09-25</t>
        </is>
      </c>
      <c r="M236" s="110" t="inlineStr">
        <is>
          <t>rcfworks</t>
        </is>
      </c>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inlineStr">
        <is>
          <t>Stage 9 Batch B (gate lifted for the build 2026-09-25). tests/next-students.test.ts (21 tests, HTTP through real auth/scope, mutation-checked). Cross-student (a student reads own record/sales/points/code, a schoolmate's 403, list shows only self) and cross-school (advisor sees own school only, can't add students elsewhere) isolation tested; tenant-isolation sweep grown with tenant-B STUDENT and ADVISOR attacking every route. AthleteRate.amount denied to STUDENT and ADVISOR (field rule + GET /athletes/{id}/rates 403, marker absent). PII: public /s/[code] returns display name + school only (asserted exact keys; legal name absent); application echoes nothing; email optional; age via date or band only. Categories unsuitable for minors (alcohol, vape, gambling, cannabis, firearms, adult, political, religious, pharma, crypto, energy drink, supplements) can't be prospected or redirected to. | 2026-09-25: Done at the user's instruction — acceptance met; tests green in CI.</t>
        </is>
      </c>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Blocked</t>
        </is>
      </c>
      <c r="J237" s="108" t="n">
        <v>3</v>
      </c>
      <c r="K237" s="109" t="n"/>
      <c r="L237" s="109" t="n"/>
      <c r="M237" s="110" t="n"/>
      <c r="N237" s="81" t="n"/>
      <c r="O237" s="80" t="inlineStr">
        <is>
          <t>P9-FE-03, P9-BE-07</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n"/>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Done</t>
        </is>
      </c>
      <c r="J238" s="108" t="n">
        <v>4</v>
      </c>
      <c r="K238" s="109" t="inlineStr">
        <is>
          <t>2026-09-25</t>
        </is>
      </c>
      <c r="L238" s="109" t="inlineStr">
        <is>
          <t>2026-09-25</t>
        </is>
      </c>
      <c r="M238" s="110" t="inlineStr">
        <is>
          <t>rcfworks</t>
        </is>
      </c>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Stage 9 Batch C (gate lifted for the build 2026-09-25). tests/next-rights.test.ts (13 tests, mutation-checked). EditionAsset (an edition's content item — not CreativeAsset, which is an athlete deliverable's) + ContentRight: ONE ledger, three population paths via grantorKind (student / athlete / guardian consent → acceptanceId; BTG / third-party licence → licenseRef; Postgres CHECKs: exactly one basis, matching the grantor). The gate is rightsGap(): ONE query (asserted by counting calls) for assets with no right covering the format on the date. rightsCleared is now COMPUTED at IN_PRODUCTION / PUBLISHED_DIGITAL (digital) and PRINTED checks print — no longer typed in (conditions input is strict; rightsCleared → 400). Tests: production refused until the last asset has a right; digital edition published while print outstanding, PRINTED refused then allowed after a print grant; BTG right defaults mayReuseCommercially=false and POST /edition-assets/{id}/campaign refuses (409) until an explicit commercial grant; consent from someone else doesn't cover an asset. | 2026-09-25: Done at the user's instruction — acceptance met; tests green in CI.</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Done</t>
        </is>
      </c>
      <c r="J239" s="108" t="n">
        <v>4</v>
      </c>
      <c r="K239" s="109" t="inlineStr">
        <is>
          <t>2026-09-25</t>
        </is>
      </c>
      <c r="L239" s="109" t="inlineStr">
        <is>
          <t>2026-09-25</t>
        </is>
      </c>
      <c r="M239" s="110" t="inlineStr">
        <is>
          <t>rcfworks</t>
        </is>
      </c>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Stage 9 Batch C (gate lifted for the build 2026-09-25). tests/next-rights.test.ts (13 tests, mutation-checked). AthleteState FEATURED (edge FEATURED → UNDER_REVIEW only). POST /featured-athletes (editorial; no email, no consent); GET /public/athletes/{slug} (exact keys — no legal name, contact, age, GPA). A featured athlete: invitation refused, rate refused (new guard), absent from matching (tested). AgreementAcceptance gains TYPED SUBJECTS (userId nullable + athleteId/studentId; Postgres CHECK exactly one) — POST /consents records consent with no login; a minor's only via their verified guardian. Agreement.kind + FEATURE/PROFILE/COMMERCIAL (data). Claim: public POST .../claim ('that's me'; roster result never returned) → school verifies (roster match required + that school's ADVISOR; other school 403) → UNDER_REVIEW → guardian linked + verified → approve → ACTIVE refused until the guardian's COMMERCIAL consent is recorded, then allowed. Roster is SIMULATED (RosterEntry, seeded for the pilot; real roster = spec §14 gate 1). P0-LEG-01 tracked on the Legal sheet, not gating. GPA: no column anywhere (asserted). | 2026-09-25: Done at the user's instruction — acceptance met; tests green in CI.</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Done</t>
        </is>
      </c>
      <c r="J240" s="108" t="n">
        <v>2</v>
      </c>
      <c r="K240" s="109" t="inlineStr">
        <is>
          <t>2026-09-25</t>
        </is>
      </c>
      <c r="L240" s="109" t="inlineStr">
        <is>
          <t>2026-09-25</t>
        </is>
      </c>
      <c r="M240" s="110" t="inlineStr">
        <is>
          <t>rcfworks</t>
        </is>
      </c>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Stage 9 gate (P9-PMO-03) lifted for the build by the programme owner 2026-09-25. EditionEvent + EngagementType (QR_SCAN print; LINK_CLICK/PROFILE_VIEW/CAMPAIGN_VIEW/CTA_CLICK digital) — its own stream, RewardEventType untouched (asserted from the schema). PUBLIC POST /public/editions/{id}/events, rate-limited, only on a published edition and a real target. Sponsor report gains adPlacements + editionEngagement {print, digital}, never pooled; ad spend now counts in media value. Test: six events → five types as separate rows; report shows print 2 vs digital separately; reward funnel unchanged. | 2026-09-25: Done at the user's instruction — acceptance met; tests green in CI.</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Done</t>
        </is>
      </c>
      <c r="J241" s="108" t="n">
        <v>3</v>
      </c>
      <c r="K241" s="109" t="inlineStr">
        <is>
          <t>2026-09-25</t>
        </is>
      </c>
      <c r="L241" s="109" t="inlineStr">
        <is>
          <t>2026-09-25</t>
        </is>
      </c>
      <c r="M241" s="110" t="inlineStr">
        <is>
          <t>rcfworks</t>
        </is>
      </c>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Stage 9 Batch B (gate lifted for the build 2026-09-25). tests/next-students.test.ts (21 tests, HTTP through real auth/scope, mutation-checked). SalesAttribution is immutable IN POSTGRES (trigger sales_attribution_immutable; deletion only via a deliberate SET LOCAL purge for teardown/lawful erasure). Sponsor gains ownership (default SPONSORX) / schoolPropertyId / assignedStudentId; a student's first sale to a new account sets STUDENT_ORIGINATED, never moved after. Tests: graduating (INACTIVE) leaves attribution rows byte-identical and staff can still read them; direct UPDATE/DELETE refused; POST /sponsors/{id}/assigned-student changes only assignedStudentId (every other column snapshot-compared). Sponsor Acceptance Check: POST /prospects/{id}/decision — reject needs a reason code (422 without), queues notify.email student.prospectDeclined to the student (or guardian), leaves attribution + points identical, and on CATEGORY_EXCLUSIVE offers open categories (excludes the held presenting-sponsor category and minor-unsuitable ones). Content Conflict Check is the rights workflow — Batch C. | 2026-09-25: Done at the user's instruction — acceptance met; tests green in CI.</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Done</t>
        </is>
      </c>
      <c r="J242" s="108" t="n">
        <v>2</v>
      </c>
      <c r="K242" s="109" t="inlineStr">
        <is>
          <t>2026-09-25</t>
        </is>
      </c>
      <c r="L242" s="109" t="inlineStr">
        <is>
          <t>2026-09-25</t>
        </is>
      </c>
      <c r="M242" s="110" t="inlineStr">
        <is>
          <t>rcfworks</t>
        </is>
      </c>
      <c r="N242" s="81" t="n"/>
      <c r="O242" s="80" t="inlineStr">
        <is>
          <t>P9-BE-06, P9-BE-13</t>
        </is>
      </c>
      <c r="P242" s="80" t="inlineStr">
        <is>
          <t>A DMV edition draws from several schools and both pools resolve by formula with no manual adjudication</t>
        </is>
      </c>
      <c r="Q242" s="82" t="inlineStr">
        <is>
          <t>Spec v2.0 §5.7</t>
        </is>
      </c>
      <c r="R242" s="111" t="inlineStr">
        <is>
          <t>Stage 9 Batch C (gate lifted for the build 2026-09-25). tests/next-rights.test.ts (13 tests, mutation-checked). ContentContribution (FEATURE 5 · PHOTO_PACKAGE 3 · INTERVIEW 3 · VIDEO 5) + SchoolPoolAllocation. When a REGIONAL edition (publication with no school) publishes, the SCHOOL split resolves by formula into SALES (by schools' SalesAttribution in the edition) and CONTENT (units ÷ total units × pool) — 50/50 SIMULATED in the rate-card doc; largest-remainder so each pool sums exactly. Test: three schools — sales 600:200, content 5:6 → exact cents asserted; the school with no content gets no CONTENT row; no route writes pools (asserted over the OpenAPI registry); a school's own edition has none. | 2026-09-25: Done at the user's instruction — acceptance met; tests green in CI.</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Done</t>
        </is>
      </c>
      <c r="J243" s="108" t="n">
        <v>3</v>
      </c>
      <c r="K243" s="109" t="inlineStr">
        <is>
          <t>2026-09-25</t>
        </is>
      </c>
      <c r="L243" s="109" t="inlineStr">
        <is>
          <t>2026-09-25</t>
        </is>
      </c>
      <c r="M243" s="110" t="inlineStr">
        <is>
          <t>rcfworks</t>
        </is>
      </c>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inlineStr">
        <is>
          <t>Stage 9 Batch B (gate lifted for the build 2026-09-25). tests/next-students.test.ts (21 tests, HTTP through real auth/scope, mutation-checked). StudentPointAccrual: ARTICLE 50, INTERVIEW 25, PHOTO 25, APPOINTMENT 25, SALES_500 100, VIEWS_BONUS (1–1000); against a student and optionally an edition. SALES_500 only from an attributed sale (one per $500 crossed, same transaction) — refused as manual input. Written by BTG, never the student (403 tested). No cents column, no Earning relation, Earning has no student/points reference (asserted from schema); no route converts points (asserted over the OpenAPI registry). Redemption absent by design. | 2026-09-25: Done at the user's instruction — acceptance met; tests green in CI.</t>
        </is>
      </c>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Done</t>
        </is>
      </c>
      <c r="J244" s="108" t="n">
        <v>5</v>
      </c>
      <c r="K244" s="109" t="inlineStr">
        <is>
          <t>2026-09-24</t>
        </is>
      </c>
      <c r="L244" s="109" t="inlineStr">
        <is>
          <t>2026-09-24</t>
        </is>
      </c>
      <c r="M244" s="110" t="inlineStr">
        <is>
          <t>HeckerCreatives</t>
        </is>
      </c>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 Built 2026-09-24 despite the P1-ART-08 gate, deliberately: the spec constrains this screen hard (existing type scale, principle 10), so design-rebuild risk is minimal - re-check against ART-08 when it lands. Walks the flatplan in page order; reserved slots not public; unknown editions 404 (unpublished-unreachable, P9-FE-07 enforces later).</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Done</t>
        </is>
      </c>
      <c r="J245" s="108" t="n">
        <v>3</v>
      </c>
      <c r="K245" s="109" t="inlineStr">
        <is>
          <t>2026-09-28</t>
        </is>
      </c>
      <c r="L245" s="109" t="inlineStr">
        <is>
          <t>2026-09-28</t>
        </is>
      </c>
      <c r="M245" s="110" t="inlineStr">
        <is>
          <t>HeckerCreatives</t>
        </is>
      </c>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inlineStr">
        <is>
          <t>Built directly on the live public profile (GET /public/athletes/:slug) rather than on fixtures — the backend already existed. Non-featured slugs keep the existing view unchanged.</t>
        </is>
      </c>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Done</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Done</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Done</t>
        </is>
      </c>
      <c r="J248" s="108" t="n">
        <v>2</v>
      </c>
      <c r="K248" s="109" t="inlineStr">
        <is>
          <t>2026-09-28</t>
        </is>
      </c>
      <c r="L248" s="109" t="inlineStr">
        <is>
          <t>2026-09-28</t>
        </is>
      </c>
      <c r="M248" s="110" t="inlineStr">
        <is>
          <t>HeckerCreatives</t>
        </is>
      </c>
      <c r="N248" s="81" t="n"/>
      <c r="O248" s="80" t="inlineStr">
        <is>
          <t>P9-BE-02, P1-FE-27</t>
        </is>
      </c>
      <c r="P248" s="80" t="inlineStr">
        <is>
          <t>A published edition reads from the API; an unpublished one is unreachable</t>
        </is>
      </c>
      <c r="Q248" s="82" t="inlineStr">
        <is>
          <t>Spec v2.0 §8</t>
        </is>
      </c>
      <c r="R248" s="111" t="inlineStr">
        <is>
          <t>Added GET /public/editions/:school/:id (published only; rights-cleared contents; display-name bylines; sponsors, no prices). Article prose is not stored — the ledger holds titles + R2 keys — so the reader lists contents. The fixture showcase address (northside-high/fall-2026) is kept.</t>
        </is>
      </c>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Done</t>
        </is>
      </c>
      <c r="J249" s="108" t="n">
        <v>3</v>
      </c>
      <c r="K249" s="109" t="inlineStr">
        <is>
          <t>2026-09-28</t>
        </is>
      </c>
      <c r="L249" s="109" t="inlineStr">
        <is>
          <t>2026-09-28</t>
        </is>
      </c>
      <c r="M249" s="110" t="inlineStr">
        <is>
          <t>HeckerCreatives</t>
        </is>
      </c>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inlineStr">
        <is>
          <t>Steps 1 (public claim) and 2 (advisor verify/reject; off-roster claims can't be verified) are live and walked 16/16. Step 3, the guardian's COMMERCIAL consent, is enforced by the backend at activation. Capturing it (POST /consents with the agreement shown) has no UI yet, and a guardian has no account — flagged.</t>
        </is>
      </c>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Done</t>
        </is>
      </c>
      <c r="J250" s="108" t="n">
        <v>2</v>
      </c>
      <c r="K250" s="109" t="inlineStr">
        <is>
          <t>2026-09-28</t>
        </is>
      </c>
      <c r="L250" s="109" t="inlineStr">
        <is>
          <t>2026-09-28</t>
        </is>
      </c>
      <c r="M250" s="110" t="inlineStr">
        <is>
          <t>HeckerCreatives</t>
        </is>
      </c>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Done</t>
        </is>
      </c>
      <c r="J251" s="108" t="n">
        <v>2</v>
      </c>
      <c r="K251" s="109" t="inlineStr">
        <is>
          <t>2026-09-28</t>
        </is>
      </c>
      <c r="L251" s="109" t="inlineStr">
        <is>
          <t>2026-09-28</t>
        </is>
      </c>
      <c r="M251" s="110" t="inlineStr">
        <is>
          <t>HeckerCreatives</t>
        </is>
      </c>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s="75">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row r="254" s="75">
      <c r="A254" s="104" t="n">
        <v>128.5</v>
      </c>
      <c r="B254" s="105" t="inlineStr">
        <is>
          <t>P6-BE-08</t>
        </is>
      </c>
      <c r="C254" s="81" t="n">
        <v>6</v>
      </c>
      <c r="D254" s="82" t="inlineStr">
        <is>
          <t>Measurement &amp; Reward</t>
        </is>
      </c>
      <c r="E254" s="139" t="inlineStr">
        <is>
          <t>BE</t>
        </is>
      </c>
      <c r="F254" s="120" t="inlineStr">
        <is>
          <t>Code</t>
        </is>
      </c>
      <c r="G254" s="80" t="inlineStr">
        <is>
          <t>Reward eligibility, redemption cap and landing copy fields</t>
        </is>
      </c>
      <c r="H254" s="107" t="inlineStr">
        <is>
          <t>Raised 2026-09-28 by the P6-FE-01 wiring. §9 screen 10 asks the reward creator to configure eligibility (who qualifies), redemption limits and the landing page — the Reward model has no columns for any of them (offerText, terms, singleUse, expiresAt only). Add them (migration + contract + domain enforcement: a cap must be checked in the redeem transaction, not the UI), then P6-FE-01 exposes them. Consent copy is deliberately NOT per reward: it is versioned centrally (fan-consent.ts, P6-SEC-01) so the claim records the words the fan saw — confirm that reading of the acceptance.</t>
        </is>
      </c>
      <c r="I254" s="108" t="inlineStr">
        <is>
          <t>Done</t>
        </is>
      </c>
      <c r="J254" s="108" t="n">
        <v>2</v>
      </c>
      <c r="K254" s="109" t="inlineStr">
        <is>
          <t>2026-09-28</t>
        </is>
      </c>
      <c r="L254" s="109" t="inlineStr">
        <is>
          <t>2026-09-28</t>
        </is>
      </c>
      <c r="M254" s="110" t="inlineStr">
        <is>
          <t>rcfworks + HeckerCreatives</t>
        </is>
      </c>
      <c r="N254" s="81" t="inlineStr">
        <is>
          <t>P6-FE-01</t>
        </is>
      </c>
      <c r="O254" s="80" t="inlineStr">
        <is>
          <t>P6-BE-02</t>
        </is>
      </c>
      <c r="P254" s="80" t="inlineStr">
        <is>
          <t>Eligibility, a redemption cap and landing headline/subhead persist on Reward; the cap is enforced race-safely at redeem; the public view serves the landing copy for the fan page to render (the rendering itself is P6-FE-04); tenant-isolation sweep still green</t>
        </is>
      </c>
      <c r="Q254" s="82" t="inlineStr">
        <is>
          <t>§9 screen 10, §16</t>
        </is>
      </c>
      <c r="R254" s="111" t="inlineStr">
        <is>
          <t>Raised by HeckerCreatives 2026-09-28 (P6-FE-01). | 2026-09-28 BACKEND DONE, ONE CLAUSE IS FRONTEND. Reward gains eligibility, redemptionCap (+ redemptionCount) and landingHeadline/landingSubhead (migration 20260928180000; POST /campaigns/{id}/rewards accepts them). The cap is enforced race-safely in the redeem transaction by one conditional UPDATE of redemptionCount (Postgres row lock + re-check; DB CHECK count ≤ cap): 8 booths redeeming at once against a cap of 3 → exactly 3 succeed, 5 get 409 kind REDEMPTION_CAP, 3 REDEEM rows. A used code stays 409 'already used' (no kind). GET /public/rewards/{token} now returns landing {headline, subhead}, eligibility and capReached, so the page has what it needs. Consent copy confirmed central, not per reward (fan-consent.ts). Tenant-isolation sweep green. Tests: tests/reward-eligibility-cap.test.ts, mutation-checked (cap ignored; read-then-write race). OPEN: 'the fan page renders the landing copy' is a frontend change (frontend/src/server/fan-page.ts renders the view's landing/eligibility, and the redeem route maps error.kind REDEMPTION_CAP to its own message) — left for the frontend owner, not done from the backend side. | 2026-09-28: acceptance re-scoped at the programme owner's instruction — the fan page's rendering is split into P6-FE-04 — and moved to Done: every backend clause is met (see above), CI green (PR #105).</t>
        </is>
      </c>
    </row>
    <row r="255" s="75">
      <c r="A255" s="104" t="n">
        <v>128.6</v>
      </c>
      <c r="B255" s="105" t="inlineStr">
        <is>
          <t>P6-FE-04</t>
        </is>
      </c>
      <c r="C255" s="81" t="n">
        <v>6</v>
      </c>
      <c r="D255" s="82" t="inlineStr">
        <is>
          <t>Measurement &amp; Reward</t>
        </is>
      </c>
      <c r="E255" s="139" t="inlineStr">
        <is>
          <t>FE</t>
        </is>
      </c>
      <c r="F255" s="120" t="inlineStr">
        <is>
          <t>Code</t>
        </is>
      </c>
      <c r="G255" s="80" t="inlineStr">
        <is>
          <t>Render reward landing copy, eligibility and cap on the fan page</t>
        </is>
      </c>
      <c r="H255" s="107" t="inlineStr">
        <is>
          <t>Split out of P6-BE-08 on 2026-09-28 at the programme owner's instruction, so the backend task stays backend-only. The public view (GET /public/rewards/{token}) now returns landing {headline, subhead}, eligibility and capReached; the fan page (frontend/src/server/fan-page.ts) renders them, and the redeem route tells a spent cap (409 with error.kind REDEMPTION_CAP) apart from an already-used code.</t>
        </is>
      </c>
      <c r="I255" s="108" t="inlineStr">
        <is>
          <t>Done</t>
        </is>
      </c>
      <c r="J255" s="108" t="n">
        <v>1</v>
      </c>
      <c r="K255" s="109" t="inlineStr">
        <is>
          <t>2026-09-28</t>
        </is>
      </c>
      <c r="L255" s="109" t="inlineStr">
        <is>
          <t>2026-09-28</t>
        </is>
      </c>
      <c r="M255" s="110" t="inlineStr">
        <is>
          <t>HeckerCreatives</t>
        </is>
      </c>
      <c r="N255" s="81" t="n">
        <v>0</v>
      </c>
      <c r="O255" s="80" t="inlineStr">
        <is>
          <t>P6-BE-08</t>
        </is>
      </c>
      <c r="P255" s="80" t="inlineStr">
        <is>
          <t>The fan page renders the reward's landing headline, subhead and eligibility from the public view; a spent cap (capReached) shows its own message with no claim or redeem form; the booth's redeem result tells REDEMPTION_CAP apart from an already-used code</t>
        </is>
      </c>
      <c r="Q255" s="82" t="inlineStr">
        <is>
          <t>§9 screen 10, §16</t>
        </is>
      </c>
      <c r="R255" s="111" t="inlineStr">
        <is>
          <t>2026-09-28: raised by the programme owner — the frontend half of P6-BE-08's acceptance, moved here. The backend it reads from is done.</t>
        </is>
      </c>
    </row>
    <row r="256" ht="35.05" customHeight="1" s="75">
      <c r="A256" s="112" t="n">
        <v>68.5</v>
      </c>
      <c r="B256" s="113" t="inlineStr">
        <is>
          <t>P3-BE-15</t>
        </is>
      </c>
      <c r="C256" s="85" t="n">
        <v>3</v>
      </c>
      <c r="D256" s="86" t="inlineStr">
        <is>
          <t>Athlete Network</t>
        </is>
      </c>
      <c r="E256" s="114" t="inlineStr">
        <is>
          <t>BE</t>
        </is>
      </c>
      <c r="F256" s="115" t="inlineStr">
        <is>
          <t>Code</t>
        </is>
      </c>
      <c r="G256" s="84" t="inlineStr">
        <is>
          <t>Give an approved athlete, and a linked guardian, a login</t>
        </is>
      </c>
      <c r="H256" s="116" t="inlineStr">
        <is>
          <t>Approving an application tells the athlete to sign in, but no SponsorX account exists for them, so the sign-in lands on "no SponsorX account". Found in the staging walkthrough. Approval creates the athlete's login, and a guardian's where one is linked; a guardian linked after approval gets theirs then.</t>
        </is>
      </c>
      <c r="I256" s="108" t="inlineStr">
        <is>
          <t>Code review</t>
        </is>
      </c>
      <c r="J256" s="108" t="n">
        <v>1</v>
      </c>
      <c r="K256" s="109" t="n">
        <v>46294</v>
      </c>
      <c r="L256" s="109" t="n"/>
      <c r="M256" s="110" t="inlineStr">
        <is>
          <t>rcfworks</t>
        </is>
      </c>
      <c r="N256" s="85" t="n">
        <v>0</v>
      </c>
      <c r="O256" s="84" t="inlineStr">
        <is>
          <t>P3-BE-07</t>
        </is>
      </c>
      <c r="P256" s="84" t="inlineStr">
        <is>
          <t>An approved applicant signs in with the email they applied with and lands in the athlete portal as that athlete; a linked guardian signs in as that guardian; approving creates no duplicate and never takes over an address another account already uses; it commits in the same transaction as the decision</t>
        </is>
      </c>
      <c r="Q256" s="86" t="inlineStr">
        <is>
          <t>§21, §4</t>
        </is>
      </c>
      <c r="R256" s="111" t="inlineStr">
        <is>
          <t>2026-09-29: raised by the programme owner from the staging walkthrough (sign-up to payout, as each person). Built 2026-09-29: src/domain/athlete-login.ts, called inside reviewApplication's transaction on APPROVED (athlete + linked guardian) and from linkGuardian when the athlete is already APPROVED/ACTIVE. Invitation-to-claim rows (placeholder clerkId), never a takeover of an address held in any tenant; outcome returned as `login` on the decision; audited as user.provision. Approval email now says to sign in with the applied address. Tests: tests/athlete-login.test.ts (real Postgres, sign-in through the identity path) + 7 in application.review.test.ts; mutation-checked.</t>
        </is>
      </c>
    </row>
    <row r="257" ht="35.05" customHeight="1" s="75">
      <c r="A257" s="112" t="n">
        <v>76.5</v>
      </c>
      <c r="B257" s="113" t="inlineStr">
        <is>
          <t>P3-FE-06</t>
        </is>
      </c>
      <c r="C257" s="85" t="n">
        <v>3</v>
      </c>
      <c r="D257" s="86" t="inlineStr">
        <is>
          <t>Athlete Network</t>
        </is>
      </c>
      <c r="E257" s="114" t="inlineStr">
        <is>
          <t>FE</t>
        </is>
      </c>
      <c r="F257" s="115" t="inlineStr">
        <is>
          <t>Code</t>
        </is>
      </c>
      <c r="G257" s="84" t="inlineStr">
        <is>
          <t>Wire the athlete portal home to real data</t>
        </is>
      </c>
      <c r="H257" s="116" t="inlineStr">
        <is>
          <t>The athlete home still shows a sample athlete ("Shammah") behind a demo banner, while invitations, deliverables, earnings and profile are live on their own pages. The home should summarise the signed-in athlete's own real figures.</t>
        </is>
      </c>
      <c r="I257" s="108" t="inlineStr">
        <is>
          <t>Code review</t>
        </is>
      </c>
      <c r="J257" s="108" t="n">
        <v>3</v>
      </c>
      <c r="K257" s="109" t="n">
        <v>46294</v>
      </c>
      <c r="L257" s="109" t="n"/>
      <c r="M257" s="110" t="inlineStr">
        <is>
          <t>rcfworks</t>
        </is>
      </c>
      <c r="N257" s="85" t="n">
        <v>0</v>
      </c>
      <c r="O257" s="84" t="inlineStr">
        <is>
          <t>P3-FE-03, P4-FE-04, P7-FE-01</t>
        </is>
      </c>
      <c r="P257" s="84" t="inlineStr">
        <is>
          <t>The home shows the signed-in athlete's own name, open invitations, deliverables due and earnings from the live reads; the demo banner is gone; a new athlete with nothing yet sees honest empty states</t>
        </is>
      </c>
      <c r="Q257" s="86" t="inlineStr">
        <is>
          <t>§9, §21</t>
        </is>
      </c>
      <c r="R257" s="111" t="inlineStr">
        <is>
          <t>2026-09-29: raised by the programme owner from the staging walkthrough (sign-up to payout, as each person). Built 2026-09-29: /athlete now reads /athletes/me, /invitations, /deliverables and /earnings — greeting, status, profile completion with missing sections, open invitations, deliverables due, earnings by status; demo banner and sample athlete gone; a guardian sees their ward's work without a profile block. Verified locally as Riley.</t>
        </is>
      </c>
    </row>
    <row r="258" ht="35.05" customHeight="1" s="75">
      <c r="A258" s="112" t="n">
        <v>76.59999999999999</v>
      </c>
      <c r="B258" s="113" t="inlineStr">
        <is>
          <t>P3-FE-07</t>
        </is>
      </c>
      <c r="C258" s="85" t="n">
        <v>3</v>
      </c>
      <c r="D258" s="86" t="inlineStr">
        <is>
          <t>Athlete Network</t>
        </is>
      </c>
      <c r="E258" s="114" t="inlineStr">
        <is>
          <t>FE</t>
        </is>
      </c>
      <c r="F258" s="115" t="inlineStr">
        <is>
          <t>Code</t>
        </is>
      </c>
      <c r="G258" s="84" t="inlineStr">
        <is>
          <t>Wire the property portal to the manager's own property</t>
        </is>
      </c>
      <c r="H258" s="116" t="inlineStr">
        <is>
          <t>The property portal shows a sample property ("BTG Sports Talk") behind a demo banner. GET /properties/mine already returns the manager's property; the portal should render it, its roster and its inventory.</t>
        </is>
      </c>
      <c r="I258" s="108" t="inlineStr">
        <is>
          <t>Code review</t>
        </is>
      </c>
      <c r="J258" s="108" t="n">
        <v>3</v>
      </c>
      <c r="K258" s="109" t="n">
        <v>46294</v>
      </c>
      <c r="L258" s="109" t="n"/>
      <c r="M258" s="110" t="inlineStr">
        <is>
          <t>rcfworks</t>
        </is>
      </c>
      <c r="N258" s="85" t="n">
        <v>0</v>
      </c>
      <c r="O258" s="84" t="inlineStr">
        <is>
          <t>P9-OPS-01</t>
        </is>
      </c>
      <c r="P258" s="84" t="inlineStr">
        <is>
          <t>A property manager sees their own property's name, kind and roster; no sample property appears; another property's data is never shown</t>
        </is>
      </c>
      <c r="Q258" s="86" t="inlineStr">
        <is>
          <t>§8</t>
        </is>
      </c>
      <c r="R258" s="111" t="inlineStr">
        <is>
          <t>2026-09-29: raised by the programme owner from the staging walkthrough (sign-up to payout, as each person). Built 2026-09-29: /property now reads /properties/mine and /team/roster — name, kind, place, roster with team shares, inventory (active/paused, price, quantity; listing review status is not shown, it isn't on the item). Verified locally as the Hawks manager.</t>
        </is>
      </c>
    </row>
    <row r="259" ht="35.05" customHeight="1" s="75">
      <c r="A259" s="112" t="n">
        <v>94.5</v>
      </c>
      <c r="B259" s="113" t="inlineStr">
        <is>
          <t>P4-FE-07</t>
        </is>
      </c>
      <c r="C259" s="85" t="n">
        <v>4</v>
      </c>
      <c r="D259" s="86" t="inlineStr">
        <is>
          <t>Sponsor Demand &amp; Matching</t>
        </is>
      </c>
      <c r="E259" s="114" t="inlineStr">
        <is>
          <t>FE</t>
        </is>
      </c>
      <c r="F259" s="115" t="inlineStr">
        <is>
          <t>Code</t>
        </is>
      </c>
      <c r="G259" s="84" t="inlineStr">
        <is>
          <t>Qualify and approve a sponsor brief from the admin workspace</t>
        </is>
      </c>
      <c r="H259" s="116" t="inlineStr">
        <is>
          <t>A sponsor's brief arrives as DRAFT, and the Matching Studio only shows QUALIFIED or APPROVED briefs, but no screen moves a brief on: POST /briefs/:id/transition has no caller. The Campaigns page also doesn't link to the Matching Studio while there are no campaigns. Found in the staging walkthrough.</t>
        </is>
      </c>
      <c r="I259" s="108" t="inlineStr">
        <is>
          <t>Code review</t>
        </is>
      </c>
      <c r="J259" s="108" t="n">
        <v>1</v>
      </c>
      <c r="K259" s="109" t="n">
        <v>46294</v>
      </c>
      <c r="L259" s="109" t="n"/>
      <c r="M259" s="110" t="inlineStr">
        <is>
          <t>rcfworks</t>
        </is>
      </c>
      <c r="N259" s="85" t="n">
        <v>0</v>
      </c>
      <c r="O259" s="84" t="inlineStr">
        <is>
          <t>P4-BE-02, P4-FE-01</t>
        </is>
      </c>
      <c r="P259" s="84" t="inlineStr">
        <is>
          <t>BTG staff see incoming briefs, can qualify, approve or close each one, and a qualified brief then opens in the Matching Studio; the Campaigns page links to briefs waiting for matching</t>
        </is>
      </c>
      <c r="Q259" s="86" t="inlineStr">
        <is>
          <t>§9 screen 8, §23</t>
        </is>
      </c>
      <c r="R259" s="111" t="inlineStr">
        <is>
          <t>2026-09-29: raised by the programme owner from the staging walkthrough (sign-up to payout, as each person). Built 2026-09-29 from the Claude Design canvas: /admin/briefs (Briefs in the admin nav) — state tabs with counts, search, sport filter, detail panel (beside the list on desktop, full screen on phone) with Qualify / Approve / Close with a reason / Open in Matching Studio; the Campaigns page gains an 'N briefs waiting for matching' link, hidden when nothing waits. Backend: CampaignBrief.closeReason (migration 20260929120000), required when BTG staff close, shown back by GET /briefs and on the brief.close audit row; package price added to the brief list. Verified locally as the campaign manager: qualify, close-with-reason, and the qualified brief opens in the Matching Studio. Tests: frontend gap-screens-live, backend operations-board.</t>
        </is>
      </c>
    </row>
    <row r="260" ht="35.05" customHeight="1" s="75">
      <c r="A260" s="112" t="n">
        <v>150.5</v>
      </c>
      <c r="B260" s="113" t="inlineStr">
        <is>
          <t>P7-FE-06</t>
        </is>
      </c>
      <c r="C260" s="85" t="n">
        <v>7</v>
      </c>
      <c r="D260" s="86" t="inlineStr">
        <is>
          <t>Money &amp; Reporting</t>
        </is>
      </c>
      <c r="E260" s="114" t="inlineStr">
        <is>
          <t>FE</t>
        </is>
      </c>
      <c r="F260" s="115" t="inlineStr">
        <is>
          <t>Code</t>
        </is>
      </c>
      <c r="G260" s="84" t="inlineStr">
        <is>
          <t>Wire the admin Operations Board to real data</t>
        </is>
      </c>
      <c r="H260" s="116" t="inlineStr">
        <is>
          <t>The admin home (Operations Board) is sample data behind a demo banner, including its "Briefs to match" and "Applications waiting" counts. Its figures should come from the live reads the other admin pages already use.</t>
        </is>
      </c>
      <c r="I260" s="108" t="inlineStr">
        <is>
          <t>Code review</t>
        </is>
      </c>
      <c r="J260" s="108" t="n">
        <v>3</v>
      </c>
      <c r="K260" s="109" t="n">
        <v>46294</v>
      </c>
      <c r="L260" s="109" t="n"/>
      <c r="M260" s="110" t="inlineStr">
        <is>
          <t>rcfworks</t>
        </is>
      </c>
      <c r="N260" s="85" t="n">
        <v>0</v>
      </c>
      <c r="O260" s="84" t="inlineStr">
        <is>
          <t>P7-FE-05</t>
        </is>
      </c>
      <c r="P260" s="84" t="inlineStr">
        <is>
          <t>Every figure on the Operations Board comes from a live read or is removed; the queue counts match the Applications, Approvals, Campaigns and Finance pages; the demo banner is gone</t>
        </is>
      </c>
      <c r="Q260" s="86" t="inlineStr">
        <is>
          <t>§23</t>
        </is>
      </c>
      <c r="R260" s="111" t="inlineStr">
        <is>
          <t>2026-09-29: raised by the programme owner from the staging walkthrough (sign-up to payout, as each person). Built 2026-09-29: /admin reads the new GET /operations/board (queue counts per role, null where the role doesn't read a queue, 403 for non-staff), /operations/delivery-health and /operations/integration-health. Sample GMV, growth and 'median brief → match' figures removed; Clerk dropped from integration health (no source). Verified locally as BTG admin and as finance.</t>
        </is>
      </c>
    </row>
    <row r="261" s="75">
      <c r="A261" s="112" t="n">
        <v>55.1</v>
      </c>
      <c r="B261" s="113" t="inlineStr">
        <is>
          <t>P2-FE-02</t>
        </is>
      </c>
      <c r="C261" s="85" t="n">
        <v>2</v>
      </c>
      <c r="D261" s="86" t="inlineStr">
        <is>
          <t>Platform Foundations</t>
        </is>
      </c>
      <c r="E261" s="121" t="inlineStr">
        <is>
          <t>FE</t>
        </is>
      </c>
      <c r="F261" s="122" t="inlineStr">
        <is>
          <t>Code</t>
        </is>
      </c>
      <c r="G261" s="84" t="inlineStr">
        <is>
          <t>Server-side pagination for every growing list</t>
        </is>
      </c>
      <c r="H261" s="116" t="inlineStr">
        <is>
          <t>No list fetches every row and slices it in the browser: every list that grows with use asks the API for one page (page, size, search, filters and sort done in the database) and every count or money total on those screens is a database aggregate.</t>
        </is>
      </c>
      <c r="I261" s="108" t="inlineStr">
        <is>
          <t>Done</t>
        </is>
      </c>
      <c r="J261" s="108" t="n">
        <v>3</v>
      </c>
      <c r="K261" s="109" t="inlineStr">
        <is>
          <t>2026-09-29</t>
        </is>
      </c>
      <c r="L261" s="109" t="inlineStr">
        <is>
          <t>2026-09-29</t>
        </is>
      </c>
      <c r="M261" s="110" t="inlineStr">
        <is>
          <t>HeckerCreatives</t>
        </is>
      </c>
      <c r="N261" s="85" t="n"/>
      <c r="O261" s="84" t="inlineStr">
        <is>
          <t>P2-FE-01</t>
        </is>
      </c>
      <c r="P261" s="84" t="inlineStr">
        <is>
          <t>Each unbounded list is offset-paged by the API (?page ?size, true total); page 1 carries only page 1 rows; filters/search/sort run server-side and reset to page 1; totals come from summary endpoints; house pager (12/24/60, top + bottom); unpaged API behaviour unchanged for other callers</t>
        </is>
      </c>
      <c r="Q261" s="86" t="inlineStr">
        <is>
          <t>Memory/2026-09-29/pagination.md</t>
        </is>
      </c>
      <c r="R261" s="111" t="inlineStr">
        <is>
          <t>2026-09-29 (HeckerCreatives; six parallel agents + orchestrator). Shared: backend/src/lib/paging.ts (offset paging + total, opt-in by ?page), frontend lib/list-query.ts + components/server-pager.tsx (URL-driven server pager, two-list keys). Converted: sponsor campaigns list + dashboard + admin board (/campaigns ?page, /campaigns/summary); admin campaigns (tabs, health/attention), briefs picker, eligible athletes, athlete invitations (+/invitations/summary), network reach list; applications desk (+summary); approvals desk + athlete deliverables calendar (month range) (+summary); finance earnings/reconciliation/invoices + athlete earnings (+/earnings/summary; reconciliation no longer built from 500 capped earnings); rewards desk (+summary; campaign picker now searches); advisor students/claims + NEXT sales/prospects/points (DB _sum/groupBy); property roster + inventory (/team/athletes, /team/inventory); athlete home (summaries + top-10 queues). Left client-side on purpose (bounded): package + NIL-job catalogues, commission rules, per-edition NEXT ledgers, integration health, campaign ops roster. Dropped in live mode (computed, not SQL-sortable): campaign spend/progress sort + pacing filter; applications score sort; matching margin/cost sorts; earnings exact last-change order. Verified: backend 1821/1821, frontend 454/454, build green, official e2e 15/7/0, signed-in walk over 20 list routes (200, pagers top+bottom, 0 overflow, 0 console errors).</t>
        </is>
      </c>
    </row>
    <row r="262" s="75">
      <c r="A262" s="104" t="n">
        <v>65.7</v>
      </c>
      <c r="B262" s="105" t="inlineStr">
        <is>
          <t>P3-BE-16</t>
        </is>
      </c>
      <c r="C262" s="81" t="n">
        <v>3</v>
      </c>
      <c r="D262" s="82" t="inlineStr">
        <is>
          <t>Athlete Network</t>
        </is>
      </c>
      <c r="E262" s="139" t="inlineStr">
        <is>
          <t>BE</t>
        </is>
      </c>
      <c r="F262" s="120" t="inlineStr">
        <is>
          <t>Code</t>
        </is>
      </c>
      <c r="G262" s="80" t="inlineStr">
        <is>
          <t>Post-approval athlete profile edits (non-social sections)</t>
        </is>
      </c>
      <c r="H262" s="107" t="inlineStr">
        <is>
          <t>Let an approved athlete change their own profile sections - identity, sport, capabilities, interests, restrictions - with BTG review before anything public changes. Today only socials (PUT /athletes/:id/socials) can be written after approval.</t>
        </is>
      </c>
      <c r="I262" s="108" t="inlineStr">
        <is>
          <t>Done</t>
        </is>
      </c>
      <c r="J262" s="108" t="n">
        <v>3</v>
      </c>
      <c r="K262" s="109" t="inlineStr">
        <is>
          <t>2026-09-29</t>
        </is>
      </c>
      <c r="L262" s="109" t="inlineStr">
        <is>
          <t>2026-09-29</t>
        </is>
      </c>
      <c r="M262" s="110" t="inlineStr">
        <is>
          <t>HeckerCreatives</t>
        </is>
      </c>
      <c r="N262" s="81" t="n"/>
      <c r="O262" s="80" t="inlineStr">
        <is>
          <t>P3-FE-03</t>
        </is>
      </c>
      <c r="P262" s="80" t="inlineStr">
        <is>
          <t>An athlete can submit a change to each editable section; public-facing changes reach the public profile only after BTG approves; restrictions changes feed the conflict check; tenant + own-scope tests; the live editor offers Save for those sections</t>
        </is>
      </c>
      <c r="Q262" s="82" t="inlineStr">
        <is>
          <t>§11, §24</t>
        </is>
      </c>
      <c r="R262" s="111" t="inlineStr">
        <is>
          <t>Raised 2026-09-29 by HeckerCreatives during P2-FE-01. Product decision (user, 2026-09-29): until this lands, the live editor is seeded from /athletes/me, saves socials only, and every other section says "ask your BTG contact". Needs a change-request model (or a direct-save policy decision) before code. Built 2026-09-29: AthleteProfileChange model, POST /athletes/:id/profile-changes, GET /profile-changes (paged desk), approve/decline/withdraw; /admin/profile-changes desk; live editor sections send change requests.</t>
        </is>
      </c>
    </row>
    <row r="263" s="75">
      <c r="A263" s="104" t="n">
        <v>82.5</v>
      </c>
      <c r="B263" s="105" t="inlineStr">
        <is>
          <t>P3-FE-08</t>
        </is>
      </c>
      <c r="C263" s="81" t="n">
        <v>3</v>
      </c>
      <c r="D263" s="82" t="inlineStr">
        <is>
          <t>Athlete Network</t>
        </is>
      </c>
      <c r="E263" s="139" t="inlineStr">
        <is>
          <t>FE</t>
        </is>
      </c>
      <c r="F263" s="120" t="inlineStr">
        <is>
          <t>Code</t>
        </is>
      </c>
      <c r="G263" s="80" t="inlineStr">
        <is>
          <t>Public athlete profile on real data for ACTIVE athletes</t>
        </is>
      </c>
      <c r="H263" s="107" t="inlineStr">
        <is>
          <t>The public /athletes/[slug] page renders real data only for FEATURED athletes; an ACTIVE athlete still gets the fixture profile view. Render ACTIVE athletes from GET /public/athletes/:slug (public fields only).</t>
        </is>
      </c>
      <c r="I263" s="108" t="inlineStr">
        <is>
          <t>Done</t>
        </is>
      </c>
      <c r="J263" s="108" t="n">
        <v>1</v>
      </c>
      <c r="K263" s="109" t="inlineStr">
        <is>
          <t>2026-09-29</t>
        </is>
      </c>
      <c r="L263" s="109" t="inlineStr">
        <is>
          <t>2026-09-29</t>
        </is>
      </c>
      <c r="M263" s="110" t="inlineStr">
        <is>
          <t>HeckerCreatives</t>
        </is>
      </c>
      <c r="N263" s="81" t="n"/>
      <c r="O263" s="80" t="inlineStr">
        <is>
          <t>P9-BE-11</t>
        </is>
      </c>
      <c r="P263" s="80" t="inlineStr">
        <is>
          <t>An ACTIVE athlete's public page shows their own public fields from Postgres, never a fixture; no legal name, contact, age or pay; minors follow the same rule as FEATURED; unknown slugs are a not-found</t>
        </is>
      </c>
      <c r="Q263" s="82" t="inlineStr">
        <is>
          <t>§9 screen 5</t>
        </is>
      </c>
      <c r="R263" s="111" t="inlineStr">
        <is>
          <t>Raised 2026-09-29 by HeckerCreatives during P2-FE-01: the live property pages do not link roster names to /athletes/[slug] for this reason. Built 2026-09-29: /public/athletes/:slug carries the §11 public sections; /athletes/[slug] renders ACTIVE live, unknown slug → 404, outage → error.</t>
        </is>
      </c>
    </row>
    <row r="264" s="75">
      <c r="A264" s="104" t="n">
        <v>32.6</v>
      </c>
      <c r="B264" s="105" t="inlineStr">
        <is>
          <t>P1-ART-09</t>
        </is>
      </c>
      <c r="C264" s="81" t="n">
        <v>1</v>
      </c>
      <c r="D264" s="82" t="inlineStr">
        <is>
          <t>UI Scaffold on Fixtures</t>
        </is>
      </c>
      <c r="E264" s="139" t="inlineStr">
        <is>
          <t>ART</t>
        </is>
      </c>
      <c r="F264" s="120" t="inlineStr">
        <is>
          <t>Code</t>
        </is>
      </c>
      <c r="G264" s="80" t="inlineStr">
        <is>
          <t>Landing 3D — cyberpunk city environment behind the public home</t>
        </is>
      </c>
      <c r="H264" s="107" t="inlineStr">
        <is>
          <t>A full cyberpunk city built from the Leartes Modular Stylized Cyberpunk Street kit as the fixed 3D background of the public home: a plaza with a pedestal at its centre, an open basketball court, an open soccer field, an open baseball field and a skyscraper on one boulevard, with no overlapping objects. Kit converted from the unitypackage to a shared-texture GLB (Blender + gltf-transform, WebP, meshopt); the site plan is data (layout.ts) checked by a vitest that fails on any disallowed overlap; rendered with React Three Fiber behind the existing page content, capability-gated with a poster fallback.</t>
        </is>
      </c>
      <c r="I264" s="108" t="inlineStr">
        <is>
          <t>In progress</t>
        </is>
      </c>
      <c r="J264" s="108" t="n">
        <v>4</v>
      </c>
      <c r="K264" s="109" t="inlineStr">
        <is>
          <t>2026-09-29</t>
        </is>
      </c>
      <c r="L264" s="109" t="n"/>
      <c r="M264" s="110" t="inlineStr">
        <is>
          <t>HeckerCreatives</t>
        </is>
      </c>
      <c r="N264" s="81" t="n">
        <v>0</v>
      </c>
      <c r="O264" s="80" t="n"/>
      <c r="P264" s="80" t="inlineStr">
        <is>
          <t>All six elements present and identifiable at /?orbit=1; city-layout test proves zero overlaps outside authored kits and every object inside the site; home renders full content over the poster with WebGL off, reduced-motion or a low-perf device; npm run build, frontend vitest, eslint and the Playwright smoke green; desktop kit ≤ 14 MB, lite kit ≤ 6 MB.</t>
        </is>
      </c>
      <c r="Q264" s="82" t="inlineStr">
        <is>
          <t>docs/superpowers/specs/2026-09-29-landing-cyberpunk-city-design.md; §9 screen 1</t>
        </is>
      </c>
      <c r="R264" s="111" t="inlineStr">
        <is>
          <t>Environment only — no camera or scroll behaviour in this task.</t>
        </is>
      </c>
    </row>
    <row r="265" s="75">
      <c r="A265" s="104" t="n">
        <v>32.7</v>
      </c>
      <c r="B265" s="105" t="inlineStr">
        <is>
          <t>P1-ART-10</t>
        </is>
      </c>
      <c r="C265" s="81" t="n">
        <v>1</v>
      </c>
      <c r="D265" s="82" t="inlineStr">
        <is>
          <t>UI Scaffold on Fixtures</t>
        </is>
      </c>
      <c r="E265" s="139" t="inlineStr">
        <is>
          <t>ART</t>
        </is>
      </c>
      <c r="F265" s="120" t="inlineStr">
        <is>
          <t>Code</t>
        </is>
      </c>
      <c r="G265" s="80" t="inlineStr">
        <is>
          <t>Landing 3D — scroll-driven drone fly-through of the city</t>
        </is>
      </c>
      <c r="H265" s="107" t="inlineStr">
        <is>
          <t>The public home becomes a cinematic fly-through of the P1-ART-09 city: one fixed full-screen React Three Fiber canvas that never scrolls, a tall empty scroll track (~600svh) smoothed by Lenis, and a single progress number (scrollY over the scrollable range, 0..1) in a zustand store that drives the whole camera. A drone camera flies two Catmull-Rom splines (position and gaze) through five waypoints in order — the plaza (the unchanged header viewpoint), the basketball court, the soccer field, the baseball field, the skyscraper — decelerating into each and accelerating out, with banking and a hover bob; the last leg swoops down to 2 m over the boulevard and tilts up at the SPONSORX wordmark on the forecourt screen with the tower behind it. Each waypoint owns one 2D overlay (hero + stats, how it works, sponsor packages, athletes, closing CTA) that is fully visible only around that waypoint's centre and fades out as the user scrolls on; the nav's section anchors scroll to their stop.</t>
        </is>
      </c>
      <c r="I265" s="108" t="inlineStr">
        <is>
          <t>Code review</t>
        </is>
      </c>
      <c r="J265" s="108" t="n">
        <v>2</v>
      </c>
      <c r="K265" s="109" t="n">
        <v>46295</v>
      </c>
      <c r="L265" s="109" t="n"/>
      <c r="M265" s="110" t="inlineStr">
        <is>
          <t>HeckerCreatives</t>
        </is>
      </c>
      <c r="N265" s="81" t="n">
        <v>0</v>
      </c>
      <c r="O265" s="80" t="inlineStr">
        <is>
          <t>P1-ART-09</t>
        </is>
      </c>
      <c r="P265" s="80" t="inlineStr">
        <is>
          <t>Progress 0 is exactly the P1-ART-09 header viewpoint; the camera passes the five waypoints in the brief's order and the flight test proves ≥1.5 m clearance from every building, prop and venue box and never leaves the site; each overlay is visible only on its stop's plateau, none mid-leg (tested); nav hash links and a hash on load land on the right stop; no React render per scroll; reduced motion falls back to native scroll and the poster; no-JS shows every section in flow; build, tests and lint green</t>
        </is>
      </c>
      <c r="Q265" s="82" t="inlineStr">
        <is>
          <t>§9 screen 1; frontend/src/lib/city/flight.ts; tests/city-flight.test.ts</t>
        </is>
      </c>
      <c r="R265" s="111" t="inlineStr">
        <is>
          <t>Raised 2026-09-30 by the programme owner (rules pasted in session: R3F + three + lenis + zustand, fixed canvas, ~600vh track, progress = scrollY/(scrollHeight−innerHeight), overlays fade in per scroll band; waypoints plaza → basketball → soccer → baseball → skyscraper, drone feel, 2D UI only at each waypoint's centre). Built 2026-09-30: lib/city/flight.ts (+ flight-store.ts), components/city/flight-rig.tsx, scroll-track.tsx, flight-stop.tsx; home page rewritten as five FlightStops; lenis 1.3.26 and zustand 5.0.15 added to the frontend workspace. Owner's mid-session note: the skyscraper leg must fly low above the ground looking up at the SponsorX lettering — done (the gantry wordmark, z −182).</t>
        </is>
      </c>
    </row>
    <row r="266" s="75">
      <c r="A266" s="104" t="n">
        <v>32.8</v>
      </c>
      <c r="B266" s="105" t="inlineStr">
        <is>
          <t>P1-ART-11</t>
        </is>
      </c>
      <c r="C266" s="81" t="n">
        <v>1</v>
      </c>
      <c r="D266" s="82" t="inlineStr">
        <is>
          <t>UI Scaffold on Fixtures</t>
        </is>
      </c>
      <c r="E266" s="139" t="inlineStr">
        <is>
          <t>ART</t>
        </is>
      </c>
      <c r="F266" s="120" t="inlineStr">
        <is>
          <t>Code</t>
        </is>
      </c>
      <c r="G266" s="80" t="inlineStr">
        <is>
          <t>Landing 3D — loading screen and entrance</t>
        </is>
      </c>
      <c r="H266" s="107" t="inlineStr">
        <is>
          <t>Every entry to the public home (hard refresh or a navigation back to /) opens on a full-screen loading screen that stays up until the page can actually be shown, then flies out into the hero. The loader is the isometric server cube from the owner's reference (uiverse fresh-yak-92) rebuilt in CSS 3D in the brand blues, with a hologram letter X turning on a projector beam in the glow of its top face — the pedestal's hologram. Its number is honest: a weighted sum of the city's files streamed by byte (the tier's kit GLB + the environment HDR, cached into three.js so the scene never downloads them twice), the scene chunk arriving and the first drawn city frame, and the page's fonts + window load. Poster-only devices skip the scene share; a safety timeout never strands the visitor. At 100 the rig flares and scales toward the viewer as the overlay fades while the header, hero copy, impact card and the two bands rise in one after another.</t>
        </is>
      </c>
      <c r="I266" s="108" t="inlineStr">
        <is>
          <t>Code review</t>
        </is>
      </c>
      <c r="J266" s="108" t="n">
        <v>1</v>
      </c>
      <c r="K266" s="109" t="n">
        <v>46295</v>
      </c>
      <c r="L266" s="109" t="n"/>
      <c r="M266" s="110" t="inlineStr">
        <is>
          <t>HeckerCreatives</t>
        </is>
      </c>
      <c r="N266" s="81" t="n">
        <v>0</v>
      </c>
      <c r="O266" s="80" t="inlineStr">
        <is>
          <t>P1-ART-09, P1-ART-10</t>
        </is>
      </c>
      <c r="P266" s="80" t="inlineStr">
        <is>
          <t>Loader is the first paint on a hard refresh and on a client-side return to /; 100 only after the first city frame (or at once on the poster path); the counter never overshoots the real progress; files are downloaded once (three's cache serves the scene); the hero is hidden until the loader leaves, then staggers in; no-JS shows the page with no loader; weighting, byte maths and finish rule unit-tested; build, tests and lint green</t>
        </is>
      </c>
      <c r="Q266" s="82" t="inlineStr">
        <is>
          <t>§9 screen 1; frontend/src/lib/city/loading.ts; frontend/src/components/landing-loader.tsx; tests/city-loading.test.ts</t>
        </is>
      </c>
      <c r="R266" s="111" t="inlineStr">
        <is>
          <t>Raised 2026-09-30 by the programme owner (loader reference + screenshot pasted in session; the X in the glow so it reads as a hologram; must track the real three.js load to 100; think through the transition). Built 2026-09-30: lib/city/loading.ts + load-store.ts + assets.ts, components/landing-loader.tsx + .module.css, components/city/city-preload.ts; city-backdrop streams files first and writes the load store; (home) layout + page carry the sx-reveal entrance.</t>
        </is>
      </c>
    </row>
  </sheetData>
  <autoFilter ref="A4:R266"/>
  <mergeCells count="2">
    <mergeCell ref="A2:R2"/>
    <mergeCell ref="A1:R1"/>
  </mergeCells>
  <conditionalFormatting sqref="I5:I266">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266">
    <cfRule type="expression" rank="0" priority="7" equalAverage="0" aboveAverage="0" dxfId="32" text="" percent="0" bottom="0">
      <formula>$I5="Done"</formula>
    </cfRule>
  </conditionalFormatting>
  <conditionalFormatting sqref="N5:N266">
    <cfRule type="cellIs" rank="0" priority="8" equalAverage="0" operator="greaterThanOrEqual" aboveAverage="0" dxfId="33" text="" percent="0" bottom="0">
      <formula>50</formula>
    </cfRule>
  </conditionalFormatting>
  <dataValidations count="1">
    <dataValidation sqref="I5:I266"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72"/>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66 tasks across 9 sprints · external properties, listings, payments, ledger, payouts, wallet</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Done</t>
        </is>
      </c>
      <c r="J5" s="108" t="n">
        <v>3</v>
      </c>
      <c r="K5" s="109" t="inlineStr">
        <is>
          <t>2026-09-28</t>
        </is>
      </c>
      <c r="L5" s="109" t="inlineStr">
        <is>
          <t>2026-09-28</t>
        </is>
      </c>
      <c r="M5" s="110" t="inlineStr">
        <is>
          <t>rcfworks</t>
        </is>
      </c>
      <c r="N5" s="81" t="n">
        <v>0</v>
      </c>
      <c r="O5" s="80" t="inlineStr">
        <is>
          <t>Phase 1 complete</t>
        </is>
      </c>
      <c r="P5" s="80" t="inlineStr">
        <is>
          <t>All Phase 2 state machines diagrammed and agreed, with the illegal transitions named explicitly</t>
        </is>
      </c>
      <c r="Q5" s="82" t="inlineStr">
        <is>
          <t>Spec §7, §12</t>
        </is>
      </c>
      <c r="R5" s="111" t="inlineStr">
        <is>
          <t>2026-09-28: SIMULATED — documentation/SponsorX-Phase2-State-Machines.md: onboarding, listing, reservation, order, payment, payout and dispute, each with legal moves and the illegal ones named, plus the interlocks (an open dispute holds every payout). Onboarding implemented exactly as written (2S1-BE-01/03); the rest are the working design for their tasks. For BTG to confirm. | 2026-09-28: Done at the user's instruction — acceptance met, CI green.</t>
        </is>
      </c>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Done</t>
        </is>
      </c>
      <c r="J6" s="108" t="n">
        <v>5</v>
      </c>
      <c r="K6" s="109" t="inlineStr">
        <is>
          <t>2026-09-28</t>
        </is>
      </c>
      <c r="L6" s="109" t="inlineStr">
        <is>
          <t>2026-09-28</t>
        </is>
      </c>
      <c r="M6" s="110" t="inlineStr">
        <is>
          <t>rcfworks</t>
        </is>
      </c>
      <c r="N6" s="85" t="n">
        <v>0</v>
      </c>
      <c r="O6" s="84" t="inlineStr">
        <is>
          <t>Phase 1 complete</t>
        </is>
      </c>
      <c r="P6" s="84" t="inlineStr">
        <is>
          <t>Ledger design reviewed and signed off; the sequential rule order is documented and a worked example reconciles to the cent</t>
        </is>
      </c>
      <c r="Q6" s="86" t="inlineStr">
        <is>
          <t>Spec §7.4</t>
        </is>
      </c>
      <c r="R6" s="111" t="inlineStr">
        <is>
          <t>2026-09-28: SIMULATED design written — documentation/SponsorX-Phase2-Ledger-Design.md: the sequential rule order (gross → discounts → platform → management → processing → property share → referral → reserve → available), rounding (half up; remainders so parts sum exactly), rule precedence, the double-entry accounts and journals, and a worked example that reconciles to the cent (posted and asserted by tests/phase2-ledger.test.ts). Rates are placeholders (commission rules, data not code). WAITING ON: the programme owner's review and sign-off, which is the rest of the acceptance. | 2026-09-28: SIGNED OFF by the programme owner — documentation/SponsorX-Phase2-Ledger-Design.md is the approved design (rule order, rounding, precedence, accounts and journals, worked example to the cent). The RATES remain placeholders for BTG to replace with real ones in /admin/commission (2S5-FE-01); that is data, not a design change.</t>
        </is>
      </c>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Blocked</t>
        </is>
      </c>
      <c r="J7" s="108" t="n">
        <v>3</v>
      </c>
      <c r="K7" s="109" t="n"/>
      <c r="L7" s="109" t="n"/>
      <c r="M7" s="110" t="n"/>
      <c r="N7" s="81" t="n">
        <v>0</v>
      </c>
      <c r="O7" s="80" t="inlineStr">
        <is>
          <t>2S0-PMO-02</t>
        </is>
      </c>
      <c r="P7" s="80" t="inlineStr">
        <is>
          <t>Provider selected, contract in place, sandbox credentials issued, and the adapter interface agreed so it stays swappable</t>
        </is>
      </c>
      <c r="Q7" s="82" t="inlineStr">
        <is>
          <t>Spec §10</t>
        </is>
      </c>
      <c r="R7" s="111" t="inlineStr">
        <is>
          <t>2026-09-28 WAITING ON: the programme owner's decision — choose the payment provider, put the contract in place and issue sandbox credentials. Its dependency, the ledger design (2S0-PMO-02), is signed off. This one decision unblocks checkout, webhooks, payout accounts, refunds and disputes, payouts and wallet passes.</t>
        </is>
      </c>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Blocked</t>
        </is>
      </c>
      <c r="J8" s="108" t="n">
        <v>3</v>
      </c>
      <c r="K8" s="109" t="n"/>
      <c r="L8" s="109" t="n"/>
      <c r="M8" s="110" t="n"/>
      <c r="N8" s="85" t="n">
        <v>0</v>
      </c>
      <c r="O8" s="84" t="inlineStr">
        <is>
          <t>2S0-PMO-03</t>
        </is>
      </c>
      <c r="P8" s="84" t="inlineStr">
        <is>
          <t>Security review complete with findings closed or accepted in writing</t>
        </is>
      </c>
      <c r="Q8" s="86" t="inlineStr">
        <is>
          <t>Spec §3, §38</t>
        </is>
      </c>
      <c r="R8" s="111" t="inlineStr">
        <is>
          <t>2026-09-28 WAITING ON: the payment provider choice (2S0-PMO-03 — the programme owner's decision: provider, contract, sandbox credentials).</t>
        </is>
      </c>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Code review</t>
        </is>
      </c>
      <c r="J9" s="108" t="n">
        <v>5</v>
      </c>
      <c r="K9" s="109" t="n">
        <v>46294</v>
      </c>
      <c r="L9" s="109" t="n"/>
      <c r="M9" s="110" t="inlineStr">
        <is>
          <t>rcfworks</t>
        </is>
      </c>
      <c r="N9" s="81" t="n">
        <v>0</v>
      </c>
      <c r="O9" s="80" t="inlineStr">
        <is>
          <t>2S0-PMO-01</t>
        </is>
      </c>
      <c r="P9" s="80" t="inlineStr">
        <is>
          <t>All 14 Phase 2 screens designed, with the onboarding wizard and checkout flows walked end to end</t>
        </is>
      </c>
      <c r="Q9" s="82" t="inlineStr">
        <is>
          <t>Spec §6</t>
        </is>
      </c>
      <c r="R9" s="111" t="inlineStr">
        <is>
          <t xml:space="preserve"> Designed 2026-09-29 by Claude Design: https://claude.ai/artifact/RNykbEaHgkiMppTXandrrB — all 14 screens, 144 artboards, onboarding and cart-to-checkout walked as flows.</t>
        </is>
      </c>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Blocked</t>
        </is>
      </c>
      <c r="J10" s="108" t="n">
        <v>1</v>
      </c>
      <c r="K10" s="109" t="n"/>
      <c r="L10" s="109" t="n"/>
      <c r="M10" s="110" t="n"/>
      <c r="N10" s="85" t="n">
        <v>0</v>
      </c>
      <c r="O10" s="84" t="inlineStr">
        <is>
          <t>Phase 1 complete</t>
        </is>
      </c>
      <c r="P10" s="84" t="inlineStr">
        <is>
          <t>Formal RPO/RTO targets agreed and the backup strategy adjusted to meet them</t>
        </is>
      </c>
      <c r="Q10" s="86" t="inlineStr">
        <is>
          <t>Spec §38</t>
        </is>
      </c>
      <c r="R10" s="111" t="inlineStr">
        <is>
          <t>2026-09-28 WAITING ON: Phase 1 completion.</t>
        </is>
      </c>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Done</t>
        </is>
      </c>
      <c r="J11" s="108" t="n">
        <v>5</v>
      </c>
      <c r="K11" s="109" t="inlineStr">
        <is>
          <t>2026-09-28</t>
        </is>
      </c>
      <c r="L11" s="109" t="inlineStr">
        <is>
          <t>2026-09-28</t>
        </is>
      </c>
      <c r="M11" s="110" t="inlineStr">
        <is>
          <t>rcfworks</t>
        </is>
      </c>
      <c r="N11" s="81" t="n">
        <v>0</v>
      </c>
      <c r="O11" s="80" t="inlineStr">
        <is>
          <t>2S0-PMO-01</t>
        </is>
      </c>
      <c r="P11" s="80" t="inlineStr">
        <is>
          <t>An external organisation can complete and submit onboarding through the API without database intervention</t>
        </is>
      </c>
      <c r="Q11" s="82" t="inlineStr">
        <is>
          <t>Spec §7.1, §9</t>
        </is>
      </c>
      <c r="R11" s="111" t="inlineStr">
        <is>
          <t>2026-09-28: PropertyOnboarding + public wizard API by signed resume token (own HMAC purpose): POST /public/onboarding, GET/PATCH /public/onboarding/{token} (organisation · contacts · business · payout · agreements, each saved on its own), POST .../submit (refused with the missing-field list). Required fields vary by org type (TEAM/SCHOOL/EVENT/MEDIA/VIRTUAL strict schemas) and state (registration number in CA/NY/TX/FL/IL for commercial orgs — SIMULATED list). NO tax id / bank details: strict schemas refuse them; payout step records only an acknowledgement that the provider collects them. Test: an organisation completes and submits over HTTP alone (mutation-checked). | 2026-09-28: Done at the user's instruction — acceptance met, CI green.</t>
        </is>
      </c>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Done</t>
        </is>
      </c>
      <c r="J12" s="108" t="n">
        <v>3</v>
      </c>
      <c r="K12" s="109" t="inlineStr">
        <is>
          <t>2026-09-28</t>
        </is>
      </c>
      <c r="L12" s="109" t="inlineStr">
        <is>
          <t>2026-09-28</t>
        </is>
      </c>
      <c r="M12" s="110" t="inlineStr">
        <is>
          <t>rcfworks</t>
        </is>
      </c>
      <c r="N12" s="85" t="n">
        <v>0</v>
      </c>
      <c r="O12" s="84" t="inlineStr">
        <is>
          <t>2S1-BE-01</t>
        </is>
      </c>
      <c r="P12" s="84" t="inlineStr">
        <is>
          <t>Documents upload to the private bucket, are reviewable by an admin, and are never publicly reachable</t>
        </is>
      </c>
      <c r="Q12" s="86" t="inlineStr">
        <is>
          <t>Spec §9</t>
        </is>
      </c>
      <c r="R12" s="111" t="inlineStr">
        <is>
          <t>2026-09-28: POST /public/onboarding/{token}/documents hands the applicant a presigned PUT to the PRIVATE bucket for one key (onboarding/&lt;id&gt;/&lt;doc&gt;-&lt;safe name&gt;; PDF/JPEG/PNG, ≤20 MB, ≤12 per application, editable states only), audited as a private upload grant. …/documents/{id}/confirm attaches it only once a HEAD finds the object. BTG reads via GET /onboarding/{id}/documents — each link an audited 15-minute private download grant; sponsors 403, anonymous 401. The applicant never gets a read URL, not even of its own file; no public-bucket path exists in the module. Model OnboardingDocument, migration 20260928130000. Tests: tests/property-onboarding.test.ts (2S1-BE-02 block), mutation-checked.</t>
        </is>
      </c>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Done</t>
        </is>
      </c>
      <c r="J13" s="108" t="n">
        <v>3</v>
      </c>
      <c r="K13" s="109" t="inlineStr">
        <is>
          <t>2026-09-28</t>
        </is>
      </c>
      <c r="L13" s="109" t="inlineStr">
        <is>
          <t>2026-09-28</t>
        </is>
      </c>
      <c r="M13" s="110" t="inlineStr">
        <is>
          <t>rcfworks</t>
        </is>
      </c>
      <c r="N13" s="81" t="n">
        <v>0</v>
      </c>
      <c r="O13" s="80" t="inlineStr">
        <is>
          <t>2S1-BE-01</t>
        </is>
      </c>
      <c r="P13" s="80" t="inlineStr">
        <is>
          <t>A reviewer can action every decision type; PENDING_REVIEW to APPROVED grants listing access and is audited</t>
        </is>
      </c>
      <c r="Q13" s="82" t="inlineStr">
        <is>
          <t>Spec §7.1</t>
        </is>
      </c>
      <c r="R13" s="111" t="inlineStr">
        <is>
          <t>2026-09-28: GET /onboarding (verification queue), POST /onboarding/{id}/decision — APPROVE, REQUEST_CHANGES, REJECT, SUSPEND, REINSTATE (notes required for the refusals/pause), per the state-machine doc. PENDING_REVIEW → APPROVED creates the Property and grants listing access (Property.listingAccessAt), audited with reviewer and before/after; SUSPEND withdraws access, REINSTATE restores it on the same Property. BTG only (matrix §16 propertyOnboarding). Listing creation will check listingAccessAt when the listing engine lands (2S3-BE-01). | 2026-09-28: Done at the user's instruction — acceptance met, CI green.</t>
        </is>
      </c>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Done</t>
        </is>
      </c>
      <c r="J14" s="108" t="n">
        <v>5</v>
      </c>
      <c r="K14" s="109" t="inlineStr">
        <is>
          <t>2026-09-28</t>
        </is>
      </c>
      <c r="L14" s="109" t="inlineStr">
        <is>
          <t>2026-09-28</t>
        </is>
      </c>
      <c r="M14" s="110" t="inlineStr">
        <is>
          <t>rcfworks</t>
        </is>
      </c>
      <c r="N14" s="85" t="n">
        <v>0</v>
      </c>
      <c r="O14" s="84" t="inlineStr">
        <is>
          <t>2S1-BE-03</t>
        </is>
      </c>
      <c r="P14" s="84" t="inlineStr">
        <is>
          <t>An approved property's users see only their own tenant's data; cross-tenant tests pass</t>
        </is>
      </c>
      <c r="Q14" s="86" t="inlineStr">
        <is>
          <t>Spec §3, §12</t>
        </is>
      </c>
      <c r="R14" s="111" t="inlineStr">
        <is>
          <t>2026-09-28: the first APPROVE provisions a NEW tenant for the organisation — Tenant, its Property there (listing access), and a PROPERTY_MGR account for the primary contact linked to it (placeholder claimed on first sign-in via resolveActor), all in the decision's transaction, audited (tenant.provision in the new tenant; approval row records tenantId). An address that already has an account is refused 409 and nothing is provisioned. Onboarding record stays with BTG. Tests: property-onboarding.test.ts (two orgs → two tenants; each manager's /me and /properties/mine; no BTG queue/application/document access) and the full cross-tenant sweep (tests/tenant-isolation.test.ts), mutation-checked. RBAC matrix §16 note.</t>
        </is>
      </c>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Code review</t>
        </is>
      </c>
      <c r="J15" s="108" t="n">
        <v>5</v>
      </c>
      <c r="K15" s="109" t="n">
        <v>46294</v>
      </c>
      <c r="L15" s="109" t="n"/>
      <c r="M15" s="110" t="inlineStr">
        <is>
          <t>rcfworks</t>
        </is>
      </c>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Code review</t>
        </is>
      </c>
      <c r="J16" s="108" t="n">
        <v>3</v>
      </c>
      <c r="K16" s="109" t="n">
        <v>46294</v>
      </c>
      <c r="L16" s="109" t="n"/>
      <c r="M16" s="110" t="inlineStr">
        <is>
          <t>rcfworks</t>
        </is>
      </c>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Done</t>
        </is>
      </c>
      <c r="J17" s="108" t="n">
        <v>1</v>
      </c>
      <c r="K17" s="109" t="inlineStr">
        <is>
          <t>2026-09-28</t>
        </is>
      </c>
      <c r="L17" s="109" t="inlineStr">
        <is>
          <t>2026-09-28</t>
        </is>
      </c>
      <c r="M17" s="110" t="inlineStr">
        <is>
          <t>rcfworks</t>
        </is>
      </c>
      <c r="N17" s="81" t="n">
        <v>0</v>
      </c>
      <c r="O17" s="80" t="inlineStr">
        <is>
          <t>2S1-BE-03</t>
        </is>
      </c>
      <c r="P17" s="80" t="inlineStr">
        <is>
          <t>All five notifications send as queued jobs and retry on failure</t>
        </is>
      </c>
      <c r="Q17" s="82" t="inlineStr">
        <is>
          <t>Spec §10</t>
        </is>
      </c>
      <c r="R17" s="111" t="inlineStr">
        <is>
          <t>2026-09-28: five templates — onboarding.received / changesRequested / approved / rejected / suspended — queued via send() inside the submit/decision transaction (a rolled-back decision announces nothing), to the primary contact, reviewer notes quoted, resume link on changes requested, portal link on approval; idempotency key counts the moment, not the clock. Retry: worker/queue-policy.mts gives notify.email retryLimit 6, 30 s exponential backoff, applied create-then-update so existing queues adopt it. tests/email-retry.test.ts proves it on a real pg-boss: vendor refuses attempt 1, retry sends, exactly once. REINSTATE sends none (not one of the five).</t>
        </is>
      </c>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Done</t>
        </is>
      </c>
      <c r="J18" s="108" t="n">
        <v>5</v>
      </c>
      <c r="K18" s="109" t="inlineStr">
        <is>
          <t>2026-09-28</t>
        </is>
      </c>
      <c r="L18" s="109" t="inlineStr">
        <is>
          <t>2026-09-28</t>
        </is>
      </c>
      <c r="M18" s="110" t="inlineStr">
        <is>
          <t>rcfworks</t>
        </is>
      </c>
      <c r="N18" s="85" t="n">
        <v>0</v>
      </c>
      <c r="O18" s="84" t="inlineStr">
        <is>
          <t>2S1-BE-04</t>
        </is>
      </c>
      <c r="P18" s="84" t="inlineStr">
        <is>
          <t>An athlete can create, edit and price inventory items scoped to their own account</t>
        </is>
      </c>
      <c r="Q18" s="86" t="inlineStr">
        <is>
          <t>Spec §6 P2-04</t>
        </is>
      </c>
      <c r="R18" s="111" t="inlineStr">
        <is>
          <t>2026-09-28: InventoryItem (athlete- or team-owned, exactly one — DB CHECK): kind, catalogue job, price (whole cents ≥ $1), quantity, availability window, suited/restricted brand categories (never both), strict package rules; version bumps on reprice (audited). GET/POST /inventory, GET/PATCH /inventory/{id}. The owner is always the caller — no request names one (strict body). Another athlete: 403 on read and reprice; BTG reads (operated) but cannot write; an unapproved athlete cannot sell. Price/quantity refused while a listing is PUBLISHED. Tests: tests/phase2-marketplace.test.ts, mutation-checked; cross-tenant sweep extended.</t>
        </is>
      </c>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Done</t>
        </is>
      </c>
      <c r="J19" s="108" t="n">
        <v>3</v>
      </c>
      <c r="K19" s="109" t="inlineStr">
        <is>
          <t>2026-09-28</t>
        </is>
      </c>
      <c r="L19" s="109" t="inlineStr">
        <is>
          <t>2026-09-28</t>
        </is>
      </c>
      <c r="M19" s="110" t="inlineStr">
        <is>
          <t>rcfworks</t>
        </is>
      </c>
      <c r="N19" s="81" t="n">
        <v>0</v>
      </c>
      <c r="O19" s="80" t="inlineStr">
        <is>
          <t>2S2-BE-01</t>
        </is>
      </c>
      <c r="P19" s="80" t="inlineStr">
        <is>
          <t>A restricted category blocks listing purchase and campaign offer for the overlapping date range</t>
        </is>
      </c>
      <c r="Q19" s="82" t="inlineStr">
        <is>
          <t>Spec §9</t>
        </is>
      </c>
      <c r="R19" s="111" t="inlineStr">
        <is>
          <t>2026-09-28: BrandRestriction (athlete or team, category, type PROHIBITED/LEAGUE_RULE/SCHOOL_POLICY/EXCLUSIVITY, date range — open-ended when null; DB CHECKs); Sponsor.categories (set by BTG only; seed sponsor simulated AUTOMOTIVE). One shared check, restrictionConflicts — athlete's own, their team's (covers the roster), Phase 1 profile restrictedCategories as open-ended — asked by every purchase path (cart line), by the formal offer on draft and again on accept, and by the Phase 1 invitation (no road around it). Windows compared by whole UTC days. An accepted offer with exclusivityDays writes EXCLUSIVITY for the sponsor's categories; contractual — only SUPER_ADMIN removes it. GET/POST/DELETE /restrictions, PUT /sponsors/{id}/categories. Proven: a team league rule blocks the listing purchase in its dates and not outside; an athlete restriction blocks the offer (and invitation) for an overlapping campaign and not a later one; exclusivity blocks a rival. Tests: tests/phase2-purchase.test.ts, mutation-checked.</t>
        </is>
      </c>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Done</t>
        </is>
      </c>
      <c r="J20" s="108" t="n">
        <v>5</v>
      </c>
      <c r="K20" s="109" t="inlineStr">
        <is>
          <t>2026-09-28</t>
        </is>
      </c>
      <c r="L20" s="109" t="inlineStr">
        <is>
          <t>2026-09-28</t>
        </is>
      </c>
      <c r="M20" s="110" t="inlineStr">
        <is>
          <t>rcfworks</t>
        </is>
      </c>
      <c r="N20" s="85" t="n">
        <v>0</v>
      </c>
      <c r="O20" s="84" t="inlineStr">
        <is>
          <t>2S2-BE-01</t>
        </is>
      </c>
      <c r="P20" s="84" t="inlineStr">
        <is>
          <t>Accepting an offer freezes commercial terms and schedules deliverables; later rate-card edits do not alter it</t>
        </is>
      </c>
      <c r="Q20" s="86" t="inlineStr">
        <is>
          <t>Spec §7.3</t>
        </is>
      </c>
      <c r="R20" s="111" t="inlineStr">
        <is>
          <t>2026-09-28: Offer (brief, pay, sell price, scheduled deliverables, usage rights, exclusivity days, disclosures, expiry) on a campaign in BTG's tenant; must clear the margin floor and budget. Send hashes and fixes the terms; the athlete accepts the hash shown with agreement evidence (guardian gate via acceptAgreementIn), in ONE transaction: immutable terms snapshot, CampaignOrder created ACCEPTED at the offer's own figures, a NOT_STARTED Deliverable per line, PENDING earning. Postgres trigger offer_terms_immutable refuses any change to terms once SENT and to the snapshot/state once ACCEPTED. Proven: a new rate-card version and an inventory reprice after acceptance leave offer, snapshot and order unchanged. sellPrice withheld from the athlete. Offers stay in one tenant for now (outside-team offers come with 2S4). Tests: tests/phase2-marketplace.test.ts, mutation-checked.</t>
        </is>
      </c>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Done</t>
        </is>
      </c>
      <c r="J21" s="108" t="n">
        <v>3</v>
      </c>
      <c r="K21" s="109" t="inlineStr">
        <is>
          <t>2026-09-28</t>
        </is>
      </c>
      <c r="L21" s="109" t="inlineStr">
        <is>
          <t>2026-09-28</t>
        </is>
      </c>
      <c r="M21" s="110" t="inlineStr">
        <is>
          <t>rcfworks</t>
        </is>
      </c>
      <c r="N21" s="81" t="n">
        <v>0</v>
      </c>
      <c r="O21" s="80" t="inlineStr">
        <is>
          <t>2S1-BE-04</t>
        </is>
      </c>
      <c r="P21" s="80" t="inlineStr">
        <is>
          <t>A team manager can see their roster and the inventory belonging to it, and nobody else's</t>
        </is>
      </c>
      <c r="Q21" s="82" t="inlineStr">
        <is>
          <t>Spec §6 P2-06</t>
        </is>
      </c>
      <c r="R21" s="111" t="inlineStr">
        <is>
          <t>2026-09-28: GET/POST /team/roster, PATCH /team/roster/{id}. The manager adds athletes into the team's own tenant (Athlete linked to the Property, APPROVED — the verified team vouches; minors still gated at acceptance) with an account claimed by email, and sets the team's revenue share (Athlete.teamShareBps, 0–10000, audited). The roster read returns each athlete with their inventory plus the team's own inventory. Another team's manager sees none of it (403 on every item and share); BTG reads as operator, an unrelated operator does not. New resource teamMember (not athlete write). Tests: tests/phase2-marketplace.test.ts, mutation-checked.</t>
        </is>
      </c>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Blocked</t>
        </is>
      </c>
      <c r="J22" s="108" t="n">
        <v>3</v>
      </c>
      <c r="K22" s="109" t="n"/>
      <c r="L22" s="109" t="n"/>
      <c r="M22" s="110" t="n"/>
      <c r="N22" s="85" t="n">
        <v>0</v>
      </c>
      <c r="O22" s="84" t="inlineStr">
        <is>
          <t>2S0-ART-01</t>
        </is>
      </c>
      <c r="P22" s="84" t="inlineStr">
        <is>
          <t>Portal home renders live data for the signed-in athlete only</t>
        </is>
      </c>
      <c r="Q22" s="86" t="inlineStr">
        <is>
          <t>Spec §6 P2-03</t>
        </is>
      </c>
      <c r="R22" s="111" t="n"/>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Code review</t>
        </is>
      </c>
      <c r="J23" s="108" t="n">
        <v>5</v>
      </c>
      <c r="K23" s="109" t="n">
        <v>46294</v>
      </c>
      <c r="L23" s="109" t="n"/>
      <c r="M23" s="110" t="inlineStr">
        <is>
          <t>rcfworks</t>
        </is>
      </c>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Code review</t>
        </is>
      </c>
      <c r="J24" s="108" t="n">
        <v>3</v>
      </c>
      <c r="K24" s="109" t="n">
        <v>46294</v>
      </c>
      <c r="L24" s="109" t="n"/>
      <c r="M24" s="110" t="inlineStr">
        <is>
          <t>rcfworks</t>
        </is>
      </c>
      <c r="N24" s="85" t="n">
        <v>0</v>
      </c>
      <c r="O24" s="84" t="inlineStr">
        <is>
          <t>2S2-BE-03</t>
        </is>
      </c>
      <c r="P24" s="84" t="inlineStr">
        <is>
          <t>All three actions work; requesting a change routes back to the campaign manager</t>
        </is>
      </c>
      <c r="Q24" s="86" t="inlineStr">
        <is>
          <t>Spec §6 P2-05</t>
        </is>
      </c>
      <c r="R24" s="111" t="inlineStr">
        <is>
          <t>2026-09-29: no request-a-change route in the API — left out (Phase 2 follow-up).</t>
        </is>
      </c>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Code review</t>
        </is>
      </c>
      <c r="J25" s="108" t="n">
        <v>5</v>
      </c>
      <c r="K25" s="109" t="n">
        <v>46294</v>
      </c>
      <c r="L25" s="109" t="n"/>
      <c r="M25" s="110" t="inlineStr">
        <is>
          <t>rcfworks</t>
        </is>
      </c>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Done</t>
        </is>
      </c>
      <c r="J26" s="108" t="n">
        <v>5</v>
      </c>
      <c r="K26" s="109" t="inlineStr">
        <is>
          <t>2026-09-28</t>
        </is>
      </c>
      <c r="L26" s="109" t="inlineStr">
        <is>
          <t>2026-09-28</t>
        </is>
      </c>
      <c r="M26" s="110" t="inlineStr">
        <is>
          <t>rcfworks</t>
        </is>
      </c>
      <c r="N26" s="85" t="n">
        <v>0</v>
      </c>
      <c r="O26" s="84" t="inlineStr">
        <is>
          <t>2S2-BE-01</t>
        </is>
      </c>
      <c r="P26" s="84" t="inlineStr">
        <is>
          <t>A verified property can create a listing but cannot publish it until governance rules are satisfied</t>
        </is>
      </c>
      <c r="Q26" s="86" t="inlineStr">
        <is>
          <t>Spec §9, §12</t>
        </is>
      </c>
      <c r="R26" s="111" t="inlineStr">
        <is>
          <t>2026-09-28: Listing with the state-machine doc's lifecycle (DRAFT → PENDING_APPROVAL → PUBLISHED ⇄ PAUSED → ARCHIVED; changes requested → DRAFT). Only a property whose onboarding is APPROVED with listing access can create one, on its own or a roster athlete's item (one live listing per item — partial unique index). Governance (property access, item active/priced/in stock/in window, title, description, schedule) is checked on submit, on BTG approval and on resume; no road from DRAFT to PUBLISHED; the property cannot approve itself. BTG approves through the new `operated` scope (Tenant.operatorTenantId, set at approval, backfilled) — an unrelated operator is refused. Suspension blocks new listings and resuming. Tests: tests/phase2-marketplace.test.ts, mutation-checked.</t>
        </is>
      </c>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Done</t>
        </is>
      </c>
      <c r="J27" s="108" t="n">
        <v>3</v>
      </c>
      <c r="K27" s="109" t="inlineStr">
        <is>
          <t>2026-09-28</t>
        </is>
      </c>
      <c r="L27" s="109" t="inlineStr">
        <is>
          <t>2026-09-28</t>
        </is>
      </c>
      <c r="M27" s="110" t="inlineStr">
        <is>
          <t>rcfworks</t>
        </is>
      </c>
      <c r="N27" s="81" t="n">
        <v>0</v>
      </c>
      <c r="O27" s="80" t="inlineStr">
        <is>
          <t>2S3-BE-01</t>
        </is>
      </c>
      <c r="P27" s="80" t="inlineStr">
        <is>
          <t>A package can be created, priced and purchased as a single line</t>
        </is>
      </c>
      <c r="Q27" s="82" t="inlineStr">
        <is>
          <t>Spec §9</t>
        </is>
      </c>
      <c r="R27" s="111" t="inlineStr">
        <is>
          <t>2026-09-28: PACKAGE inventory kind with BundleComponent rows (1–10 of the owner's own items — a team's: its own and its roster's; no nesting, no duplicates, ≥1 unit each; fixed once created; DB CHECKs). Priced as one; listed and bought as ONE cart line at the package price. The availability check covers the package and every part (quantity × units, dates, restrictions); every commitment writer (reservation, order, offer) expands through unitsTaken, so a package holds its parts. Proven: create/price/list/search/cart as a single line; the hold takes package 2, board ads 4, clinics 2; a part running out refuses the package. Tests: tests/phase2-orders.test.ts, mutation-checked.</t>
        </is>
      </c>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Done</t>
        </is>
      </c>
      <c r="J28" s="108" t="n">
        <v>5</v>
      </c>
      <c r="K28" s="109" t="inlineStr">
        <is>
          <t>2026-09-28</t>
        </is>
      </c>
      <c r="L28" s="109" t="inlineStr">
        <is>
          <t>2026-09-28</t>
        </is>
      </c>
      <c r="M28" s="110" t="inlineStr">
        <is>
          <t>rcfworks</t>
        </is>
      </c>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 | 2026-09-28: availability.ts — one check (checkInventoryItem / checkListing) returning coded reasons: DATE_OVERLAP (exclusive items vs live commitments, by whole days), QUANTITY_OVERRUN (stock minus live commitments, package max), PACKAGE_RULE (min), CATEGORY_CONFLICT (item's restricted categories + owner restrictions for the dates), SUB_FLOOR (below the owner's price), OUT_OF_WINDOW, NO_CATEGORY, NOT_LISTED. InventoryCommitment table: written by an accepted offer on an item (reservations/orders 2S4 will write here); released rows stop counting. Called by every purchase path that exists: cart add/update, offer draft/accept on an item. Static guard: only cart.ts writes cart lines, each after the check. Error bodies now carry reasons/conflicts/problems/missing. Tests: tests/phase2-purchase.test.ts (each reason through the API + pure), mutation-checked.</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Done</t>
        </is>
      </c>
      <c r="J29" s="108" t="n">
        <v>5</v>
      </c>
      <c r="K29" s="109" t="inlineStr">
        <is>
          <t>2026-09-28</t>
        </is>
      </c>
      <c r="L29" s="109" t="inlineStr">
        <is>
          <t>2026-09-28</t>
        </is>
      </c>
      <c r="M29" s="110" t="inlineStr">
        <is>
          <t>rcfworks</t>
        </is>
      </c>
      <c r="N29" s="81" t="n">
        <v>0</v>
      </c>
      <c r="O29" s="80" t="inlineStr">
        <is>
          <t>2S3-BE-01</t>
        </is>
      </c>
      <c r="P29" s="80" t="inlineStr">
        <is>
          <t>Search returns only inventory visible to the requesting sponsor and tenant</t>
        </is>
      </c>
      <c r="Q29" s="82" t="inlineStr">
        <is>
          <t>Spec §12</t>
        </is>
      </c>
      <c r="R29" s="111" t="inlineStr">
        <is>
          <t>2026-09-28: GET /marketplace/search (text, kind, category, sport, state, price, dates). New listing scope `catalog` for SPONSOR_ADMIN/ANALYST: PUBLISHED, PUBLIC, past publishAt, item active, property listing access standing, in the sponsor's own marketplace (its tenant + tenants it operates). Per sponsor, listings restricted against its categories today (item's own, owner restrictions in force) are hidden — two sponsors get different catalogues. BTG searches the tenants it operates through the same live filter; property managers and athletes are refused. Results carry athlete display name/sport/position only. Matrix §19; digest 4f835eba4e8465d1 (old grid unchanged with this batch removed). Tests: tests/phase2-purchase.test.ts, mutation-checked.</t>
        </is>
      </c>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Code review</t>
        </is>
      </c>
      <c r="J30" s="108" t="n">
        <v>5</v>
      </c>
      <c r="K30" s="109" t="n">
        <v>46294</v>
      </c>
      <c r="L30" s="109" t="n"/>
      <c r="M30" s="110" t="inlineStr">
        <is>
          <t>rcfworks</t>
        </is>
      </c>
      <c r="N30" s="85" t="n">
        <v>0</v>
      </c>
      <c r="O30" s="84" t="inlineStr">
        <is>
          <t>2S0-ART-01</t>
        </is>
      </c>
      <c r="P30" s="84" t="inlineStr">
        <is>
          <t>A property can build, preview and submit a listing for approval</t>
        </is>
      </c>
      <c r="Q30" s="86" t="inlineStr">
        <is>
          <t>Spec §6 P2-07</t>
        </is>
      </c>
      <c r="R30" s="111" t="n"/>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Done</t>
        </is>
      </c>
      <c r="J31" s="108" t="n">
        <v>3</v>
      </c>
      <c r="K31" s="109" t="inlineStr">
        <is>
          <t>2026-09-28</t>
        </is>
      </c>
      <c r="L31" s="109" t="inlineStr">
        <is>
          <t>2026-09-28</t>
        </is>
      </c>
      <c r="M31" s="110" t="inlineStr">
        <is>
          <t>rcfworks</t>
        </is>
      </c>
      <c r="N31" s="81" t="n">
        <v>0</v>
      </c>
      <c r="O31" s="80" t="inlineStr">
        <is>
          <t>2S3-BE-04</t>
        </is>
      </c>
      <c r="P31" s="80" t="inlineStr">
        <is>
          <t>Cross-tenant marketplace search tests pass</t>
        </is>
      </c>
      <c r="Q31" s="82" t="inlineStr">
        <is>
          <t>Spec §12</t>
        </is>
      </c>
      <c r="R31" s="111" t="inlineStr">
        <is>
          <t>2026-09-28: tests/phase2-purchase.test.ts (2S3-SEC-01 block) across two operators' marketplaces: private, draft, paused, scheduled-future and suspended-property listings and the other marketplace's never appear in search, are refused on GET /listings/{id}, and cannot be put in a cart; another operator sees only its own; non-buyers refused. The tenant-isolation sweep now covers /marketplace/search, /restrictions, /cart and /cart/lines with tenant-A rows seeded (no success, no leak, tenant A unchanged). Mutation-checked (catalog without visibility, catalog across marketplaces).</t>
        </is>
      </c>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Done</t>
        </is>
      </c>
      <c r="J32" s="108" t="n">
        <v>3</v>
      </c>
      <c r="K32" s="109" t="inlineStr">
        <is>
          <t>2026-09-28</t>
        </is>
      </c>
      <c r="L32" s="109" t="inlineStr">
        <is>
          <t>2026-09-28</t>
        </is>
      </c>
      <c r="M32" s="110" t="inlineStr">
        <is>
          <t>rcfworks</t>
        </is>
      </c>
      <c r="N32" s="85" t="n">
        <v>0</v>
      </c>
      <c r="O32" s="84" t="inlineStr">
        <is>
          <t>2S3-BE-03</t>
        </is>
      </c>
      <c r="P32" s="84" t="inlineStr">
        <is>
          <t>Sponsor can add, remove and update cart lines; the cart expires cleanly</t>
        </is>
      </c>
      <c r="Q32" s="86" t="inlineStr">
        <is>
          <t>Spec §8, §9</t>
        </is>
      </c>
      <c r="R32" s="111" t="inlineStr">
        <is>
          <t>2026-09-28: Cart + CartLine (sponsor's tenant; one ACTIVE per sponsor — partial unique index; USD). GET/POST /cart, POST/PATCH/DELETE /cart/lines — each add/update runs the availability check at the listing's price and is audited; duplicates refused; totals computed. Analyst reads, cannot write; other sponsors 403. Every change slides expiry 24 h; a cart past expiry reads as gone, refuses changes and is closed; the hourly worker sweep (expireCarts, idempotent, touches only cart state) marks the rest EXPIRED; a fresh cart opens; nothing is held, so nothing is released (reservations are 2S4-BE-02). Tests: tests/phase2-purchase.test.ts, mutation-checked.</t>
        </is>
      </c>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Done</t>
        </is>
      </c>
      <c r="J33" s="108" t="n">
        <v>5</v>
      </c>
      <c r="K33" s="109" t="inlineStr">
        <is>
          <t>2026-09-28</t>
        </is>
      </c>
      <c r="L33" s="109" t="inlineStr">
        <is>
          <t>2026-09-28</t>
        </is>
      </c>
      <c r="M33" s="110" t="inlineStr">
        <is>
          <t>rcfworks</t>
        </is>
      </c>
      <c r="N33" s="81" t="n">
        <v>0</v>
      </c>
      <c r="O33" s="80" t="inlineStr">
        <is>
          <t>2S4-BE-01</t>
        </is>
      </c>
      <c r="P33" s="80" t="inlineStr">
        <is>
          <t>Reservations prevent overselling and expired reservations release inventory automatically</t>
        </is>
      </c>
      <c r="Q33" s="82" t="inlineStr">
        <is>
          <t>Spec §7.2, §12</t>
        </is>
      </c>
      <c r="R33" s="111" t="inlineStr">
        <is>
          <t>2026-09-28: Reservation (HELD → CONVERTED | EXPIRED | RELEASED, 15-minute hold, one HELD per cart). POST /cart/reserve holds every line all-or-nothing (each line checked, then its hold written, in one transaction); Postgres advisory locks per item (package parts included, fixed order) serialise concurrent holds — proven: two sponsors reserving the last unit at once → exactly one 201, one 409. A held cart is frozen. Holds stop counting the instant expiresAt passes (no sweep needed — proven: stock returns before any sweep, and another sponsor reserves it); the worker sweep (every minute, idempotent) marks EXPIRED and releases the rows; an expired hold cannot become an order; release returns stock at once. Tests: tests/phase2-orders.test.ts, mutation-checked (no locks, lapsed holds counting).</t>
        </is>
      </c>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Done</t>
        </is>
      </c>
      <c r="J34" s="108" t="n">
        <v>5</v>
      </c>
      <c r="K34" s="109" t="inlineStr">
        <is>
          <t>2026-09-28</t>
        </is>
      </c>
      <c r="L34" s="109" t="inlineStr">
        <is>
          <t>2026-09-28</t>
        </is>
      </c>
      <c r="M34" s="110" t="inlineStr">
        <is>
          <t>rcfworks</t>
        </is>
      </c>
      <c r="N34" s="85" t="n">
        <v>0</v>
      </c>
      <c r="O34" s="84" t="inlineStr">
        <is>
          <t>2S4-BE-02</t>
        </is>
      </c>
      <c r="P34" s="84" t="inlineStr">
        <is>
          <t>Order states enforce correctly; an unapproved order cannot contract inventory</t>
        </is>
      </c>
      <c r="Q34" s="86" t="inlineStr">
        <is>
          <t>Spec §7.2, §9</t>
        </is>
      </c>
      <c r="R34" s="111" t="inlineStr">
        <is>
          <t>2026-09-28: MarketplaceOrder + lines (sponsor's tenant; subtotal, fees — MARKETPLACE_BUYER_FEE_BPS, default 0 —, total, USD). State machine transcribed from the state-machines doc §4 (PENDING_APPROVAL → APPROVED → AWAITING_PAYMENT → PAID → IN_DELIVERY → FULFILLED → CLOSED; CANCELLED before PAID; REFUNDED from PAID/IN_DELIVERY/FULFILLED): PENDING_APPROVAL → AWAITING_PAYMENT, PAID → CANCELLED, APPROVED-by-transition and moves out of terminal states all refused. Placing converts the hold into a non-lapsing, NOT contracted order hold; contracting happens only at approval. Figures and lines immutable from APPROVED on (Postgres triggers). Cancel/refund release the stock. Staff (BTG_ADMIN, FINANCE) move payment/delivery states; the sponsor may only cancel before payment. Tests: tests/phase2-orders.test.ts, mutation-checked.</t>
        </is>
      </c>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Done</t>
        </is>
      </c>
      <c r="J35" s="108" t="n">
        <v>5</v>
      </c>
      <c r="K35" s="109" t="inlineStr">
        <is>
          <t>2026-09-28</t>
        </is>
      </c>
      <c r="L35" s="109" t="inlineStr">
        <is>
          <t>2026-09-28</t>
        </is>
      </c>
      <c r="M35" s="110" t="inlineStr">
        <is>
          <t>rcfworks</t>
        </is>
      </c>
      <c r="N35" s="81" t="n">
        <v>0</v>
      </c>
      <c r="O35" s="80" t="inlineStr">
        <is>
          <t>2S4-BE-03</t>
        </is>
      </c>
      <c r="P35" s="80" t="inlineStr">
        <is>
          <t>Commission snapshot is created at contract time and does not change when commission rules are later edited</t>
        </is>
      </c>
      <c r="Q35" s="82" t="inlineStr">
        <is>
          <t>Spec §7.4, §12</t>
        </is>
      </c>
      <c r="R35" s="111" t="inlineStr">
        <is>
          <t>2026-09-28: OrderLineFinancials — at contract (inside the approval's transaction) every line's full breakdown (gross, discount, net, platform, management, processing, property share, referral, reserve, available, team/athlete split) is frozen with the exact rule versions that produced it; DB CHECKs the sums, a trigger refuses any update. Nothing is booked before contract. Proven with the ledger design's worked example to the cent; a later rule revision leaves the snapshot byte-identical; the next order records version 2. GET /marketplace-orders/{id}/financials for BTG/Finance only (sponsor and property 403 — it is the margin). Tests: tests/phase2-ledger.test.ts, mutation-checked.</t>
        </is>
      </c>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Done</t>
        </is>
      </c>
      <c r="J36" s="108" t="n">
        <v>3</v>
      </c>
      <c r="K36" s="109" t="inlineStr">
        <is>
          <t>2026-09-28</t>
        </is>
      </c>
      <c r="L36" s="109" t="inlineStr">
        <is>
          <t>2026-09-28</t>
        </is>
      </c>
      <c r="M36" s="110" t="inlineStr">
        <is>
          <t>rcfworks</t>
        </is>
      </c>
      <c r="N36" s="85" t="n">
        <v>0</v>
      </c>
      <c r="O36" s="84" t="inlineStr">
        <is>
          <t>2S4-BE-03</t>
        </is>
      </c>
      <c r="P36" s="84" t="inlineStr">
        <is>
          <t>An order requiring approval holds inventory without contracting it, and releases on rejection</t>
        </is>
      </c>
      <c r="Q36" s="86" t="inlineStr">
        <is>
          <t>Spec §7.2</t>
        </is>
      </c>
      <c r="R36" s="111" t="inlineStr">
        <is>
          <t>2026-09-28: approval policy (SIMULATED, threshold set by the programme owner): an order of $1,000 or more (MARKETPLACE_APPROVAL_THRESHOLD_CENTS = 100000), a sponsor's first marketplace order, or a listing with requiresApproval waits in PENDING_APPROVAL with its reasons, holding its stock uncontracted (proven: no other sponsor can buy it; nothing but the decision contracts it). BTG_ADMIN approves (stock contracted, contractedAt, Zoho queued) or rejects with a note (CANCELLED, stock released — proven available again). An order with no reason is approved by policy in the same transaction, recorded as decidedBy system with a null audit actor. Tests: tests/phase2-orders.test.ts, mutation-checked.</t>
        </is>
      </c>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Code review</t>
        </is>
      </c>
      <c r="J37" s="108" t="n">
        <v>3</v>
      </c>
      <c r="K37" s="109" t="n">
        <v>46294</v>
      </c>
      <c r="L37" s="109" t="n"/>
      <c r="M37" s="110" t="inlineStr">
        <is>
          <t>rcfworks</t>
        </is>
      </c>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Code review</t>
        </is>
      </c>
      <c r="J38" s="108" t="n">
        <v>5</v>
      </c>
      <c r="K38" s="109" t="n">
        <v>46294</v>
      </c>
      <c r="L38" s="109" t="n"/>
      <c r="M38" s="110" t="inlineStr">
        <is>
          <t>rcfworks</t>
        </is>
      </c>
      <c r="N38" s="85" t="n">
        <v>0</v>
      </c>
      <c r="O38" s="84" t="inlineStr">
        <is>
          <t>2S4-BE-03</t>
        </is>
      </c>
      <c r="P38" s="84" t="inlineStr">
        <is>
          <t>Sponsor can complete a purchase or reservation through the configured flow</t>
        </is>
      </c>
      <c r="Q38" s="86" t="inlineStr">
        <is>
          <t>Spec §6 P2-09</t>
        </is>
      </c>
      <c r="R38" s="111" t="inlineStr">
        <is>
          <t>2026-09-29: no contract step and no payment in the API — payment shown as not open until the provider is chosen.</t>
        </is>
      </c>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Blocked</t>
        </is>
      </c>
      <c r="J39" s="108" t="n">
        <v>5</v>
      </c>
      <c r="K39" s="109" t="n"/>
      <c r="L39" s="109" t="n"/>
      <c r="M39" s="110" t="n"/>
      <c r="N39" s="81" t="n">
        <v>0</v>
      </c>
      <c r="O39" s="80" t="inlineStr">
        <is>
          <t>2S0-PMO-03</t>
        </is>
      </c>
      <c r="P39" s="80" t="inlineStr">
        <is>
          <t>Sponsor can pay through the provider and the order reflects the result</t>
        </is>
      </c>
      <c r="Q39" s="82" t="inlineStr">
        <is>
          <t>Spec §8</t>
        </is>
      </c>
      <c r="R39" s="111" t="inlineStr">
        <is>
          <t>2026-09-28 WAITING ON: the payment provider choice (2S0-PMO-03 — the programme owner's decision: provider, contract, sandbox credentials).</t>
        </is>
      </c>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Blocked</t>
        </is>
      </c>
      <c r="J40" s="108" t="n">
        <v>5</v>
      </c>
      <c r="K40" s="109" t="n"/>
      <c r="L40" s="109" t="n"/>
      <c r="M40" s="110" t="n"/>
      <c r="N40" s="85" t="n">
        <v>0</v>
      </c>
      <c r="O40" s="84" t="inlineStr">
        <is>
          <t>2S5-INT-01</t>
        </is>
      </c>
      <c r="P40" s="84" t="inlineStr">
        <is>
          <t>Payment webhooks are idempotent and correctly update order and payment state under duplicate and out-of-order delivery</t>
        </is>
      </c>
      <c r="Q40" s="86" t="inlineStr">
        <is>
          <t>Spec §3, §12</t>
        </is>
      </c>
      <c r="R40" s="111" t="inlineStr">
        <is>
          <t>2026-09-28 WAITING ON: the payment provider choice (2S0-PMO-03 — the programme owner's decision: provider, contract, sandbox credentials).</t>
        </is>
      </c>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Blocked</t>
        </is>
      </c>
      <c r="J41" s="108" t="n">
        <v>5</v>
      </c>
      <c r="K41" s="109" t="n"/>
      <c r="L41" s="109" t="n"/>
      <c r="M41" s="110" t="n"/>
      <c r="N41" s="81" t="n">
        <v>0</v>
      </c>
      <c r="O41" s="80" t="inlineStr">
        <is>
          <t>2S5-INT-01</t>
        </is>
      </c>
      <c r="P41" s="80" t="inlineStr">
        <is>
          <t>A property can complete payout onboarding and SponsorX reflects its readiness status</t>
        </is>
      </c>
      <c r="Q41" s="82" t="inlineStr">
        <is>
          <t>Spec §8, §9</t>
        </is>
      </c>
      <c r="R41" s="111" t="inlineStr">
        <is>
          <t>2026-09-28 WAITING ON: the payment provider choice (2S0-PMO-03 — the programme owner's decision: provider, contract, sandbox credentials).</t>
        </is>
      </c>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Done</t>
        </is>
      </c>
      <c r="J42" s="108" t="n">
        <v>5</v>
      </c>
      <c r="K42" s="109" t="inlineStr">
        <is>
          <t>2026-09-28</t>
        </is>
      </c>
      <c r="L42" s="109" t="inlineStr">
        <is>
          <t>2026-09-28</t>
        </is>
      </c>
      <c r="M42" s="110" t="inlineStr">
        <is>
          <t>rcfworks</t>
        </is>
      </c>
      <c r="N42" s="85" t="n">
        <v>0</v>
      </c>
      <c r="O42" s="84" t="inlineStr">
        <is>
          <t>2S0-PMO-02</t>
        </is>
      </c>
      <c r="P42" s="84" t="inlineStr">
        <is>
          <t>Rules apply in priority order; editing a rule never alters a closed payout</t>
        </is>
      </c>
      <c r="Q42" s="86" t="inlineStr">
        <is>
          <t>Spec §7.4, §9</t>
        </is>
      </c>
      <c r="R42" s="111" t="inlineStr">
        <is>
          <t>2026-09-28: CommissionRule — kinds PLATFORM_FEE, MANAGEMENT_FEE, PROCESSING, REFERRAL, RESERVE, TEAM_SHARE; scopes GLOBAL / PROPERTY_KIND / PROPERTY / SPONSOR; bps + fixed; explicit priority; effective window. GET/POST /commission-rules, POST /commission-rules/{id}/revise (BTG_ADMIN, FINANCE). Proven: the highest-priority matching rule in effect applies (kind rule over global, sponsor rule over both, a future-dated rule only once its window opens); a revision is version n+1 from now with version n's window closed, and the earlier moment still resolves to n. Postgres refuses any other change to a rule row. 'Never alters a closed payout': rules are read in exactly one place — resolveRates at contract time (static guard pins it) — and the result is frozen and booked; proven that a revision leaves every snapshot, every ledger entry (full-row fingerprint) and the property dashboard identical, while the next order uses the new version. Payouts (2S5-BE-04/05) draw on those entries and never ask the rules. Rates are SIMULATED (ledger design §5). Tests: tests/phase2-ledger.test.ts, mutation-checked.</t>
        </is>
      </c>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Done</t>
        </is>
      </c>
      <c r="J43" s="108" t="n">
        <v>5</v>
      </c>
      <c r="K43" s="109" t="inlineStr">
        <is>
          <t>2026-09-28</t>
        </is>
      </c>
      <c r="L43" s="109" t="inlineStr">
        <is>
          <t>2026-09-28</t>
        </is>
      </c>
      <c r="M43" s="110" t="inlineStr">
        <is>
          <t>rcfworks</t>
        </is>
      </c>
      <c r="N43" s="81" t="n">
        <v>0</v>
      </c>
      <c r="O43" s="80" t="inlineStr">
        <is>
          <t>2S5-BE-01</t>
        </is>
      </c>
      <c r="P43" s="80" t="inlineStr">
        <is>
          <t>Property dashboard reconciles booked revenue, ledger balance, paid earnings and pending earnings exactly</t>
        </is>
      </c>
      <c r="Q43" s="82" t="inlineStr">
        <is>
          <t>Spec §7.4, §12</t>
        </is>
      </c>
      <c r="R43" s="111" t="inlineStr">
        <is>
          <t>2026-09-28: LedgerEntry — double-entry journals (debits = credits, refused otherwise), account / party / debit-or-credit / type / status; entries in the operator's books naming each party's tenant. BOOKING at contract (one journal per line + buyer fees), payables → AVAILABLE on PAID, RESERVE_RELEASE on CLOSED, REVERSAL (mirror of everything) on cancel/refund after contract; entries never rewritten, status only forward (trigger). GET /team/ledger — the property dashboard: booked, reversed, paid, ledger balance, pending (awaiting sponsor payment / available / reserved) — proven to reconcile exactly (booked − reversed − paid = balance = pending) at contract (151,093¢ as the design's example), after payment, after the reserve's release, and after a refund; another property sees none of it. Payouts post PAYOUT journals when 2S5-BE-05 lands (paid is 0 until then). Tests: tests/phase2-ledger.test.ts, mutation-checked.</t>
        </is>
      </c>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Blocked</t>
        </is>
      </c>
      <c r="J44" s="108" t="n">
        <v>3</v>
      </c>
      <c r="K44" s="109" t="n"/>
      <c r="L44" s="109" t="n"/>
      <c r="M44" s="110" t="n"/>
      <c r="N44" s="85" t="n">
        <v>0</v>
      </c>
      <c r="O44" s="84" t="inlineStr">
        <is>
          <t>2S5-INT-02</t>
        </is>
      </c>
      <c r="P44" s="84" t="inlineStr">
        <is>
          <t>A refund or dispute correctly reverses ledger entries and blocks the related payout</t>
        </is>
      </c>
      <c r="Q44" s="86" t="inlineStr">
        <is>
          <t>Spec §9</t>
        </is>
      </c>
      <c r="R44" s="111" t="inlineStr">
        <is>
          <t>2026-09-28 WAITING ON: the payment provider choice (2S0-PMO-03 — the programme owner's decision: provider, contract, sandbox credentials).</t>
        </is>
      </c>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Blocked</t>
        </is>
      </c>
      <c r="J45" s="108" t="n">
        <v>5</v>
      </c>
      <c r="K45" s="109" t="n"/>
      <c r="L45" s="109" t="n"/>
      <c r="M45" s="110" t="n"/>
      <c r="N45" s="81" t="n">
        <v>0</v>
      </c>
      <c r="O45" s="80" t="inlineStr">
        <is>
          <t>2S5-BE-02</t>
        </is>
      </c>
      <c r="P45" s="80" t="inlineStr">
        <is>
          <t>Payout cannot be released if payment is unsettled, deliverables are incomplete, onboarding is incomplete, or a dispute is open</t>
        </is>
      </c>
      <c r="Q45" s="82" t="inlineStr">
        <is>
          <t>Spec §7.4, §12</t>
        </is>
      </c>
      <c r="R45" s="111" t="inlineStr">
        <is>
          <t>2026-09-28 WAITING ON: the payment provider (2S0-PMO-03). Its dependency (2S5-BE-02) is Done, but three of its four release checks need parts that come with the provider — payment settlement (2S5-INT-02), payout onboarding (2S5-INT-03) and disputes (2S5-BE-03).</t>
        </is>
      </c>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Blocked</t>
        </is>
      </c>
      <c r="J46" s="108" t="n">
        <v>3</v>
      </c>
      <c r="K46" s="109" t="n"/>
      <c r="L46" s="109" t="n"/>
      <c r="M46" s="110" t="n"/>
      <c r="N46" s="85" t="n">
        <v>0</v>
      </c>
      <c r="O46" s="84" t="inlineStr">
        <is>
          <t>2S5-BE-04</t>
        </is>
      </c>
      <c r="P46" s="84" t="inlineStr">
        <is>
          <t>An approved payout executes through the provider and its status is tracked to completion</t>
        </is>
      </c>
      <c r="Q46" s="86" t="inlineStr">
        <is>
          <t>Spec §8</t>
        </is>
      </c>
      <c r="R46" s="111" t="inlineStr">
        <is>
          <t>2026-09-28 WAITING ON: 2S5-BE-04, and so the payment provider (2S0-PMO-03) — a payout executes through the provider.</t>
        </is>
      </c>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Done</t>
        </is>
      </c>
      <c r="J47" s="108" t="n">
        <v>5</v>
      </c>
      <c r="K47" s="109" t="inlineStr">
        <is>
          <t>2026-09-28</t>
        </is>
      </c>
      <c r="L47" s="109" t="inlineStr">
        <is>
          <t>2026-09-28</t>
        </is>
      </c>
      <c r="M47" s="110" t="inlineStr">
        <is>
          <t>rcfworks</t>
        </is>
      </c>
      <c r="N47" s="81" t="n">
        <v>0</v>
      </c>
      <c r="O47" s="80" t="inlineStr">
        <is>
          <t>2S5-BE-01</t>
        </is>
      </c>
      <c r="P47" s="80" t="inlineStr">
        <is>
          <t>Rules can be created, versioned and previewed against a sample order</t>
        </is>
      </c>
      <c r="Q47" s="82" t="inlineStr">
        <is>
          <t>Spec §6 P2-10</t>
        </is>
      </c>
      <c r="R47" s="111" t="inlineStr">
        <is>
          <t>2026-09-28 (built at the programme owner's request; BTG ADMIN ONLY): /admin/commission — the rules in effect per kind in the order the API applies them (highest priority first, 'applies first' marked), each with its version history; add a rule (kind, who it applies to — everyone / a property type / one property / one sponsor —, rate %, fixed $ where allowed, priority, note); revise a rule (saved as version n+1 from now; approved orders keep theirs); preview a sample order (lines, property type, athlete items with the property's cut) under the rules in effect AND with the unsaved rule, side by side with the change — computed by POST /commission-rules/preview on the same resolver and arithmetic the contract uses, writing nothing. Admin-only: the page checks BTG_ADMIN/SUPER_ADMIN before fetching, the nav hides it from other staff, and the API now refuses Finance writes (Finance keeps read; matrix §21, digest 49b852630719d073). Tests: frontend tests/commission-live.test.ts (parsing, grouping, render, access), backend tests/phase2-ledger.test.ts (preview reproduces the design example; a draft outranks by priority; admin-only).</t>
        </is>
      </c>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Code review</t>
        </is>
      </c>
      <c r="J48" s="108" t="n">
        <v>5</v>
      </c>
      <c r="K48" s="109" t="n">
        <v>46294</v>
      </c>
      <c r="L48" s="109" t="n"/>
      <c r="M48" s="110" t="inlineStr">
        <is>
          <t>rcfworks</t>
        </is>
      </c>
      <c r="N48" s="85" t="n">
        <v>0</v>
      </c>
      <c r="O48" s="84" t="inlineStr">
        <is>
          <t>2S5-BE-02</t>
        </is>
      </c>
      <c r="P48" s="84" t="inlineStr">
        <is>
          <t>Dashboard reconciles to the ledger to the cent</t>
        </is>
      </c>
      <c r="Q48" s="86" t="inlineStr">
        <is>
          <t>Spec §6 P2-11</t>
        </is>
      </c>
      <c r="R48" s="111" t="inlineStr">
        <is>
          <t>2026-09-29: PAYOUT entries are never written yet, so payouts show as not started.</t>
        </is>
      </c>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Done</t>
        </is>
      </c>
      <c r="J49" s="108" t="n">
        <v>3</v>
      </c>
      <c r="K49" s="109" t="inlineStr">
        <is>
          <t>2026-09-28</t>
        </is>
      </c>
      <c r="L49" s="109" t="inlineStr">
        <is>
          <t>2026-09-28</t>
        </is>
      </c>
      <c r="M49" s="110" t="inlineStr">
        <is>
          <t>rcfworks</t>
        </is>
      </c>
      <c r="N49" s="81" t="n">
        <v>0</v>
      </c>
      <c r="O49" s="80" t="inlineStr">
        <is>
          <t>2S5-BE-02</t>
        </is>
      </c>
      <c r="P49" s="80" t="inlineStr">
        <is>
          <t>Immutable audit history exists for all financial and admin changes</t>
        </is>
      </c>
      <c r="Q49" s="82" t="inlineStr">
        <is>
          <t>Spec §3, §38</t>
        </is>
      </c>
      <c r="R49" s="111" t="inlineStr">
        <is>
          <t>2026-09-28: the audit log is append-only in Postgres (UPDATE always refused; DELETE refused except in a database explicitly marked as a test database — CI's two and the local test DB; never staging/production). tests/financial-audit-coverage.test.ts now covers the Phase 2 money modules (inventory pricing, offers, marketplace orders and approval, commission, ledger): every exported mutator audits directly or through an audited helper, and any domain module that writes a money model must be one of them. Proven: commission create/revise, order place/approve/paid/closed/refunded and every ledger posting (book, markPaid, releaseReserve, reverse) leave audit rows; an audit row cannot be updated or, outside a test database, deleted. Payout approval and dispute actions are covered by the same guard the moment their modules exist (2S5-BE-03/05). Mutation-checked.</t>
        </is>
      </c>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inlineStr">
        <is>
          <t>2026-09-28 WAITING ON: the payment provider choice (2S0-PMO-03 — the programme owner's decision: provider, contract, sandbox credentials).</t>
        </is>
      </c>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inlineStr">
        <is>
          <t>2026-09-28 WAITING ON: the payment provider choice (2S0-PMO-03 — the programme owner's decision: provider, contract, sandbox credentials).</t>
        </is>
      </c>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inlineStr">
        <is>
          <t>2026-09-28 WAITING ON: the payment provider choice (2S0-PMO-03 — the programme owner's decision: provider, contract, sandbox credentials).</t>
        </is>
      </c>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Done</t>
        </is>
      </c>
      <c r="J53" s="108" t="n">
        <v>3</v>
      </c>
      <c r="K53" s="109" t="inlineStr">
        <is>
          <t>2026-09-28</t>
        </is>
      </c>
      <c r="L53" s="109" t="inlineStr">
        <is>
          <t>2026-09-28</t>
        </is>
      </c>
      <c r="M53" s="110" t="inlineStr">
        <is>
          <t>rcfworks</t>
        </is>
      </c>
      <c r="N53" s="81" t="n">
        <v>0</v>
      </c>
      <c r="O53" s="80" t="inlineStr">
        <is>
          <t>2S1-INT-01</t>
        </is>
      </c>
      <c r="P53" s="80" t="inlineStr">
        <is>
          <t>A user can mute a channel per event type and the worker honours it</t>
        </is>
      </c>
      <c r="Q53" s="82" t="inlineStr">
        <is>
          <t>Spec §9</t>
        </is>
      </c>
      <c r="R53" s="111" t="inlineStr">
        <is>
          <t>2026-09-28: NotificationPreference (user, event, channel → muted), migration 20260928140000. GET/PUT /me/notification-preferences — always the caller's own (a smuggled userId/tenantId sets nothing of anyone else's). Mutable: invitation.*, deliverable.*, student.prospectDeclined; decision notices (athlete/guardian/onboarding outcomes, fan voucher) cannot be muted. The worker honours it at send time in handleSendEmail (mutedFor: that event, that person — login or athlete-record address — that tenant), before claiming the send, so nothing is sent or recorded. EMAIL is the only channel the worker sends today; the key has room for SMS/push. New resource notificationPreference (every role own/own; matrix §17; digest 9335a770498a2530, old grid unchanged with it removed). Tests: tests/notification-preferences.test.ts, mutation-checked.</t>
        </is>
      </c>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n"/>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Done</t>
        </is>
      </c>
      <c r="J55" s="108" t="n">
        <v>5</v>
      </c>
      <c r="K55" s="109" t="inlineStr">
        <is>
          <t>2026-09-28</t>
        </is>
      </c>
      <c r="L55" s="109" t="inlineStr">
        <is>
          <t>2026-09-28</t>
        </is>
      </c>
      <c r="M55" s="110" t="inlineStr">
        <is>
          <t>rcfworks</t>
        </is>
      </c>
      <c r="N55" s="81" t="n">
        <v>0</v>
      </c>
      <c r="O55" s="80" t="inlineStr">
        <is>
          <t>2S5-BE-02</t>
        </is>
      </c>
      <c r="P55" s="80" t="inlineStr">
        <is>
          <t>Property analytics reconcile to the ledger and campaign records</t>
        </is>
      </c>
      <c r="Q55" s="82" t="inlineStr">
        <is>
          <t>Spec §6 P2-13</t>
        </is>
      </c>
      <c r="R55" s="111" t="inlineStr">
        <is>
          <t>2026-09-28: GET /team/analytics — revenue (booked/reversed/net, by month), campaign completion (contracted/completed/cancelled orders and rate), sell-through per item (contracted units vs stock), sponsor mix (booked by sponsor category), payout trends — each from one named source: the property's ledger entries or its order records. Proven to reconcile: revenue totals and monthly sums equal the dashboard, sponsor mix sums to booked, completion equals the order records, sell-through equals contracted commitments (refunded stock returned). Average CPM is returned null with its reason — marketplace inventory has no impression data yet, so a CPM would have no source. Another property sees nothing; sponsors 403. Tests: tests/phase2-ledger.test.ts.</t>
        </is>
      </c>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Code review</t>
        </is>
      </c>
      <c r="J56" s="108" t="n">
        <v>5</v>
      </c>
      <c r="K56" s="109" t="n">
        <v>46294</v>
      </c>
      <c r="L56" s="109" t="n"/>
      <c r="M56" s="110" t="inlineStr">
        <is>
          <t>rcfworks</t>
        </is>
      </c>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Code review</t>
        </is>
      </c>
      <c r="J57" s="108" t="n">
        <v>5</v>
      </c>
      <c r="K57" s="109" t="n">
        <v>46294</v>
      </c>
      <c r="L57" s="109" t="n"/>
      <c r="M57" s="110" t="inlineStr">
        <is>
          <t>rcfworks</t>
        </is>
      </c>
      <c r="N57" s="81" t="n">
        <v>0</v>
      </c>
      <c r="O57" s="80" t="inlineStr">
        <is>
          <t>2S3-BE-01</t>
        </is>
      </c>
      <c r="P57" s="80" t="inlineStr">
        <is>
          <t>Every exception type surfaces in the console and can be actioned</t>
        </is>
      </c>
      <c r="Q57" s="82" t="inlineStr">
        <is>
          <t>Spec §6 P2-14</t>
        </is>
      </c>
      <c r="R57" s="111" t="inlineStr">
        <is>
          <t>2026-09-29: disputes / failed payments / payout exceptions have no backend — shown as not tracked yet.</t>
        </is>
      </c>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Done</t>
        </is>
      </c>
      <c r="J58" s="108" t="n">
        <v>5</v>
      </c>
      <c r="K58" s="109" t="inlineStr">
        <is>
          <t>2026-09-28</t>
        </is>
      </c>
      <c r="L58" s="109" t="inlineStr">
        <is>
          <t>2026-09-28</t>
        </is>
      </c>
      <c r="M58" s="110" t="inlineStr">
        <is>
          <t>rcfworks</t>
        </is>
      </c>
      <c r="N58" s="85" t="n">
        <v>0</v>
      </c>
      <c r="O58" s="84" t="inlineStr">
        <is>
          <t>2S4-BE-03</t>
        </is>
      </c>
      <c r="P58" s="84" t="inlineStr">
        <is>
          <t>Zoho contains linked Account, Contact and Deal data for external marketplace transactions</t>
        </is>
      </c>
      <c r="Q58" s="86" t="inlineStr">
        <is>
          <t>Spec §10, §12</t>
        </is>
      </c>
      <c r="R58" s="111" t="inlineStr">
        <is>
          <t>2026-09-28: zoho.pushMarketplaceOrder, queued in the approval's transaction and on every later move: the sponsor's Account + primary Contact (existing pushes), each outside property as an Account of its own (Partner, SponsorX_ID property:&lt;id&gt;, stored in Property.zohoId — the S-9 mapping change, field-mapping §12.2) with its manager as a Contact under it (Property.zohoContactId), then the Deal (SponsorX_ID mkt-order:&lt;id&gt;) linked to the sponsor Account and Contact, naming each property Account in Description; Amount = total, Stage Closed Won from approval / Closed Lost on cancel or refund, Type by earlier orders only. Idempotent by SponsorX_ID; after the first push only Stage is sent. Never pushed before contracted. Worker job registered and gated by Zoho credentials like every CRM job. Tests: tests/phase2-orders.test.ts against the fake Zoho org (as every sync test); mutation-checked. Live sandbox check is a separate step once credentials are on the worker.</t>
        </is>
      </c>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Done</t>
        </is>
      </c>
      <c r="J59" s="108" t="n">
        <v>3</v>
      </c>
      <c r="K59" s="109" t="inlineStr">
        <is>
          <t>2026-09-28</t>
        </is>
      </c>
      <c r="L59" s="109" t="inlineStr">
        <is>
          <t>2026-09-28</t>
        </is>
      </c>
      <c r="M59" s="110" t="inlineStr">
        <is>
          <t>rcfworks</t>
        </is>
      </c>
      <c r="N59" s="81" t="n">
        <v>0</v>
      </c>
      <c r="O59" s="80" t="inlineStr">
        <is>
          <t>2S1-BE-04</t>
        </is>
      </c>
      <c r="P59" s="80" t="inlineStr">
        <is>
          <t>A tenant's branding is served to its portal and renders on its reports (the portal rendering itself is 2S7-FE-03)</t>
        </is>
      </c>
      <c r="Q59" s="82" t="inlineStr">
        <is>
          <t>Spec §9</t>
        </is>
      </c>
      <c r="R59" s="111" t="inlineStr">
        <is>
          <t>2026-09-28: TenantBranding (name, logo, colours, report footer, requested custom domain — validated, unique, not sponsorx.net; routing is later). GET /branding serves the caller's tenant to its portal (every role reads own tenant); PUT /branding for BTG_ADMIN (BTG) and an outside organisation's PROPERTY_MGR (their tenant only — a BTG-tenant property manager is refused); POST /branding/logo is a public-bucket PNG/JPEG grant under branding/&lt;tenant&gt;/. The rendered report embeds the logo (data URI — the render fetches nothing), colours and footer; screen 12's payload carries the branding. Acceptance re-scoped at the programme owner's instruction: the portal rendering itself is 2S7-FE-03. Tests: tests/phase2-marketplace.test.ts (real Chromium PDF), mutation-checked.</t>
        </is>
      </c>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Blocked</t>
        </is>
      </c>
      <c r="J60" s="108" t="n">
        <v>5</v>
      </c>
      <c r="K60" s="109" t="n"/>
      <c r="L60" s="109" t="n"/>
      <c r="M60" s="110" t="n"/>
      <c r="N60" s="85" t="n">
        <v>0</v>
      </c>
      <c r="O60" s="84" t="inlineStr">
        <is>
          <t>2S4-FE-02</t>
        </is>
      </c>
      <c r="P60" s="84" t="inlineStr">
        <is>
          <t>The full marketplace path runs green in CI</t>
        </is>
      </c>
      <c r="Q60" s="86" t="inlineStr">
        <is>
          <t>Spec §11</t>
        </is>
      </c>
      <c r="R60" s="111" t="n"/>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Blocked</t>
        </is>
      </c>
      <c r="J61" s="108" t="n">
        <v>5</v>
      </c>
      <c r="K61" s="109" t="n"/>
      <c r="L61" s="109" t="n"/>
      <c r="M61" s="110" t="n"/>
      <c r="N61" s="81" t="n">
        <v>0</v>
      </c>
      <c r="O61" s="80" t="inlineStr">
        <is>
          <t>2S5-INT-02</t>
        </is>
      </c>
      <c r="P61" s="80" t="inlineStr">
        <is>
          <t>Every failure mode is handled without financial inconsistency</t>
        </is>
      </c>
      <c r="Q61" s="82" t="inlineStr">
        <is>
          <t>Spec §11, §38</t>
        </is>
      </c>
      <c r="R61" s="111" t="n"/>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Blocked</t>
        </is>
      </c>
      <c r="J62" s="108" t="n">
        <v>5</v>
      </c>
      <c r="K62" s="109" t="n"/>
      <c r="L62" s="109" t="n"/>
      <c r="M62" s="110" t="n"/>
      <c r="N62" s="85" t="n">
        <v>0</v>
      </c>
      <c r="O62" s="84" t="inlineStr">
        <is>
          <t>2S5-BE-02</t>
        </is>
      </c>
      <c r="P62" s="84" t="inlineStr">
        <is>
          <t>Reconciliation passes within defined tolerance across a seeded full-cycle dataset</t>
        </is>
      </c>
      <c r="Q62" s="86" t="inlineStr">
        <is>
          <t>Spec §38</t>
        </is>
      </c>
      <c r="R62" s="111" t="n"/>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Done</t>
        </is>
      </c>
      <c r="J63" s="108" t="n">
        <v>5</v>
      </c>
      <c r="K63" s="109" t="inlineStr">
        <is>
          <t>2026-09-28</t>
        </is>
      </c>
      <c r="L63" s="109" t="inlineStr">
        <is>
          <t>2026-09-28</t>
        </is>
      </c>
      <c r="M63" s="110" t="inlineStr">
        <is>
          <t>rcfworks</t>
        </is>
      </c>
      <c r="N63" s="81" t="n">
        <v>0</v>
      </c>
      <c r="O63" s="80" t="inlineStr">
        <is>
          <t>2S1-BE-04</t>
        </is>
      </c>
      <c r="P63" s="80" t="inlineStr">
        <is>
          <t>Cross-tenant data access tests pass for sponsor, athlete/property and admin roles</t>
        </is>
      </c>
      <c r="Q63" s="82" t="inlineStr">
        <is>
          <t>Spec §12</t>
        </is>
      </c>
      <c r="R63" s="111" t="inlineStr">
        <is>
          <t>2026-09-28: tests/tenant-isolation.test.ts grown for outside parties. Tenant E is provisioned through the real approval path (2S1-BE-04) and its PROPERTY_MGR signs in via the email claim. Every tenant-bound route is attacked as tenant B's BTG_ADMIN, staff, SPONSOR_ADMIN, SPONSOR_ANALYST, ATHLETE, GUARDIAN, PROPERTY_MGR, STUDENT, ADVISOR and E's manager (no success, no tenant-A value, tenant A fingerprint unchanged); and in reverse, tenant A's admin, sponsor, athlete and all of B's roles against the outside tenant (every read, every write aimed at E's property: refused, no E value leaked, E fingerprint unchanged). Mutation-checked (a roster write that drops its tenant filter fails the sweep).</t>
        </is>
      </c>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Blocked</t>
        </is>
      </c>
      <c r="J64" s="108" t="n">
        <v>3</v>
      </c>
      <c r="K64" s="109" t="n"/>
      <c r="L64" s="109" t="n"/>
      <c r="M64" s="110" t="n"/>
      <c r="N64" s="85" t="n">
        <v>0</v>
      </c>
      <c r="O64" s="84" t="inlineStr">
        <is>
          <t>2S8-QA-01</t>
        </is>
      </c>
      <c r="P64" s="84" t="inlineStr">
        <is>
          <t>OWASP testing complete, dependency scan clean, secrets rotation in place</t>
        </is>
      </c>
      <c r="Q64" s="86" t="inlineStr">
        <is>
          <t>Spec §38</t>
        </is>
      </c>
      <c r="R64" s="111" t="inlineStr">
        <is>
          <t>2026-09-28 WAITING ON: Phase 2 QA (2S8-QA-01), which waits on the checkout frontend (2S4-FE-02) and so on the payment provider.</t>
        </is>
      </c>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Blocked</t>
        </is>
      </c>
      <c r="J65" s="108" t="n">
        <v>3</v>
      </c>
      <c r="K65" s="109" t="n"/>
      <c r="L65" s="109" t="n"/>
      <c r="M65" s="110" t="n"/>
      <c r="N65" s="81" t="n">
        <v>0</v>
      </c>
      <c r="O65" s="80" t="inlineStr">
        <is>
          <t>2S0-OPS-01</t>
        </is>
      </c>
      <c r="P65" s="80" t="inlineStr">
        <is>
          <t>Documented restore test passes and meets the agreed RPO/RTO</t>
        </is>
      </c>
      <c r="Q65" s="82" t="inlineStr">
        <is>
          <t>Spec §38</t>
        </is>
      </c>
      <c r="R65" s="111" t="inlineStr">
        <is>
          <t>2026-09-28 WAITING ON: Phase 1 completion.</t>
        </is>
      </c>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Real external properties onboard on staging, transact, and get paid, before anything goes live.</t>
        </is>
      </c>
      <c r="I66" s="108" t="inlineStr">
        <is>
          <t>Blocked</t>
        </is>
      </c>
      <c r="J66" s="108" t="n">
        <v>5</v>
      </c>
      <c r="K66" s="109" t="n"/>
      <c r="L66" s="109" t="n"/>
      <c r="M66" s="110" t="n"/>
      <c r="N66" s="85" t="n">
        <v>0</v>
      </c>
      <c r="O66" s="84" t="inlineStr">
        <is>
          <t>2S8-QA-01</t>
        </is>
      </c>
      <c r="P66" s="84" t="inlineStr">
        <is>
          <t>All 14 Phase 2 acceptance criteria demonstrated and signed off</t>
        </is>
      </c>
      <c r="Q66" s="86" t="inlineStr">
        <is>
          <t>Spec §12</t>
        </is>
      </c>
      <c r="R66" s="111" t="inlineStr">
        <is>
          <t>2026-09-28 WAITING ON: Phase 2 QA (2S8-QA-01), which waits on the checkout frontend (2S4-FE-02) and so on the payment provider.</t>
        </is>
      </c>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Done</t>
        </is>
      </c>
      <c r="J67" s="108" t="n">
        <v>3</v>
      </c>
      <c r="K67" s="109" t="inlineStr">
        <is>
          <t>2026-09-28</t>
        </is>
      </c>
      <c r="L67" s="109" t="inlineStr">
        <is>
          <t>2026-09-28</t>
        </is>
      </c>
      <c r="M67" s="110" t="inlineStr">
        <is>
          <t>rcfworks</t>
        </is>
      </c>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2026-09-28: Consent purpose 'sponsor-contact' with its own dated text (CURRENT_SPONSOR_CONTACT_VERSION 2026-09-28, SPONSOR_CONTACT_TEXT), stored in its own RewardEvent columns; Postgres CHECK: only alongside an address held with the delivery consent. Fan page: a second, separate checkbox, never pre-ticked (web tests). Sponsors read addresses ONLY via GET /campaigns/{id}/leads, gated by the new §7.2 field rewardClaim.sponsorLead (matrix §7.2/§10 amended), and the consent is IN THE QUERY (SPONSOR_CONTACTABLE) — tests/fan-pii.test.ts now allows exactly two address-reading queries and fails any without it. One-tap unsubscribe withdraws it. tests/fan-sponsor-contact.test.ts (mutation-checked). | 2026-09-28: Done at the user's instruction — acceptance met, CI green.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Done</t>
        </is>
      </c>
      <c r="J68" s="108" t="n">
        <v>3</v>
      </c>
      <c r="K68" s="109" t="inlineStr">
        <is>
          <t>2026-09-28</t>
        </is>
      </c>
      <c r="L68" s="109" t="inlineStr">
        <is>
          <t>2026-09-28</t>
        </is>
      </c>
      <c r="M68" s="110" t="inlineStr">
        <is>
          <t>rcfworks</t>
        </is>
      </c>
      <c r="N68" s="85" t="n"/>
      <c r="O68" s="84" t="inlineStr">
        <is>
          <t>2S6-BE-03, P8-INT-01</t>
        </is>
      </c>
      <c r="P68" s="84" t="inlineStr">
        <is>
          <t>Claims with sponsor-contact consent enqueue zoho.pushLead; claims without it, or withdrawn, never do — excluded at query level</t>
        </is>
      </c>
      <c r="Q68" s="86" t="inlineStr">
        <is>
          <t>§18</t>
        </is>
      </c>
      <c r="R68" s="111" t="inlineStr">
        <is>
          <t>2026-09-28: A claim with the sponsor-contact tick enqueues zoho.pushLead {fanEventId} in the claim's transaction; without it, nothing is queued. The worker (pushFanLead) re-reads the claim through SPONSOR_CONTACTABLE at push time, so a claim withdrawn after queueing is never fetched and nothing reaches Zoho. Lead upserted on SponsorX_ID fanlead:&lt;claim&gt;, idempotent; RewardEvent.zohoLeadId recorded. Tests with the worker's own handler into FakeZoho (mutation-checked). | 2026-09-28: Done at the user's instruction — acceptance met, CI green.</t>
        </is>
      </c>
    </row>
    <row r="69" s="75">
      <c r="A69" s="112" t="n">
        <v>57.1</v>
      </c>
      <c r="B69" s="113" t="inlineStr">
        <is>
          <t>2S7-BE-02</t>
        </is>
      </c>
      <c r="C69" s="85" t="n">
        <v>7</v>
      </c>
      <c r="D69" s="86" t="inlineStr">
        <is>
          <t>Sprint 7 · Analytics &amp; governance</t>
        </is>
      </c>
      <c r="E69" s="112" t="inlineStr">
        <is>
          <t>BE</t>
        </is>
      </c>
      <c r="F69" s="130" t="inlineStr">
        <is>
          <t>Code</t>
        </is>
      </c>
      <c r="G69" s="84" t="inlineStr">
        <is>
          <t>Report render worker job (was P7-BE-06)</t>
        </is>
      </c>
      <c r="H69" s="116" t="inlineStr">
        <is>
          <t>Server-rendered sponsor report file, produced unattended on the worker — for when a report must be generated without anyone opening a browser (e.g. scheduled delivery to a renewal signer who never logs in). Moved from Phase 1 on 2026-09-24.</t>
        </is>
      </c>
      <c r="I69" s="108" t="inlineStr">
        <is>
          <t>Done</t>
        </is>
      </c>
      <c r="J69" s="108" t="n">
        <v>3</v>
      </c>
      <c r="K69" s="109" t="inlineStr">
        <is>
          <t>2026-09-28</t>
        </is>
      </c>
      <c r="L69" s="109" t="inlineStr">
        <is>
          <t>2026-09-28</t>
        </is>
      </c>
      <c r="M69" s="110" t="inlineStr">
        <is>
          <t>rcfworks</t>
        </is>
      </c>
      <c r="N69" s="85" t="n"/>
      <c r="O69" s="84" t="inlineStr">
        <is>
          <t>P7-BE-05</t>
        </is>
      </c>
      <c r="P69" s="84" t="inlineStr">
        <is>
          <t>When a server-rendered report is required, Playwright renders it on the worker from the same data as screen 12, stores it in the private bucket, and keeps every provenance label; the browser print (report-pdf.ts) remains the interactive path</t>
        </is>
      </c>
      <c r="Q69" s="86" t="inlineStr">
        <is>
          <t>§9 screen 12, Addendum A10</t>
        </is>
      </c>
      <c r="R69" s="111" t="inlineStr">
        <is>
          <t>2026-09-28: report.render worker job — buildSponsorReport (the same function behind GET /campaigns/{id}/report, screen 12) → renderReportHtml (same sections, every provenance label in the screen's own words; SOURCE_LABEL checked against the web ui.tsx copy) → headless Chromium via playwright-core → PDF into the PRIVATE bucket (putPrivateObject) → ReportFile row. Required on campaign COMPLETED (queued in that transaction — the renewal hand-off) or on BTG's POST /campaigns/{id}/report/render; GET .../report/files gives audited presigned links. Browser print (report-pdf.ts) unchanged. Image: Alpine chromium + fonts, CHROMIUM_PATH; CI unit job installs Chromium. Real-Chromium test passes locally/CI; VERIFIED ON STAGING 2026-09-28: inside the deployed api container (Alpine, CHROMIUM_PATH=/usr/bin/chromium) renderPdf produced a valid PDF. HOSTING DECIDED by the programme owner 2026-09-28: API and worker stay in one Railway service for now, report.render one at a time (localConcurrency 1); recorded in backend/src/combined.mts with the revisit triggers. | 2026-09-28: Done at the user's instruction — acceptance met, CI green.</t>
        </is>
      </c>
    </row>
    <row r="70" s="75">
      <c r="A70" s="112" t="n">
        <v>57.2</v>
      </c>
      <c r="B70" s="113" t="inlineStr">
        <is>
          <t>2S7-FE-03</t>
        </is>
      </c>
      <c r="C70" s="85" t="n">
        <v>7</v>
      </c>
      <c r="D70" s="86" t="inlineStr">
        <is>
          <t>Sprint 7 · Analytics &amp; governance</t>
        </is>
      </c>
      <c r="E70" s="112" t="inlineStr">
        <is>
          <t>FE</t>
        </is>
      </c>
      <c r="F70" s="130" t="inlineStr">
        <is>
          <t>Code</t>
        </is>
      </c>
      <c r="G70" s="84" t="inlineStr">
        <is>
          <t>Render tenant branding in the property portal</t>
        </is>
      </c>
      <c r="H70" s="116" t="inlineStr">
        <is>
          <t>The property portal's frame shows the signed-in tenant's own logo and colours, read from the branding API (2S7-BE-01). Split out of 2S7-BE-01 on 2026-09-28 at the programme owner's instruction, so the backend task stays backend-only.</t>
        </is>
      </c>
      <c r="I70" s="108" t="inlineStr">
        <is>
          <t>Code review</t>
        </is>
      </c>
      <c r="J70" s="108" t="n">
        <v>1</v>
      </c>
      <c r="K70" s="109" t="n">
        <v>46294</v>
      </c>
      <c r="L70" s="109" t="n"/>
      <c r="M70" s="110" t="inlineStr">
        <is>
          <t>rcfworks</t>
        </is>
      </c>
      <c r="N70" s="85" t="n">
        <v>0</v>
      </c>
      <c r="O70" s="84" t="inlineStr">
        <is>
          <t>2S7-BE-01</t>
        </is>
      </c>
      <c r="P70" s="84" t="inlineStr">
        <is>
          <t>A tenant's logo and colours render in its property portal frame</t>
        </is>
      </c>
      <c r="Q70" s="86" t="inlineStr">
        <is>
          <t>Spec §9</t>
        </is>
      </c>
      <c r="R70" s="111" t="inlineStr">
        <is>
          <t>2026-09-28: raised by the programme owner — the portal half of 2S7-BE-01's acceptance, moved here. Unblocked 2026-09-28: 2S7-BE-01 Done — the portal reads GET /branding.</t>
        </is>
      </c>
    </row>
    <row r="71" ht="32.8" customHeight="1" s="75">
      <c r="A71" s="112" t="n">
        <v>27.5</v>
      </c>
      <c r="B71" s="113" t="inlineStr">
        <is>
          <t>2S3-BE-05</t>
        </is>
      </c>
      <c r="C71" s="85" t="n">
        <v>3</v>
      </c>
      <c r="D71" s="86" t="inlineStr">
        <is>
          <t>Sprint 3 · Listing engine</t>
        </is>
      </c>
      <c r="E71" s="121" t="inlineStr">
        <is>
          <t>BE</t>
        </is>
      </c>
      <c r="F71" s="122" t="inlineStr">
        <is>
          <t>Code</t>
        </is>
      </c>
      <c r="G71" s="84" t="inlineStr">
        <is>
          <t>Independent athletes list their own items</t>
        </is>
      </c>
      <c r="H71" s="116" t="inlineStr">
        <is>
          <t>Not every athlete has a team. Today only a property manager can put an item on sale, so an athlete with no team can create items that can never be sold. Let an approved athlete with no team be the seller of their own listing: they submit it, BTG approves it by the same rules as a team's, and with no team the athlete keeps the whole share. Search, cart, orders, the availability check and the ledger split all handle an athlete-owned listing; a roster athlete's items still go through their team.</t>
        </is>
      </c>
      <c r="I71" s="108" t="inlineStr">
        <is>
          <t>Ready</t>
        </is>
      </c>
      <c r="J71" s="108" t="n">
        <v>5</v>
      </c>
      <c r="K71" s="109" t="n"/>
      <c r="L71" s="109" t="n"/>
      <c r="M71" s="110" t="n"/>
      <c r="N71" s="85" t="inlineStr">
        <is>
          <t>2S3-FE-02</t>
        </is>
      </c>
      <c r="O71" s="84" t="inlineStr">
        <is>
          <t>2S3-BE-01, 2S2-BE-01</t>
        </is>
      </c>
      <c r="P71" s="84" t="inlineStr">
        <is>
          <t>An approved athlete with no team can submit their own item, BTG can approve it, a sponsor can find, cart and order it, and the split pays the athlete as the only payee; a roster athlete still cannot list around their team; scope and tenant tests cover the new seller</t>
        </is>
      </c>
      <c r="Q71" s="86" t="inlineStr">
        <is>
          <t>Spec §9, §12</t>
        </is>
      </c>
      <c r="R71" s="111" t="inlineStr">
        <is>
          <t>Raised 2026-09-30 from the walkthrough (Option A agreed with the user).</t>
        </is>
      </c>
    </row>
    <row r="72" ht="32.8" customHeight="1" s="75">
      <c r="A72" s="112" t="n">
        <v>28.5</v>
      </c>
      <c r="B72" s="113" t="inlineStr">
        <is>
          <t>2S3-FE-02</t>
        </is>
      </c>
      <c r="C72" s="85" t="n">
        <v>3</v>
      </c>
      <c r="D72" s="86" t="inlineStr">
        <is>
          <t>Sprint 3 · Listing engine</t>
        </is>
      </c>
      <c r="E72" s="121" t="inlineStr">
        <is>
          <t>FE</t>
        </is>
      </c>
      <c r="F72" s="122" t="inlineStr">
        <is>
          <t>Code</t>
        </is>
      </c>
      <c r="G72" s="84" t="inlineStr">
        <is>
          <t>Listing screen for independent athletes</t>
        </is>
      </c>
      <c r="H72" s="116" t="inlineStr">
        <is>
          <t>The athlete-side "put it on sale" step: from their inventory, an athlete with no team writes what the sponsor gets, sees the same checklist of what BTG checks, submits for approval, then follows the listing's state, pauses it or takes it down. An athlete on a team is told their team lists it.</t>
        </is>
      </c>
      <c r="I72" s="108" t="inlineStr">
        <is>
          <t>Blocked</t>
        </is>
      </c>
      <c r="J72" s="108" t="n">
        <v>3</v>
      </c>
      <c r="K72" s="109" t="n"/>
      <c r="L72" s="109" t="n"/>
      <c r="M72" s="110" t="n"/>
      <c r="N72" s="85" t="n"/>
      <c r="O72" s="84" t="inlineStr">
        <is>
          <t>2S3-BE-05</t>
        </is>
      </c>
      <c r="P72" s="84" t="inlineStr">
        <is>
          <t>An independent athlete can build, submit and follow a listing for approval from their own portal</t>
        </is>
      </c>
      <c r="Q72" s="86" t="inlineStr">
        <is>
          <t>Spec §6 P2-07</t>
        </is>
      </c>
      <c r="R72" s="111" t="inlineStr">
        <is>
          <t>Raised 2026-09-30 from the walkthrough (Option A agreed with the user).</t>
        </is>
      </c>
    </row>
  </sheetData>
  <autoFilter ref="A4:R72"/>
  <mergeCells count="2">
    <mergeCell ref="A2:R2"/>
    <mergeCell ref="A1:R1"/>
  </mergeCells>
  <conditionalFormatting sqref="I5:I72">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72">
    <cfRule type="expression" rank="0" priority="7" equalAverage="0" aboveAverage="0" dxfId="32" text="" percent="0" bottom="0">
      <formula>$I5="Done"</formula>
    </cfRule>
  </conditionalFormatting>
  <conditionalFormatting sqref="N5:N72">
    <cfRule type="cellIs" rank="0" priority="8" equalAverage="0" operator="greaterThanOrEqual" aboveAverage="0" dxfId="33" text="" percent="0" bottom="0">
      <formula>50</formula>
    </cfRule>
  </conditionalFormatting>
  <dataValidations count="1">
    <dataValidation sqref="I5:I72"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47"/>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Blocked</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n"/>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Blocked</t>
        </is>
      </c>
      <c r="J6" s="108" t="n">
        <v>3</v>
      </c>
      <c r="K6" s="109" t="n"/>
      <c r="L6" s="109" t="n"/>
      <c r="M6" s="110" t="n"/>
      <c r="N6" s="85" t="n">
        <v>0</v>
      </c>
      <c r="O6" s="84" t="inlineStr">
        <is>
          <t>Phase 2 complete</t>
        </is>
      </c>
      <c r="P6" s="84" t="inlineStr">
        <is>
          <t>Governance policy written: versioning, confidence, explanation, override, monitoring and rollback</t>
        </is>
      </c>
      <c r="Q6" s="86" t="inlineStr">
        <is>
          <t>Spec §15</t>
        </is>
      </c>
      <c r="R6" s="111" t="n"/>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Blocked</t>
        </is>
      </c>
      <c r="J7" s="108" t="n">
        <v>3</v>
      </c>
      <c r="K7" s="109" t="n"/>
      <c r="L7" s="109" t="n"/>
      <c r="M7" s="110" t="n"/>
      <c r="N7" s="81" t="n">
        <v>0</v>
      </c>
      <c r="O7" s="80" t="inlineStr">
        <is>
          <t>Phase 2 complete</t>
        </is>
      </c>
      <c r="P7" s="80" t="inlineStr">
        <is>
          <t>Every event type inventoried with its definition, source and known gaps</t>
        </is>
      </c>
      <c r="Q7" s="82" t="inlineStr">
        <is>
          <t>Spec §21</t>
        </is>
      </c>
      <c r="R7" s="111" t="n"/>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Blocked</t>
        </is>
      </c>
      <c r="J8" s="108" t="n">
        <v>5</v>
      </c>
      <c r="K8" s="109" t="n"/>
      <c r="L8" s="109" t="n"/>
      <c r="M8" s="110" t="n"/>
      <c r="N8" s="85" t="n">
        <v>0</v>
      </c>
      <c r="O8" s="84" t="inlineStr">
        <is>
          <t>3S0-DATA-01</t>
        </is>
      </c>
      <c r="P8" s="84" t="inlineStr">
        <is>
          <t>Warehouse schema designed and reviewed; the daily campaign fact table and its dimensions are specified</t>
        </is>
      </c>
      <c r="Q8" s="86" t="inlineStr">
        <is>
          <t>Spec §19</t>
        </is>
      </c>
      <c r="R8" s="111" t="n"/>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Blocked</t>
        </is>
      </c>
      <c r="J9" s="108" t="n">
        <v>3</v>
      </c>
      <c r="K9" s="109" t="n"/>
      <c r="L9" s="109" t="n"/>
      <c r="M9" s="110" t="n"/>
      <c r="N9" s="81" t="n">
        <v>0</v>
      </c>
      <c r="O9" s="80" t="inlineStr">
        <is>
          <t>3S0-DATA-02</t>
        </is>
      </c>
      <c r="P9" s="80" t="inlineStr">
        <is>
          <t>Warehouse and transformation tooling selected, provisioned and cost-modelled</t>
        </is>
      </c>
      <c r="Q9" s="82" t="inlineStr">
        <is>
          <t>Spec §20</t>
        </is>
      </c>
      <c r="R9" s="111" t="n"/>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Blocked</t>
        </is>
      </c>
      <c r="J10" s="108" t="n">
        <v>5</v>
      </c>
      <c r="K10" s="109" t="n"/>
      <c r="L10" s="109" t="n"/>
      <c r="M10" s="110" t="n"/>
      <c r="N10" s="81" t="n">
        <v>0</v>
      </c>
      <c r="O10" s="80" t="inlineStr">
        <is>
          <t>3S0-DATA-02</t>
        </is>
      </c>
      <c r="P10" s="80" t="inlineStr">
        <is>
          <t>Ingestion runs on schedule and is safe to re-run</t>
        </is>
      </c>
      <c r="Q10" s="82" t="inlineStr">
        <is>
          <t>Spec §21</t>
        </is>
      </c>
      <c r="R10" s="111" t="n"/>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Blocked</t>
        </is>
      </c>
      <c r="J11" s="108" t="n">
        <v>5</v>
      </c>
      <c r="K11" s="109" t="n"/>
      <c r="L11" s="109" t="n"/>
      <c r="M11" s="110" t="n"/>
      <c r="N11" s="85" t="n">
        <v>0</v>
      </c>
      <c r="O11" s="84" t="inlineStr">
        <is>
          <t>3S1-DATA-01</t>
        </is>
      </c>
      <c r="P11" s="84" t="inlineStr">
        <is>
          <t>Warehouse metrics reconcile to transactional campaign, order and payment totals within defined tolerance</t>
        </is>
      </c>
      <c r="Q11" s="86" t="inlineStr">
        <is>
          <t>Spec §19, §22</t>
        </is>
      </c>
      <c r="R11" s="111" t="n"/>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Blocked</t>
        </is>
      </c>
      <c r="J12" s="108" t="n">
        <v>3</v>
      </c>
      <c r="K12" s="109" t="n"/>
      <c r="L12" s="109" t="n"/>
      <c r="M12" s="110" t="n"/>
      <c r="N12" s="81" t="n">
        <v>0</v>
      </c>
      <c r="O12" s="80" t="inlineStr">
        <is>
          <t>3S1-DATA-02</t>
        </is>
      </c>
      <c r="P12" s="80" t="inlineStr">
        <is>
          <t>Benchmarks compute with sample sizes exposed and refresh on schedule</t>
        </is>
      </c>
      <c r="Q12" s="82" t="inlineStr">
        <is>
          <t>Spec §19</t>
        </is>
      </c>
      <c r="R12" s="111" t="n"/>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Warehouse reconciliation tests</t>
        </is>
      </c>
      <c r="H13" s="116" t="inlineStr">
        <is>
          <t>Automated proof that the warehouse agrees with the source system. Run it every night, not once at launch.</t>
        </is>
      </c>
      <c r="I13" s="108" t="inlineStr">
        <is>
          <t>Blocked</t>
        </is>
      </c>
      <c r="J13" s="108" t="n">
        <v>3</v>
      </c>
      <c r="K13" s="109" t="n"/>
      <c r="L13" s="109" t="n"/>
      <c r="M13" s="110" t="n"/>
      <c r="N13" s="85" t="n">
        <v>0</v>
      </c>
      <c r="O13" s="84" t="inlineStr">
        <is>
          <t>3S1-DATA-02</t>
        </is>
      </c>
      <c r="P13" s="84" t="inlineStr">
        <is>
          <t>Reconciliation tests run nightly and alert on drift beyond tolerance</t>
        </is>
      </c>
      <c r="Q13" s="86" t="inlineStr">
        <is>
          <t>Spec §22</t>
        </is>
      </c>
      <c r="R13" s="111" t="n"/>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Blocked</t>
        </is>
      </c>
      <c r="J14" s="108" t="n">
        <v>5</v>
      </c>
      <c r="K14" s="109" t="n"/>
      <c r="L14" s="109" t="n"/>
      <c r="M14" s="110" t="n"/>
      <c r="N14" s="81" t="n">
        <v>0</v>
      </c>
      <c r="O14" s="80" t="inlineStr">
        <is>
          <t>3S1-DATA-02</t>
        </is>
      </c>
      <c r="P14" s="80" t="inlineStr">
        <is>
          <t>Feature snapshots generate on schedule and are retrievable by entity and date</t>
        </is>
      </c>
      <c r="Q14" s="82" t="inlineStr">
        <is>
          <t>Spec §19</t>
        </is>
      </c>
      <c r="R14" s="111" t="n"/>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Blocked</t>
        </is>
      </c>
      <c r="J15" s="108" t="n">
        <v>5</v>
      </c>
      <c r="K15" s="109" t="n"/>
      <c r="L15" s="109" t="n"/>
      <c r="M15" s="110" t="n"/>
      <c r="N15" s="85" t="n">
        <v>0</v>
      </c>
      <c r="O15" s="84" t="inlineStr">
        <is>
          <t>3S2-BE-01</t>
        </is>
      </c>
      <c r="P15" s="84" t="inlineStr">
        <is>
          <t>Every recommended price exposes model version, confidence and factor breakdown</t>
        </is>
      </c>
      <c r="Q15" s="86" t="inlineStr">
        <is>
          <t>Spec §17.1, §22</t>
        </is>
      </c>
      <c r="R15" s="111" t="n"/>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Blocked</t>
        </is>
      </c>
      <c r="J16" s="108" t="n">
        <v>3</v>
      </c>
      <c r="K16" s="109" t="n"/>
      <c r="L16" s="109" t="n"/>
      <c r="M16" s="110" t="n"/>
      <c r="N16" s="81" t="n">
        <v>0</v>
      </c>
      <c r="O16" s="80" t="inlineStr">
        <is>
          <t>3S2-BE-02</t>
        </is>
      </c>
      <c r="P16" s="80" t="inlineStr">
        <is>
          <t>Admin can override a price only with the right permission and a recorded reason; the recommendation is unchanged</t>
        </is>
      </c>
      <c r="Q16" s="82" t="inlineStr">
        <is>
          <t>Spec §17.1, §22</t>
        </is>
      </c>
      <c r="R16" s="111" t="n"/>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Blocked</t>
        </is>
      </c>
      <c r="J17" s="108" t="n">
        <v>5</v>
      </c>
      <c r="K17" s="109" t="n"/>
      <c r="L17" s="109" t="n"/>
      <c r="M17" s="110" t="n"/>
      <c r="N17" s="85" t="n">
        <v>0</v>
      </c>
      <c r="O17" s="84" t="inlineStr">
        <is>
          <t>3S2-BE-02</t>
        </is>
      </c>
      <c r="P17" s="84" t="inlineStr">
        <is>
          <t>Panel shows the full factor breakdown and confidence for any inventory item</t>
        </is>
      </c>
      <c r="Q17" s="86" t="inlineStr">
        <is>
          <t>Spec §16 P3-01</t>
        </is>
      </c>
      <c r="R17" s="111" t="n"/>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Blocked</t>
        </is>
      </c>
      <c r="J18" s="108" t="n">
        <v>3</v>
      </c>
      <c r="K18" s="109" t="n"/>
      <c r="L18" s="109" t="n"/>
      <c r="M18" s="110" t="n"/>
      <c r="N18" s="81" t="n">
        <v>0</v>
      </c>
      <c r="O18" s="80" t="inlineStr">
        <is>
          <t>3S2-BE-01</t>
        </is>
      </c>
      <c r="P18" s="80" t="inlineStr">
        <is>
          <t>A sponsor brief captures all matching inputs including exclusions</t>
        </is>
      </c>
      <c r="Q18" s="82" t="inlineStr">
        <is>
          <t>Spec §19</t>
        </is>
      </c>
      <c r="R18" s="111" t="n"/>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Blocked</t>
        </is>
      </c>
      <c r="J19" s="108" t="n">
        <v>5</v>
      </c>
      <c r="K19" s="109" t="n"/>
      <c r="L19" s="109" t="n"/>
      <c r="M19" s="110" t="n"/>
      <c r="N19" s="85" t="n">
        <v>0</v>
      </c>
      <c r="O19" s="84" t="inlineStr">
        <is>
          <t>3S3-BE-01</t>
        </is>
      </c>
      <c r="P19" s="84" t="inlineStr">
        <is>
          <t>Brief produces ranked recommendations with explanation factors within the agreed response time</t>
        </is>
      </c>
      <c r="Q19" s="86" t="inlineStr">
        <is>
          <t>Spec §17.2, §22</t>
        </is>
      </c>
      <c r="R19" s="111" t="n"/>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Blocked</t>
        </is>
      </c>
      <c r="J20" s="108" t="n">
        <v>3</v>
      </c>
      <c r="K20" s="109" t="n"/>
      <c r="L20" s="109" t="n"/>
      <c r="M20" s="110" t="n"/>
      <c r="N20" s="81" t="n">
        <v>0</v>
      </c>
      <c r="O20" s="80" t="inlineStr">
        <is>
          <t>3S3-BE-02</t>
        </is>
      </c>
      <c r="P20" s="80" t="inlineStr">
        <is>
          <t>Match explorer never returns unavailable or category-conflicted inventory</t>
        </is>
      </c>
      <c r="Q20" s="82" t="inlineStr">
        <is>
          <t>Spec §22</t>
        </is>
      </c>
      <c r="R20" s="111" t="n"/>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Blocked</t>
        </is>
      </c>
      <c r="J21" s="108" t="n">
        <v>5</v>
      </c>
      <c r="K21" s="109" t="n"/>
      <c r="L21" s="109" t="n"/>
      <c r="M21" s="110" t="n"/>
      <c r="N21" s="85" t="n">
        <v>0</v>
      </c>
      <c r="O21" s="84" t="inlineStr">
        <is>
          <t>3S3-BE-02</t>
        </is>
      </c>
      <c r="P21" s="84" t="inlineStr">
        <is>
          <t>Explorer ranks, explains and saves shortlists</t>
        </is>
      </c>
      <c r="Q21" s="86" t="inlineStr">
        <is>
          <t>Spec §16 P3-02</t>
        </is>
      </c>
      <c r="R21" s="111" t="n"/>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Blocked</t>
        </is>
      </c>
      <c r="J22" s="108" t="n">
        <v>3</v>
      </c>
      <c r="K22" s="109" t="n"/>
      <c r="L22" s="109" t="n"/>
      <c r="M22" s="110" t="n"/>
      <c r="N22" s="81" t="n">
        <v>0</v>
      </c>
      <c r="O22" s="80" t="inlineStr">
        <is>
          <t>3S1-DATA-02</t>
        </is>
      </c>
      <c r="P22" s="80" t="inlineStr">
        <is>
          <t>Pacing computes nightly for every active campaign</t>
        </is>
      </c>
      <c r="Q22" s="82" t="inlineStr">
        <is>
          <t>Spec §17.3</t>
        </is>
      </c>
      <c r="R22" s="111" t="n"/>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Blocked</t>
        </is>
      </c>
      <c r="J23" s="108" t="n">
        <v>5</v>
      </c>
      <c r="K23" s="109" t="n"/>
      <c r="L23" s="109" t="n"/>
      <c r="M23" s="110" t="n"/>
      <c r="N23" s="85" t="n">
        <v>0</v>
      </c>
      <c r="O23" s="84" t="inlineStr">
        <is>
          <t>3S4-DATA-01</t>
        </is>
      </c>
      <c r="P23" s="84" t="inlineStr">
        <is>
          <t>Forecast refreshes automatically and persists historical forecasts</t>
        </is>
      </c>
      <c r="Q23" s="86" t="inlineStr">
        <is>
          <t>Spec §17.3, §22</t>
        </is>
      </c>
      <c r="R23" s="111" t="n"/>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Blocked</t>
        </is>
      </c>
      <c r="J24" s="108" t="n">
        <v>3</v>
      </c>
      <c r="K24" s="109" t="n"/>
      <c r="L24" s="109" t="n"/>
      <c r="M24" s="110" t="n"/>
      <c r="N24" s="81" t="n">
        <v>0</v>
      </c>
      <c r="O24" s="80" t="inlineStr">
        <is>
          <t>3S4-BE-01</t>
        </is>
      </c>
      <c r="P24" s="80" t="inlineStr">
        <is>
          <t>At-risk campaigns generate actionable alerts before campaign end, not after</t>
        </is>
      </c>
      <c r="Q24" s="82" t="inlineStr">
        <is>
          <t>Spec §17.3, §22</t>
        </is>
      </c>
      <c r="R24" s="111" t="n"/>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Blocked</t>
        </is>
      </c>
      <c r="J25" s="108" t="n">
        <v>5</v>
      </c>
      <c r="K25" s="109" t="n"/>
      <c r="L25" s="109" t="n"/>
      <c r="M25" s="110" t="n"/>
      <c r="N25" s="85" t="n">
        <v>0</v>
      </c>
      <c r="O25" s="84" t="inlineStr">
        <is>
          <t>3S4-BE-01</t>
        </is>
      </c>
      <c r="P25" s="84" t="inlineStr">
        <is>
          <t>Dashboard shows pacing and risk for every active campaign</t>
        </is>
      </c>
      <c r="Q25" s="86" t="inlineStr">
        <is>
          <t>Spec §16 P3-03</t>
        </is>
      </c>
      <c r="R25" s="111" t="n"/>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Blocked</t>
        </is>
      </c>
      <c r="J26" s="108" t="n">
        <v>5</v>
      </c>
      <c r="K26" s="109" t="n"/>
      <c r="L26" s="109" t="n"/>
      <c r="M26" s="110" t="n"/>
      <c r="N26" s="81" t="n">
        <v>0</v>
      </c>
      <c r="O26" s="80" t="inlineStr">
        <is>
          <t>3S4-BE-01</t>
        </is>
      </c>
      <c r="P26" s="80" t="inlineStr">
        <is>
          <t>Recommendations respect sponsor target, availability, exclusivity and estimated value equivalence</t>
        </is>
      </c>
      <c r="Q26" s="82" t="inlineStr">
        <is>
          <t>Spec §22</t>
        </is>
      </c>
      <c r="R26" s="111" t="n"/>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Blocked</t>
        </is>
      </c>
      <c r="J27" s="108" t="n">
        <v>3</v>
      </c>
      <c r="K27" s="109" t="n"/>
      <c r="L27" s="109" t="n"/>
      <c r="M27" s="110" t="n"/>
      <c r="N27" s="85" t="n">
        <v>0</v>
      </c>
      <c r="O27" s="84" t="inlineStr">
        <is>
          <t>3S5-BE-01</t>
        </is>
      </c>
      <c r="P27" s="84" t="inlineStr">
        <is>
          <t>Make-good approval is recorded, audited and reflected in the campaign</t>
        </is>
      </c>
      <c r="Q27" s="86" t="inlineStr">
        <is>
          <t>Spec §18</t>
        </is>
      </c>
      <c r="R27" s="111" t="n"/>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Blocked</t>
        </is>
      </c>
      <c r="J28" s="108" t="n">
        <v>5</v>
      </c>
      <c r="K28" s="109" t="n"/>
      <c r="L28" s="109" t="n"/>
      <c r="M28" s="110" t="n"/>
      <c r="N28" s="81" t="n">
        <v>0</v>
      </c>
      <c r="O28" s="80" t="inlineStr">
        <is>
          <t>3S5-BE-01</t>
        </is>
      </c>
      <c r="P28" s="80" t="inlineStr">
        <is>
          <t>Centre surfaces shortfalls and lets a manager approve a substitution</t>
        </is>
      </c>
      <c r="Q28" s="82" t="inlineStr">
        <is>
          <t>Spec §16 P3-04</t>
        </is>
      </c>
      <c r="R28" s="111" t="n"/>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Blocked</t>
        </is>
      </c>
      <c r="J29" s="108" t="n">
        <v>5</v>
      </c>
      <c r="K29" s="109" t="n"/>
      <c r="L29" s="109" t="n"/>
      <c r="M29" s="110" t="n"/>
      <c r="N29" s="85" t="n">
        <v>0</v>
      </c>
      <c r="O29" s="84" t="inlineStr">
        <is>
          <t>3S0-PMO-01</t>
        </is>
      </c>
      <c r="P29" s="84" t="inlineStr">
        <is>
          <t>A new attribution partner can be added as an adapter without changing the engine</t>
        </is>
      </c>
      <c r="Q29" s="86" t="inlineStr">
        <is>
          <t>Spec §17.4</t>
        </is>
      </c>
      <c r="R29" s="111" t="n"/>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Blocked</t>
        </is>
      </c>
      <c r="J30" s="108" t="n">
        <v>5</v>
      </c>
      <c r="K30" s="109" t="n"/>
      <c r="L30" s="109" t="n"/>
      <c r="M30" s="110" t="n"/>
      <c r="N30" s="81" t="n">
        <v>0</v>
      </c>
      <c r="O30" s="80" t="inlineStr">
        <is>
          <t>3S6-BE-01</t>
        </is>
      </c>
      <c r="P30" s="80" t="inlineStr">
        <is>
          <t>Attribution events identify source, method and confidence; modelled revenue is never labelled verified</t>
        </is>
      </c>
      <c r="Q30" s="82" t="inlineStr">
        <is>
          <t>Spec §19, §22</t>
        </is>
      </c>
      <c r="R30" s="111" t="n"/>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Blocked</t>
        </is>
      </c>
      <c r="J31" s="108" t="n">
        <v>5</v>
      </c>
      <c r="K31" s="109" t="n"/>
      <c r="L31" s="109" t="n"/>
      <c r="M31" s="110" t="n"/>
      <c r="N31" s="85" t="n">
        <v>0</v>
      </c>
      <c r="O31" s="84" t="inlineStr">
        <is>
          <t>3S6-BE-02</t>
        </is>
      </c>
      <c r="P31" s="84" t="inlineStr">
        <is>
          <t>Deterministic matches are attempted first; probabilistic matches carry an explicit method and confidence</t>
        </is>
      </c>
      <c r="Q31" s="86" t="inlineStr">
        <is>
          <t>Spec §17.4</t>
        </is>
      </c>
      <c r="R31" s="111" t="n"/>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Blocked</t>
        </is>
      </c>
      <c r="J32" s="108" t="n">
        <v>3</v>
      </c>
      <c r="K32" s="109" t="n"/>
      <c r="L32" s="109" t="n"/>
      <c r="M32" s="110" t="n"/>
      <c r="N32" s="81" t="n">
        <v>0</v>
      </c>
      <c r="O32" s="80" t="inlineStr">
        <is>
          <t>3S6-BE-03</t>
        </is>
      </c>
      <c r="P32" s="80" t="inlineStr">
        <is>
          <t>Unmatched and ambiguous events remain in a reviewable queue</t>
        </is>
      </c>
      <c r="Q32" s="82" t="inlineStr">
        <is>
          <t>Spec §17.4</t>
        </is>
      </c>
      <c r="R32" s="111" t="n"/>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Blocked</t>
        </is>
      </c>
      <c r="J33" s="108" t="n">
        <v>5</v>
      </c>
      <c r="K33" s="109" t="n"/>
      <c r="L33" s="109" t="n"/>
      <c r="M33" s="110" t="n"/>
      <c r="N33" s="85" t="n">
        <v>0</v>
      </c>
      <c r="O33" s="84" t="inlineStr">
        <is>
          <t>3S6-BE-02</t>
        </is>
      </c>
      <c r="P33" s="84" t="inlineStr">
        <is>
          <t>Dashboard distinguishes verified redemptions, verified transactions, modelled attribution and estimated media value</t>
        </is>
      </c>
      <c r="Q33" s="86" t="inlineStr">
        <is>
          <t>Spec §16 P3-05</t>
        </is>
      </c>
      <c r="R33" s="111" t="n"/>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Blocked</t>
        </is>
      </c>
      <c r="J34" s="108" t="n">
        <v>5</v>
      </c>
      <c r="K34" s="109" t="n"/>
      <c r="L34" s="109" t="n"/>
      <c r="M34" s="110" t="n"/>
      <c r="N34" s="81" t="n">
        <v>0</v>
      </c>
      <c r="O34" s="80" t="inlineStr">
        <is>
          <t>3S1-DATA-02</t>
        </is>
      </c>
      <c r="P34" s="80" t="inlineStr">
        <is>
          <t>Hub renders cross-campaign intelligence for a sponsor</t>
        </is>
      </c>
      <c r="Q34" s="82" t="inlineStr">
        <is>
          <t>Spec §16 P3-06</t>
        </is>
      </c>
      <c r="R34" s="111" t="n"/>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Blocked</t>
        </is>
      </c>
      <c r="J35" s="108" t="n">
        <v>5</v>
      </c>
      <c r="K35" s="109" t="n"/>
      <c r="L35" s="109" t="n"/>
      <c r="M35" s="110" t="n"/>
      <c r="N35" s="85" t="n">
        <v>0</v>
      </c>
      <c r="O35" s="84" t="inlineStr">
        <is>
          <t>3S2-BE-02</t>
        </is>
      </c>
      <c r="P35" s="84" t="inlineStr">
        <is>
          <t>Hub renders rate and opportunity intelligence for a property</t>
        </is>
      </c>
      <c r="Q35" s="86" t="inlineStr">
        <is>
          <t>Spec §16 P3-07</t>
        </is>
      </c>
      <c r="R35" s="111" t="n"/>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Blocked</t>
        </is>
      </c>
      <c r="J36" s="108" t="n">
        <v>5</v>
      </c>
      <c r="K36" s="109" t="n"/>
      <c r="L36" s="109" t="n"/>
      <c r="M36" s="110" t="n"/>
      <c r="N36" s="81" t="n">
        <v>0</v>
      </c>
      <c r="O36" s="80" t="inlineStr">
        <is>
          <t>3S4-BE-01</t>
        </is>
      </c>
      <c r="P36" s="80" t="inlineStr">
        <is>
          <t>A scenario can be created, calculated and compared against another</t>
        </is>
      </c>
      <c r="Q36" s="82" t="inlineStr">
        <is>
          <t>Spec §18</t>
        </is>
      </c>
      <c r="R36" s="111" t="n"/>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Blocked</t>
        </is>
      </c>
      <c r="J37" s="108" t="n">
        <v>5</v>
      </c>
      <c r="K37" s="109" t="n"/>
      <c r="L37" s="109" t="n"/>
      <c r="M37" s="110" t="n"/>
      <c r="N37" s="85" t="n">
        <v>0</v>
      </c>
      <c r="O37" s="84" t="inlineStr">
        <is>
          <t>3S7-BE-01</t>
        </is>
      </c>
      <c r="P37" s="84" t="inlineStr">
        <is>
          <t>Planner calculates and compares scenarios interactively</t>
        </is>
      </c>
      <c r="Q37" s="86" t="inlineStr">
        <is>
          <t>Spec §16 P3-08</t>
        </is>
      </c>
      <c r="R37" s="111" t="n"/>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Blocked</t>
        </is>
      </c>
      <c r="J38" s="108" t="n">
        <v>3</v>
      </c>
      <c r="K38" s="109" t="n"/>
      <c r="L38" s="109" t="n"/>
      <c r="M38" s="110" t="n"/>
      <c r="N38" s="81" t="n">
        <v>0</v>
      </c>
      <c r="O38" s="80" t="inlineStr">
        <is>
          <t>3S7-FE-01</t>
        </is>
      </c>
      <c r="P38" s="80" t="inlineStr">
        <is>
          <t>Zoho shows renewal score and recommended next action on the sponsor record</t>
        </is>
      </c>
      <c r="Q38" s="82" t="inlineStr">
        <is>
          <t>Spec §20</t>
        </is>
      </c>
      <c r="R38" s="111" t="n"/>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Blocked</t>
        </is>
      </c>
      <c r="J39" s="108" t="n">
        <v>5</v>
      </c>
      <c r="K39" s="109" t="n"/>
      <c r="L39" s="109" t="n"/>
      <c r="M39" s="110" t="n"/>
      <c r="N39" s="85" t="n">
        <v>0</v>
      </c>
      <c r="O39" s="84" t="inlineStr">
        <is>
          <t>3S1-DATA-02</t>
        </is>
      </c>
      <c r="P39" s="84" t="inlineStr">
        <is>
          <t>Anomaly console identifies seeded duplicate, bot and redemption test patterns</t>
        </is>
      </c>
      <c r="Q39" s="86" t="inlineStr">
        <is>
          <t>Spec §15, §22</t>
        </is>
      </c>
      <c r="R39" s="111" t="n"/>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Blocked</t>
        </is>
      </c>
      <c r="J40" s="108" t="n">
        <v>5</v>
      </c>
      <c r="K40" s="109" t="n"/>
      <c r="L40" s="109" t="n"/>
      <c r="M40" s="110" t="n"/>
      <c r="N40" s="81" t="n">
        <v>0</v>
      </c>
      <c r="O40" s="80" t="inlineStr">
        <is>
          <t>3S8-DATA-01</t>
        </is>
      </c>
      <c r="P40" s="80" t="inlineStr">
        <is>
          <t>Reviewer can triage and resolve every flagged anomaly</t>
        </is>
      </c>
      <c r="Q40" s="82" t="inlineStr">
        <is>
          <t>Spec §16 P3-09</t>
        </is>
      </c>
      <c r="R40" s="111" t="n"/>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Blocked</t>
        </is>
      </c>
      <c r="J41" s="108" t="n">
        <v>5</v>
      </c>
      <c r="K41" s="109" t="n"/>
      <c r="L41" s="109" t="n"/>
      <c r="M41" s="110" t="n"/>
      <c r="N41" s="85" t="n">
        <v>0</v>
      </c>
      <c r="O41" s="84" t="inlineStr">
        <is>
          <t>3S0-PMO-02</t>
        </is>
      </c>
      <c r="P41" s="84" t="inlineStr">
        <is>
          <t>A model version can be activated, rolled back and compared without deploying code</t>
        </is>
      </c>
      <c r="Q41" s="86" t="inlineStr">
        <is>
          <t>Spec §22</t>
        </is>
      </c>
      <c r="R41" s="111" t="n"/>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Blocked</t>
        </is>
      </c>
      <c r="J42" s="108" t="n">
        <v>5</v>
      </c>
      <c r="K42" s="109" t="n"/>
      <c r="L42" s="109" t="n"/>
      <c r="M42" s="110" t="n"/>
      <c r="N42" s="81" t="n">
        <v>0</v>
      </c>
      <c r="O42" s="80" t="inlineStr">
        <is>
          <t>3S8-BE-01</t>
        </is>
      </c>
      <c r="P42" s="80" t="inlineStr">
        <is>
          <t>Admin can manage model versions and thresholds from the UI</t>
        </is>
      </c>
      <c r="Q42" s="82" t="inlineStr">
        <is>
          <t>Spec §16 P3-10</t>
        </is>
      </c>
      <c r="R42" s="111" t="n"/>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Blocked</t>
        </is>
      </c>
      <c r="J43" s="108" t="n">
        <v>3</v>
      </c>
      <c r="K43" s="109" t="n"/>
      <c r="L43" s="109" t="n"/>
      <c r="M43" s="110" t="n"/>
      <c r="N43" s="85" t="n">
        <v>0</v>
      </c>
      <c r="O43" s="84" t="inlineStr">
        <is>
          <t>3S8-BE-01</t>
        </is>
      </c>
      <c r="P43" s="84" t="inlineStr">
        <is>
          <t>All intelligence features can be disabled per tenant through feature flags</t>
        </is>
      </c>
      <c r="Q43" s="86" t="inlineStr">
        <is>
          <t>Spec §22</t>
        </is>
      </c>
      <c r="R43" s="111" t="n"/>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Blocked</t>
        </is>
      </c>
      <c r="J44" s="108" t="n">
        <v>5</v>
      </c>
      <c r="K44" s="109" t="n"/>
      <c r="L44" s="109" t="n"/>
      <c r="M44" s="110" t="n"/>
      <c r="N44" s="81" t="n">
        <v>0</v>
      </c>
      <c r="O44" s="80" t="inlineStr">
        <is>
          <t>3S8-BE-01</t>
        </is>
      </c>
      <c r="P44" s="80" t="inlineStr">
        <is>
          <t>Backtest results documented with accuracy and confidence calibration per model</t>
        </is>
      </c>
      <c r="Q44" s="82" t="inlineStr">
        <is>
          <t>Spec §21</t>
        </is>
      </c>
      <c r="R44" s="111" t="n"/>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Blocked</t>
        </is>
      </c>
      <c r="J45" s="108" t="n">
        <v>3</v>
      </c>
      <c r="K45" s="109" t="n"/>
      <c r="L45" s="109" t="n"/>
      <c r="M45" s="110" t="n"/>
      <c r="N45" s="85" t="n">
        <v>0</v>
      </c>
      <c r="O45" s="84" t="inlineStr">
        <is>
          <t>3S1-DATA-03</t>
        </is>
      </c>
      <c r="P45" s="84" t="inlineStr">
        <is>
          <t>Benchmarks validated for sample size; reconciliation within tolerance</t>
        </is>
      </c>
      <c r="Q45" s="86" t="inlineStr">
        <is>
          <t>Spec §22</t>
        </is>
      </c>
      <c r="R45" s="111" t="n"/>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Blocked</t>
        </is>
      </c>
      <c r="J46" s="108" t="n">
        <v>5</v>
      </c>
      <c r="K46" s="109" t="n"/>
      <c r="L46" s="109" t="n"/>
      <c r="M46" s="110" t="n"/>
      <c r="N46" s="81" t="n">
        <v>0</v>
      </c>
      <c r="O46" s="80" t="inlineStr">
        <is>
          <t>3S9-QA-01</t>
        </is>
      </c>
      <c r="P46" s="80" t="inlineStr">
        <is>
          <t>All 12 Phase 3 acceptance criteria demonstrated and signed off</t>
        </is>
      </c>
      <c r="Q46" s="82" t="inlineStr">
        <is>
          <t>Spec §22</t>
        </is>
      </c>
      <c r="R46" s="111" t="n"/>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Blocked</t>
        </is>
      </c>
      <c r="J47" s="108" t="n">
        <v>3</v>
      </c>
      <c r="K47" s="109" t="n"/>
      <c r="L47" s="109" t="n"/>
      <c r="M47" s="110" t="n"/>
      <c r="N47" s="85" t="n">
        <v>0</v>
      </c>
      <c r="O47" s="84" t="inlineStr">
        <is>
          <t>3S9-QA-01</t>
        </is>
      </c>
      <c r="P47" s="84" t="inlineStr">
        <is>
          <t>Monitoring and alerting live for every scheduled job and model service</t>
        </is>
      </c>
      <c r="Q47" s="86" t="inlineStr">
        <is>
          <t>Spec §20, §38</t>
        </is>
      </c>
      <c r="R47" s="111" t="n"/>
    </row>
    <row r="48" ht="23.85" customHeight="1" s="75"/>
  </sheetData>
  <autoFilter ref="A4:R48"/>
  <mergeCells count="2">
    <mergeCell ref="A2:R2"/>
    <mergeCell ref="A1:R1"/>
  </mergeCells>
  <conditionalFormatting sqref="I5:I4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48">
    <cfRule type="expression" rank="0" priority="7" equalAverage="0" aboveAverage="0" dxfId="32" text="" percent="0" bottom="0">
      <formula>$I5="Done"</formula>
    </cfRule>
  </conditionalFormatting>
  <conditionalFormatting sqref="N5:N48">
    <cfRule type="cellIs" rank="0" priority="8" equalAverage="0" operator="greaterThanOrEqual" aboveAverage="0" dxfId="33" text="" percent="0" bottom="0">
      <formula>50</formula>
    </cfRule>
  </conditionalFormatting>
  <dataValidations count="1">
    <dataValidation sqref="I5:I4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Code review</t>
        </is>
      </c>
      <c r="J8" s="108" t="n">
        <v>5</v>
      </c>
      <c r="K8" s="109" t="n">
        <v>46294</v>
      </c>
      <c r="L8" s="109" t="n"/>
      <c r="M8" s="110" t="inlineStr">
        <is>
          <t>rcfworks</t>
        </is>
      </c>
      <c r="N8" s="85" t="n">
        <v>0</v>
      </c>
      <c r="O8" s="84" t="inlineStr">
        <is>
          <t>4S0-PMO-02</t>
        </is>
      </c>
      <c r="P8" s="84" t="inlineStr">
        <is>
          <t>All 12 Phase 4 screens designed, with creative technical constraints specified per placement type</t>
        </is>
      </c>
      <c r="Q8" s="86" t="inlineStr">
        <is>
          <t>Spec §26</t>
        </is>
      </c>
      <c r="R8" s="111" t="inlineStr">
        <is>
          <t xml:space="preserve"> Designed 2026-09-29 by Claude Design: https://claude.ai/artifact/KBMLqnbXedfz6UiXTRC6Ue — the 10 screens the Phase 4 plan defines (the row says 12), every state, desktop and phone, sample data labelled.</t>
        </is>
      </c>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3"/>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9.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3"/>
    <row r="4"/>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0"/>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0"/>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3"/>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5"/>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2026-09-30T03:53:30Z</dcterms:modified>
  <cp:revision>0</cp:revision>
</cp:coreProperties>
</file>