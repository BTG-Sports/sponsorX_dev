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1'!$A$4:$R$304</definedName>
    <definedName name="_xlnm._FilterDatabase" localSheetId="4" hidden="1">'Phase 2'!$A$4:$R$144</definedName>
    <definedName name="_xlnm._FilterDatabase" localSheetId="5" hidden="1">'Phase 3'!$A$4:$R$66</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2'!$F$5:$F$144,"Document")</f>
        <v/>
      </c>
      <c r="D13" s="81">
        <f>COUNTIF('Phase 3'!$F$5:$F$66,"Document")</f>
        <v/>
      </c>
      <c r="E13" s="81">
        <f>COUNTIF('Phase 4'!$F$5:$F$55,"Document")</f>
        <v/>
      </c>
      <c r="F13" s="81">
        <f>SUM(B13:E13)</f>
        <v/>
      </c>
    </row>
    <row r="14" ht="15" customHeight="1" s="75">
      <c r="A14" s="98" t="inlineStr">
        <is>
          <t>Zoho dashboard</t>
        </is>
      </c>
      <c r="B14" s="81">
        <f>COUNTIF('Phase 1'!$F$5:$F$400,"Zoho dashboard")</f>
        <v/>
      </c>
      <c r="C14" s="81">
        <f>COUNTIF('Phase 2'!$F$5:$F$144,"Zoho dashboard")</f>
        <v/>
      </c>
      <c r="D14" s="81">
        <f>COUNTIF('Phase 3'!$F$5:$F$66,"Zoho dashboard")</f>
        <v/>
      </c>
      <c r="E14" s="81">
        <f>COUNTIF('Phase 4'!$F$5:$F$55,"Zoho dashboard")</f>
        <v/>
      </c>
      <c r="F14" s="81">
        <f>SUM(B14:E14)</f>
        <v/>
      </c>
    </row>
    <row r="15" ht="15" customHeight="1" s="75">
      <c r="A15" s="99" t="inlineStr">
        <is>
          <t>Vendor console</t>
        </is>
      </c>
      <c r="B15" s="81">
        <f>COUNTIF('Phase 1'!$F$5:$F$400,"Vendor console")</f>
        <v/>
      </c>
      <c r="C15" s="81">
        <f>COUNTIF('Phase 2'!$F$5:$F$144,"Vendor console")</f>
        <v/>
      </c>
      <c r="D15" s="81">
        <f>COUNTIF('Phase 3'!$F$5:$F$66,"Vendor console")</f>
        <v/>
      </c>
      <c r="E15" s="81">
        <f>COUNTIF('Phase 4'!$F$5:$F$55,"Vendor console")</f>
        <v/>
      </c>
      <c r="F15" s="81">
        <f>SUM(B15:E15)</f>
        <v/>
      </c>
    </row>
    <row r="16" ht="15" customHeight="1" s="75">
      <c r="A16" s="100" t="inlineStr">
        <is>
          <t>Code</t>
        </is>
      </c>
      <c r="B16" s="81">
        <f>COUNTIF('Phase 1'!$F$5:$F$400,"Code")</f>
        <v/>
      </c>
      <c r="C16" s="81">
        <f>COUNTIF('Phase 2'!$F$5:$F$144,"Code")</f>
        <v/>
      </c>
      <c r="D16" s="81">
        <f>COUNTIF('Phase 3'!$F$5:$F$66,"Code")</f>
        <v/>
      </c>
      <c r="E16" s="81">
        <f>COUNTIF('Phase 4'!$F$5:$F$55,"Code")</f>
        <v/>
      </c>
      <c r="F16" s="81">
        <f>SUM(B16:E16)</f>
        <v/>
      </c>
    </row>
    <row r="17" ht="15" customHeight="1" s="75">
      <c r="A17" s="99" t="inlineStr">
        <is>
          <t>Code + console</t>
        </is>
      </c>
      <c r="B17" s="81">
        <f>COUNTIF('Phase 1'!$F$5:$F$400,"Code + console")</f>
        <v/>
      </c>
      <c r="C17" s="81">
        <f>COUNTIF('Phase 2'!$F$5:$F$144,"Code + console")</f>
        <v/>
      </c>
      <c r="D17" s="81">
        <f>COUNTIF('Phase 3'!$F$5:$F$66,"Code + console")</f>
        <v/>
      </c>
      <c r="E17" s="81">
        <f>COUNTIF('Phase 4'!$F$5:$F$55,"Code + console")</f>
        <v/>
      </c>
      <c r="F17" s="81">
        <f>SUM(B17:E17)</f>
        <v/>
      </c>
    </row>
    <row r="18" ht="15" customHeight="1" s="75">
      <c r="A18" s="101" t="inlineStr">
        <is>
          <t>Design tool</t>
        </is>
      </c>
      <c r="B18" s="81">
        <f>COUNTIF('Phase 1'!$F$5:$F$400,"Design tool")</f>
        <v/>
      </c>
      <c r="C18" s="81">
        <f>COUNTIF('Phase 2'!$F$5:$F$144,"Design tool")</f>
        <v/>
      </c>
      <c r="D18" s="81">
        <f>COUNTIF('Phase 3'!$F$5:$F$66,"Design tool")</f>
        <v/>
      </c>
      <c r="E18" s="81">
        <f>COUNTIF('Phase 4'!$F$5:$F$55,"Design tool")</f>
        <v/>
      </c>
      <c r="F18" s="81">
        <f>SUM(B18:E18)</f>
        <v/>
      </c>
    </row>
    <row r="19" ht="15" customHeight="1" s="75">
      <c r="A19" s="97" t="inlineStr">
        <is>
          <t>Document + code</t>
        </is>
      </c>
      <c r="B19" s="81">
        <f>COUNTIF('Phase 1'!$F$5:$F$400,"Document + code")</f>
        <v/>
      </c>
      <c r="C19" s="81">
        <f>COUNTIF('Phase 2'!$F$5:$F$144,"Document + code")</f>
        <v/>
      </c>
      <c r="D19" s="81">
        <f>COUNTIF('Phase 3'!$F$5:$F$66,"Document + code")</f>
        <v/>
      </c>
      <c r="E19" s="81">
        <f>COUNTIF('Phase 4'!$F$5:$F$55,"Document + code")</f>
        <v/>
      </c>
      <c r="F19" s="81">
        <f>SUM(B19:E19)</f>
        <v/>
      </c>
    </row>
    <row r="20" ht="15" customHeight="1" s="75">
      <c r="A20" s="102" t="inlineStr">
        <is>
          <t>External · counsel</t>
        </is>
      </c>
      <c r="B20" s="81">
        <f>COUNTIF('Phase 1'!$F$5:$F$400,"External · counsel")</f>
        <v/>
      </c>
      <c r="C20" s="81">
        <f>COUNTIF('Phase 2'!$F$5:$F$144,"External · counsel")</f>
        <v/>
      </c>
      <c r="D20" s="81">
        <f>COUNTIF('Phase 3'!$F$5:$F$66,"External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35"/>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row r="35">
      <c r="A35" s="74" t="inlineStr">
        <is>
          <t>2026-10-14</t>
        </is>
      </c>
      <c r="B35" s="74" t="n">
        <v>27</v>
      </c>
      <c r="C35" s="74" t="n">
        <v>58</v>
      </c>
      <c r="D35" s="74" t="n">
        <v>25</v>
      </c>
      <c r="E35" s="74" t="n">
        <v>29</v>
      </c>
      <c r="F35" s="74" t="n">
        <v>27</v>
      </c>
      <c r="G35" s="74" t="n">
        <v>19</v>
      </c>
      <c r="H35" s="74" t="n">
        <v>20</v>
      </c>
      <c r="I35" s="74" t="n">
        <v>20</v>
      </c>
      <c r="J35" s="74" t="n">
        <v>20</v>
      </c>
      <c r="K35" s="74" t="n">
        <v>37</v>
      </c>
      <c r="L35" s="74" t="n">
        <v>282</v>
      </c>
      <c r="M35" s="74" t="n">
        <v>40</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30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 | 2026-10-15: WHEN production's Zoho keys are set at go-live, also run `railway ssh --environment production --service api -- npm run zoho:intel-fields -w @sponsorx/backend -- --create --confirm-production` (3S7-INT-01's two Account fields; owner OK'd 2026-10-15). Tried 2026-10-15: stopped with 'Zoho is not configured' — nothing changed.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Dropped</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 | 2026-10-15 DROPPED by the user ("its not worth doing"): every PR already runs the full suite, browser tests included, on its own fresh database in CI; the team is two people who merge every PR; a running app and database per open PR costs Railway money for little gain.</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inlineStr">
        <is>
          <t>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inlineStr">
        <is>
          <t>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In progress</t>
        </is>
      </c>
      <c r="J185" s="108" t="n">
        <v>3</v>
      </c>
      <c r="K185" s="109" t="inlineStr">
        <is>
          <t>2026-10-02</t>
        </is>
      </c>
      <c r="L185" s="109" t="n"/>
      <c r="M185" s="110" t="inlineStr">
        <is>
          <t>HeckerCreatives</t>
        </is>
      </c>
      <c r="N185" s="81" t="n"/>
      <c r="O185" s="80" t="inlineStr">
        <is>
          <t>P8-QA-01</t>
        </is>
      </c>
      <c r="P185" s="80" t="inlineStr">
        <is>
          <t>Every E2E test from Phases 3–7 runs green in one suite in CI</t>
        </is>
      </c>
      <c r="Q185" s="82" t="inlineStr">
        <is>
          <t>§38</t>
        </is>
      </c>
      <c r="R185" s="111" t="inlineStr">
        <is>
          <t>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In progress</t>
        </is>
      </c>
      <c r="J237" s="108" t="n">
        <v>3</v>
      </c>
      <c r="K237" s="109" t="inlineStr">
        <is>
          <t>2026-10-02</t>
        </is>
      </c>
      <c r="L237" s="109" t="n"/>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Code review</t>
        </is>
      </c>
      <c r="J299" s="108" t="n">
        <v>2</v>
      </c>
      <c r="K299" s="109" t="n">
        <v>46306</v>
      </c>
      <c r="L299" s="109" t="n"/>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Code review</t>
        </is>
      </c>
      <c r="J300" s="108" t="n">
        <v>3</v>
      </c>
      <c r="K300" s="109" t="n">
        <v>46306</v>
      </c>
      <c r="L300" s="109" t="n"/>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Code review</t>
        </is>
      </c>
      <c r="J301" s="108" t="n">
        <v>1</v>
      </c>
      <c r="K301" s="109" t="n">
        <v>46307</v>
      </c>
      <c r="L301" s="109" t="n"/>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t>
        </is>
      </c>
    </row>
    <row r="302" s="75">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Code review</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t>
        </is>
      </c>
    </row>
    <row r="303" s="75">
      <c r="A303" s="104" t="n">
        <v>33.59996875</v>
      </c>
      <c r="B303" s="105" t="inlineStr">
        <is>
          <t>P1-ART-26</t>
        </is>
      </c>
      <c r="C303" s="81" t="n">
        <v>1</v>
      </c>
      <c r="D303" s="82" t="inlineStr">
        <is>
          <t>UI Scaffold on Fixtures</t>
        </is>
      </c>
      <c r="E303" s="139" t="inlineStr">
        <is>
          <t>ART</t>
        </is>
      </c>
      <c r="F303" s="120" t="inlineStr">
        <is>
          <t>Code</t>
        </is>
      </c>
      <c r="G303" s="80" t="inlineStr">
        <is>
          <t>One theme — remove the day/night toggle</t>
        </is>
      </c>
      <c r="H303" s="107" t="inlineStr">
        <is>
          <t>Raised 2026-10-14 by the programme owner: remove day/night mode from the whole web app; the default (dark) is the only theme. The sun/moon button leaves every portal header, a stored localStorage sx-theme=light is no longer applied, and the Arena's light-only styling goes. The Frost light tokens stay for paper only — the schools proposal prints on them (lib/print-light.ts, P1-FE-26).</t>
        </is>
      </c>
      <c r="I303" s="108" t="inlineStr">
        <is>
          <t>Done</t>
        </is>
      </c>
      <c r="J303" s="108" t="n">
        <v>0.5</v>
      </c>
      <c r="K303" s="109" t="n">
        <v>46309</v>
      </c>
      <c r="L303" s="109" t="n">
        <v>46309</v>
      </c>
      <c r="M303" s="110" t="inlineStr">
        <is>
          <t>HeckerCreatives</t>
        </is>
      </c>
      <c r="N303" s="81" t="n">
        <v>0</v>
      </c>
      <c r="O303" s="80" t="n"/>
      <c r="P303" s="80" t="inlineStr">
        <is>
          <t>No screen offers a theme switch; every screen renders dark even with an old stored 'light'; the schools proposal still prints light; tests, lint, tsc and build green</t>
        </is>
      </c>
      <c r="Q303" s="82" t="inlineStr">
        <is>
          <t>A2 (reverses P1-FE-02's on-screen light theme)</t>
        </is>
      </c>
      <c r="R303" s="111" t="inlineStr">
        <is>
          <t>Built 2026-10-14: theme-toggle.tsx deleted, portal-shell no longer renders it, root layout's pre-paint sx-theme script removed, [data-theme=light] Arena/dock/sheet rules removed from globals.css and mobile-nav.css; light tokens kept for print. QA 2026-10-14 on the production build with an old sx-theme=light pre-set in every browser: 232 page visits (8 roles — public, BTG admin, athlete, sponsor, Finance, property manager, advisor, student — desktop + mobile; 116 screens incl. detail pages): 0 theme buttons, 0 data-theme on &lt;html&gt;, --sx-bg dark on every page, 0 page errors, 0 5xx, 0 horizontal overflow. Schools proposal print still switches to light and back. Frontend 139 files / 1,528 tests, lint, tsc, next build green. Guardian shell not walked (no QA guardian login).</t>
        </is>
      </c>
    </row>
    <row r="304" s="75">
      <c r="A304" s="104" t="n">
        <v>33.69996875</v>
      </c>
      <c r="B304" s="105" t="inlineStr">
        <is>
          <t>P1-ART-27</t>
        </is>
      </c>
      <c r="C304" s="81" t="n">
        <v>1</v>
      </c>
      <c r="D304" s="82" t="inlineStr">
        <is>
          <t>UI Scaffold on Fixtures</t>
        </is>
      </c>
      <c r="E304" s="139" t="inlineStr">
        <is>
          <t>ART</t>
        </is>
      </c>
      <c r="F304" s="120" t="inlineStr">
        <is>
          <t>Code</t>
        </is>
      </c>
      <c r="G304" s="80" t="inlineStr">
        <is>
          <t>Public site — signed-in visitors get "&lt;Role&gt; Dashboard" instead of Login / Get Started</t>
        </is>
      </c>
      <c r="H304" s="107" t="inlineStr">
        <is>
          <t>Raised 2026-10-14 by the programme owner: on the landing page, someone already signed in (session not expired) sees their own dashboard button instead of Login and Get Started. Header, phone menu, hero and closing CTA; every public page shares the header. Portal from the Postgres roles (portalFor), named by lib/dashboard-link.ts; asked only when Clerk says the session is live, so the landing stays static.</t>
        </is>
      </c>
      <c r="I304" s="108" t="inlineStr">
        <is>
          <t>Done</t>
        </is>
      </c>
      <c r="J304" s="108" t="n">
        <v>0.5</v>
      </c>
      <c r="K304" s="109" t="n">
        <v>46309</v>
      </c>
      <c r="L304" s="109" t="n">
        <v>46309</v>
      </c>
      <c r="M304" s="110" t="inlineStr">
        <is>
          <t>HeckerCreatives</t>
        </is>
      </c>
      <c r="N304" s="81" t="n">
        <v>0</v>
      </c>
      <c r="O304" s="80" t="n"/>
      <c r="P304" s="80" t="inlineStr">
        <is>
          <t>Signed in with a live session: Login gone, Get Started reads '&lt;Role&gt; Dashboard' and opens that portal, in the header, phone menu, hero and closing CTA; signed out or session ended: unchanged; landing stays static; tests, lint, tsc and build green</t>
        </is>
      </c>
      <c r="Q304" s="82" t="inlineStr">
        <is>
          <t>§9.2 (post-sign-in routing)</t>
        </is>
      </c>
      <c r="R304" s="111" t="inlineStr">
        <is>
          <t>Built 2026-10-14: lib/dashboard-link.ts (portal -&gt; label, Guardian named for a guardian; tests/dashboard-link.test.ts, 3), server/my-dashboard.ts (server action: fetchActor + portalFor; anything short of a linked account -&gt; null), components/my-dashboard.tsx (useMyDashboard: Clerk useAuth decides live session, one call per page shared by all buttons; DashboardCta), HeaderActions + menu in site-nav.tsx, hero and closing CTAs. '/' still prerendered static. QA 2026-10-14 on the production build: 18/18 walks (desktop + mobile) — signed out unchanged; each of admin, athlete, sponsor, Finance, property, advisor, student sees '&lt;Role&gt; Dashboard' on header + hero + closing (3 links, all to their portal), Login gone, phone menu one full-width button, header click lands in the portal, /packages header too; a revoked Clerk session reverts to Login / Get Started. Screens after the loader at 1366/412/360 px reviewed by eye (no overflow, button clear of the logo). Frontend 140 files / 1,531 tests, eslint, tsc, next build green. Footer 'Sign In' link left as is.</t>
        </is>
      </c>
    </row>
  </sheetData>
  <autoFilter ref="A4:R304"/>
  <mergeCells count="2">
    <mergeCell ref="A2:R2"/>
    <mergeCell ref="A1:R1"/>
  </mergeCells>
  <conditionalFormatting sqref="I5:I30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04">
    <cfRule type="expression" rank="0" priority="7" equalAverage="0" aboveAverage="0" dxfId="32" text="" percent="0" bottom="0">
      <formula>$I5="Done"</formula>
    </cfRule>
  </conditionalFormatting>
  <conditionalFormatting sqref="N5:N304">
    <cfRule type="cellIs" rank="0" priority="8" equalAverage="0" operator="greaterThanOrEqual" aboveAverage="0" dxfId="33" text="" percent="0" bottom="0">
      <formula>50</formula>
    </cfRule>
  </conditionalFormatting>
  <dataValidations count="1">
    <dataValidation sqref="I5:I30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Ready</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inlineStr">
        <is>
          <t>Ready — its only prerequisite, Phase 2 complete, was met when 2S8-PMO-01 was signed off on 2026-10-09.</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Done</t>
        </is>
      </c>
      <c r="J6" s="108" t="n">
        <v>3</v>
      </c>
      <c r="K6" s="109" t="n">
        <v>46310</v>
      </c>
      <c r="L6" s="109" t="n">
        <v>46310</v>
      </c>
      <c r="M6" s="110" t="inlineStr">
        <is>
          <t>rcfworks</t>
        </is>
      </c>
      <c r="N6" s="85" t="n">
        <v>0</v>
      </c>
      <c r="O6" s="84" t="inlineStr">
        <is>
          <t>Phase 2 complete</t>
        </is>
      </c>
      <c r="P6" s="84" t="inlineStr">
        <is>
          <t>Governance policy written: versioning, confidence, explanation, override, monitoring and rollback</t>
        </is>
      </c>
      <c r="Q6" s="86" t="inlineStr">
        <is>
          <t>Spec §15</t>
        </is>
      </c>
      <c r="R6" s="111" t="inlineStr">
        <is>
          <t>Drafted 2026-10-15 (rcfworks) for the owner's approval: documentation/SponsorX-Model-Governance.md — versioning per tenant, draft→validated→active→retired, automatic validation inside safe ranges and a second person outside (automation first), confidence/explanation, overrides, rollback and compare without deploy, per-tenant switches, who, monitoring. | Done 2026-10-15: merged to main (#221/#223 via #222), acceptance met, tests green.</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Done</t>
        </is>
      </c>
      <c r="J12" s="108" t="n">
        <v>3</v>
      </c>
      <c r="K12" s="109" t="n">
        <v>46309</v>
      </c>
      <c r="L12" s="109" t="n">
        <v>46310</v>
      </c>
      <c r="M12" s="110" t="inlineStr">
        <is>
          <t>rcfworks</t>
        </is>
      </c>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 Acceptance checked and moved to Done 2026-10-15 (rcfworks): criterion met, tests green, live in staging and production.</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Done</t>
        </is>
      </c>
      <c r="J13" s="108" t="n">
        <v>3</v>
      </c>
      <c r="K13" s="109" t="n">
        <v>46308</v>
      </c>
      <c r="L13" s="109" t="n">
        <v>46310</v>
      </c>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 Acceptance checked and moved to Done 2026-10-15 (rcfworks): criterion met, tests green, live in staging and production.</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Done</t>
        </is>
      </c>
      <c r="J14" s="108" t="n">
        <v>5</v>
      </c>
      <c r="K14" s="109" t="n">
        <v>46309</v>
      </c>
      <c r="L14" s="109" t="n">
        <v>46310</v>
      </c>
      <c r="M14" s="110" t="inlineStr">
        <is>
          <t>rcfworks</t>
        </is>
      </c>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 Acceptance checked and moved to Done 2026-10-15 (rcfworks): criterion met, tests green, live in staging and production.</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Done</t>
        </is>
      </c>
      <c r="J15" s="108" t="n">
        <v>5</v>
      </c>
      <c r="K15" s="109" t="n">
        <v>46309</v>
      </c>
      <c r="L15" s="109" t="n">
        <v>46310</v>
      </c>
      <c r="M15" s="110" t="inlineStr">
        <is>
          <t>rcfworks</t>
        </is>
      </c>
      <c r="N15" s="85" t="n">
        <v>0</v>
      </c>
      <c r="O15" s="84" t="inlineStr">
        <is>
          <t>3S2-BE-01</t>
        </is>
      </c>
      <c r="P15" s="84" t="inlineStr">
        <is>
          <t>Every recommended price exposes model version, confidence and factor breakdown</t>
        </is>
      </c>
      <c r="Q15" s="86" t="inlineStr">
        <is>
          <t>Spec §17.1, §22</t>
        </is>
      </c>
      <c r="R15" s="111" t="inlineStr">
        <is>
          <t>Acceptance checked and moved to Done 2026-10-15 (rcfworks): criterion met, tests green, live in staging and production.</t>
        </is>
      </c>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Done</t>
        </is>
      </c>
      <c r="J16" s="108" t="n">
        <v>3</v>
      </c>
      <c r="K16" s="109" t="n">
        <v>46309</v>
      </c>
      <c r="L16" s="109" t="n">
        <v>46310</v>
      </c>
      <c r="M16" s="110" t="inlineStr">
        <is>
          <t>rcfworks</t>
        </is>
      </c>
      <c r="N16" s="81" t="n">
        <v>0</v>
      </c>
      <c r="O16" s="80" t="inlineStr">
        <is>
          <t>3S2-BE-02</t>
        </is>
      </c>
      <c r="P16" s="80" t="inlineStr">
        <is>
          <t>Admin can override a price only with the right permission and a recorded reason; the recommendation is unchanged</t>
        </is>
      </c>
      <c r="Q16" s="82" t="inlineStr">
        <is>
          <t>Spec §17.1, §22</t>
        </is>
      </c>
      <c r="R16" s="111" t="inlineStr">
        <is>
          <t>Acceptance checked and moved to Done 2026-10-15 (rcfworks): criterion met, tests green, live in staging and production.</t>
        </is>
      </c>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Done</t>
        </is>
      </c>
      <c r="J18" s="108" t="n">
        <v>3</v>
      </c>
      <c r="K18" s="109" t="n">
        <v>46309</v>
      </c>
      <c r="L18" s="109" t="n">
        <v>46310</v>
      </c>
      <c r="M18" s="110" t="inlineStr">
        <is>
          <t>rcfworks</t>
        </is>
      </c>
      <c r="N18" s="81" t="n">
        <v>0</v>
      </c>
      <c r="O18" s="80" t="inlineStr">
        <is>
          <t>3S2-BE-01</t>
        </is>
      </c>
      <c r="P18" s="80" t="inlineStr">
        <is>
          <t>A sponsor brief captures all matching inputs including exclusions</t>
        </is>
      </c>
      <c r="Q18" s="82" t="inlineStr">
        <is>
          <t>Spec §19</t>
        </is>
      </c>
      <c r="R18" s="111" t="inlineStr">
        <is>
          <t>Acceptance checked and moved to Done 2026-10-15 (rcfworks): criterion met, tests green, live in staging and production.</t>
        </is>
      </c>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Done</t>
        </is>
      </c>
      <c r="J19" s="108" t="n">
        <v>5</v>
      </c>
      <c r="K19" s="109" t="n">
        <v>46309</v>
      </c>
      <c r="L19" s="109" t="n">
        <v>46310</v>
      </c>
      <c r="M19" s="110" t="inlineStr">
        <is>
          <t>rcfworks</t>
        </is>
      </c>
      <c r="N19" s="85" t="n">
        <v>0</v>
      </c>
      <c r="O19" s="84" t="inlineStr">
        <is>
          <t>3S3-BE-01</t>
        </is>
      </c>
      <c r="P19" s="84" t="inlineStr">
        <is>
          <t>Brief produces ranked recommendations with explanation factors within the agreed response time</t>
        </is>
      </c>
      <c r="Q19" s="86" t="inlineStr">
        <is>
          <t>Spec §17.2, §22</t>
        </is>
      </c>
      <c r="R19" s="111" t="inlineStr">
        <is>
          <t>Acceptance checked and moved to Done 2026-10-15 (rcfworks): criterion met, tests green, live in staging and production.</t>
        </is>
      </c>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Done</t>
        </is>
      </c>
      <c r="J20" s="108" t="n">
        <v>3</v>
      </c>
      <c r="K20" s="109" t="n">
        <v>46309</v>
      </c>
      <c r="L20" s="109" t="n">
        <v>46310</v>
      </c>
      <c r="M20" s="110" t="inlineStr">
        <is>
          <t>rcfworks</t>
        </is>
      </c>
      <c r="N20" s="81" t="n">
        <v>0</v>
      </c>
      <c r="O20" s="80" t="inlineStr">
        <is>
          <t>3S3-BE-02</t>
        </is>
      </c>
      <c r="P20" s="80" t="inlineStr">
        <is>
          <t>Match explorer never returns unavailable or category-conflicted inventory</t>
        </is>
      </c>
      <c r="Q20" s="82" t="inlineStr">
        <is>
          <t>Spec §22</t>
        </is>
      </c>
      <c r="R20" s="111" t="inlineStr">
        <is>
          <t>Acceptance checked and moved to Done 2026-10-15 (rcfworks): criterion met, tests green, live in staging and production.</t>
        </is>
      </c>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Done</t>
        </is>
      </c>
      <c r="J22" s="108" t="n">
        <v>3</v>
      </c>
      <c r="K22" s="109" t="n">
        <v>46309</v>
      </c>
      <c r="L22" s="109" t="n">
        <v>46310</v>
      </c>
      <c r="M22" s="110" t="inlineStr">
        <is>
          <t>rcfworks</t>
        </is>
      </c>
      <c r="N22" s="81" t="n">
        <v>0</v>
      </c>
      <c r="O22" s="80" t="inlineStr">
        <is>
          <t>3S1-DATA-02</t>
        </is>
      </c>
      <c r="P22" s="80" t="inlineStr">
        <is>
          <t>Pacing computes nightly for every active campaign</t>
        </is>
      </c>
      <c r="Q22" s="82" t="inlineStr">
        <is>
          <t>Spec §17.3</t>
        </is>
      </c>
      <c r="R22" s="111" t="inlineStr">
        <is>
          <t>Acceptance checked and moved to Done 2026-10-15 (rcfworks): criterion met, tests green, live in staging and production.</t>
        </is>
      </c>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Done</t>
        </is>
      </c>
      <c r="J23" s="108" t="n">
        <v>5</v>
      </c>
      <c r="K23" s="109" t="n">
        <v>46309</v>
      </c>
      <c r="L23" s="109" t="n">
        <v>46310</v>
      </c>
      <c r="M23" s="110" t="inlineStr">
        <is>
          <t>rcfworks</t>
        </is>
      </c>
      <c r="N23" s="85" t="n">
        <v>0</v>
      </c>
      <c r="O23" s="84" t="inlineStr">
        <is>
          <t>3S4-DATA-01</t>
        </is>
      </c>
      <c r="P23" s="84" t="inlineStr">
        <is>
          <t>Forecast refreshes automatically and persists historical forecasts</t>
        </is>
      </c>
      <c r="Q23" s="86" t="inlineStr">
        <is>
          <t>Spec §17.3, §22</t>
        </is>
      </c>
      <c r="R23" s="111" t="inlineStr">
        <is>
          <t>Acceptance checked and moved to Done 2026-10-15 (rcfworks): criterion met, tests green, live in staging and production.</t>
        </is>
      </c>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Done</t>
        </is>
      </c>
      <c r="J24" s="108" t="n">
        <v>3</v>
      </c>
      <c r="K24" s="109" t="n">
        <v>46309</v>
      </c>
      <c r="L24" s="109" t="n">
        <v>46310</v>
      </c>
      <c r="M24" s="110" t="inlineStr">
        <is>
          <t>rcfworks</t>
        </is>
      </c>
      <c r="N24" s="81" t="n">
        <v>0</v>
      </c>
      <c r="O24" s="80" t="inlineStr">
        <is>
          <t>3S4-BE-01</t>
        </is>
      </c>
      <c r="P24" s="80" t="inlineStr">
        <is>
          <t>At-risk campaigns generate actionable alerts before campaign end, not after</t>
        </is>
      </c>
      <c r="Q24" s="82" t="inlineStr">
        <is>
          <t>Spec §17.3, §22</t>
        </is>
      </c>
      <c r="R24" s="111" t="inlineStr">
        <is>
          <t>Acceptance checked and moved to Done 2026-10-15 (rcfworks): criterion met, tests green, live in staging and production.</t>
        </is>
      </c>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Done</t>
        </is>
      </c>
      <c r="J26" s="108" t="n">
        <v>5</v>
      </c>
      <c r="K26" s="109" t="n">
        <v>46310</v>
      </c>
      <c r="L26" s="109" t="n">
        <v>46310</v>
      </c>
      <c r="M26" s="110" t="inlineStr">
        <is>
          <t>rcfworks</t>
        </is>
      </c>
      <c r="N26" s="81" t="n">
        <v>0</v>
      </c>
      <c r="O26" s="80" t="inlineStr">
        <is>
          <t>3S4-BE-01</t>
        </is>
      </c>
      <c r="P26" s="80" t="inlineStr">
        <is>
          <t>Recommendations respect sponsor target, availability, exclusivity and estimated value equivalence</t>
        </is>
      </c>
      <c r="Q26" s="82" t="inlineStr">
        <is>
          <t>Spec §22</t>
        </is>
      </c>
      <c r="R26" s="111" t="inlineStr">
        <is>
          <t>Built 2026-10-15 (branch development/bob/be_batch_0924): nightly shortfall per at-risk campaign (guarantee − forecast, valued at what the sponsor paid per unit) with substitutes from the tenant's inventory — match engine's exclusivity/brand-safety filter, then the purchase paths' availability check over 14 days from tomorrow (user, 2026-10-15); each option has available / exclusivity / target checks, estimated delivery, equivalency and cost impact; up to 5 passing + 2 closer near-misses. GET /intelligence/make-goods, permission makeGood (RBAC §31). documentation/SponsorX-Make-Goods.md; tests/makegood.test.ts. Acceptance checked and moved to Done 2026-10-15 (rcfworks): criterion met, tests green, live in staging and production.</t>
        </is>
      </c>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Done</t>
        </is>
      </c>
      <c r="J27" s="108" t="n">
        <v>3</v>
      </c>
      <c r="K27" s="109" t="n">
        <v>46310</v>
      </c>
      <c r="L27" s="109" t="n">
        <v>46310</v>
      </c>
      <c r="M27" s="110" t="inlineStr">
        <is>
          <t>rcfworks</t>
        </is>
      </c>
      <c r="N27" s="85" t="n">
        <v>0</v>
      </c>
      <c r="O27" s="84" t="inlineStr">
        <is>
          <t>3S5-BE-01</t>
        </is>
      </c>
      <c r="P27" s="84" t="inlineStr">
        <is>
          <t>Make-good approval is recorded, audited and reflected in the campaign</t>
        </is>
      </c>
      <c r="Q27" s="86" t="inlineStr">
        <is>
          <t>Spec §18</t>
        </is>
      </c>
      <c r="R27" s="111" t="inlineStr">
        <is>
          <t>Built 2026-10-15: POST /intelligence/make-goods/{id}/approve by BTG admins and campaign managers with a note, plus automatic approval by SponsorX when every safety check passes (user, 2026-10-15: all checks, ≥90% coverage, no extra cost, no minor/school/age-gated category, verified estimate, ≥80% of flight gone); otherwise held with the reasons. Live re-check under the inventory lock, units committed (InventoryCommitment MAKE_GOOD), decision final (DB trigger), audited (makeGood.approve / makeGood.autoApprove), shown on the campaign detail and forecast. Note: the verified-estimate and 80%-of-flight conditions were proposed in the build and approved by the user 2026-10-15; they bind only the automatic approval (a person can approve any passing substitute at any time). Acceptance checked and moved to Done 2026-10-15 (rcfworks): criterion met, tests green, live in staging and production.</t>
        </is>
      </c>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Done</t>
        </is>
      </c>
      <c r="J36" s="108" t="n">
        <v>5</v>
      </c>
      <c r="K36" s="109" t="n">
        <v>46310</v>
      </c>
      <c r="L36" s="109" t="n">
        <v>46310</v>
      </c>
      <c r="M36" s="110" t="inlineStr">
        <is>
          <t>rcfworks</t>
        </is>
      </c>
      <c r="N36" s="81" t="n">
        <v>0</v>
      </c>
      <c r="O36" s="80" t="inlineStr">
        <is>
          <t>3S4-BE-01</t>
        </is>
      </c>
      <c r="P36" s="80" t="inlineStr">
        <is>
          <t>A scenario can be created, calculated and compared against another</t>
        </is>
      </c>
      <c r="Q36" s="82" t="inlineStr">
        <is>
          <t>Spec §18</t>
        </is>
      </c>
      <c r="R36" s="111" t="inlineStr">
        <is>
          <t>Built 2026-10-15 (rcfworks): GET /intelligence/scenarios, POST …/calculate (stores nothing), POST /intelligence/scenarios (saved with stamp, to compare). Posts bought at the booked/catalogue price × the audience's verified views per post (p25/median/p75); chance of delivering what the CPM sells; expected revenue = budget reduced when delivery falls short (user, 2026-10-15). Permission scenario (RBAC §33). documentation/SponsorX-Scenarios.md; tests/scenarios.test.ts. | Done 2026-10-15: merged to main (#221/#223 via #222), acceptance met, tests green.</t>
        </is>
      </c>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Code review</t>
        </is>
      </c>
      <c r="J38" s="108" t="n">
        <v>3</v>
      </c>
      <c r="K38" s="109" t="n">
        <v>46310</v>
      </c>
      <c r="L38" s="109" t="n"/>
      <c r="M38" s="110" t="inlineStr">
        <is>
          <t>rcfworks</t>
        </is>
      </c>
      <c r="N38" s="81" t="n">
        <v>0</v>
      </c>
      <c r="O38" s="80" t="inlineStr">
        <is>
          <t>3S7-FE-01</t>
        </is>
      </c>
      <c r="P38" s="80" t="inlineStr">
        <is>
          <t>Zoho shows renewal score and recommended next action on the sponsor record</t>
        </is>
      </c>
      <c r="Q38" s="82" t="inlineStr">
        <is>
          <t>Spec §20</t>
        </is>
      </c>
      <c r="R38" s="111" t="inlineStr">
        <is>
          <t>Built 2026-10-15 (rcfworks): SponsorX_Renewal_Score (0–100) and SponsorX_Next_Action on each sponsor's Zoho Account, from the hub's renewal advice; queued nightly (zoho.pushIntelligence) only for sponsors in Zoho whose values changed. Fields via npm run zoho:intel-fields -- --create: sandbox first, production with the owner's OK — still to run after deploy. Field mapping §12.3; tests/zoho-intelligence.test.ts. | Stays Code review 2026-10-15: 'Zoho shows renewal score and next action on the sponsor record' needs the two Account fields created (sandbox, then production with the owner's OK) and a push to land. | 2026-10-15: sandbox fields created and confirmed; production waits for go-live's Zoho keys (P2-OPS-04 note). Done when tonight's staging run lands the score and next action on a sandbox sponsor's Account.</t>
        </is>
      </c>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Done</t>
        </is>
      </c>
      <c r="J39" s="108" t="n">
        <v>5</v>
      </c>
      <c r="K39" s="109" t="n">
        <v>46310</v>
      </c>
      <c r="L39" s="109" t="n">
        <v>46310</v>
      </c>
      <c r="M39" s="110" t="inlineStr">
        <is>
          <t>rcfworks</t>
        </is>
      </c>
      <c r="N39" s="85" t="n">
        <v>0</v>
      </c>
      <c r="O39" s="84" t="inlineStr">
        <is>
          <t>3S1-DATA-02</t>
        </is>
      </c>
      <c r="P39" s="84" t="inlineStr">
        <is>
          <t>Anomaly console identifies seeded duplicate, bot and redemption test patterns</t>
        </is>
      </c>
      <c r="Q39" s="86" t="inlineStr">
        <is>
          <t>Spec §15, §22</t>
        </is>
      </c>
      <c r="R39" s="111" t="inlineStr">
        <is>
          <t>Built 2026-10-15 (rcfworks): seven nightly rules over 30 days (spike, duplicate post, bot clicks, redemption burst, repeat fan, manual 3× API, engagements &gt; views); flags kept once with rule/version/evidence; duplicate post excluded from reporting automatically (automation first), the rest held for a person; dispositions with a note, audited. Permission anomaly (RBAC §34). documentation/SponsorX-Anomalies.md; tests/anomalies.test.ts. | Done 2026-10-15: merged to main (#221/#223 via #222), acceptance met, tests green.</t>
        </is>
      </c>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Done</t>
        </is>
      </c>
      <c r="J41" s="108" t="n">
        <v>5</v>
      </c>
      <c r="K41" s="109" t="n">
        <v>46310</v>
      </c>
      <c r="L41" s="109" t="n">
        <v>46310</v>
      </c>
      <c r="M41" s="110" t="inlineStr">
        <is>
          <t>rcfworks</t>
        </is>
      </c>
      <c r="N41" s="85" t="n">
        <v>0</v>
      </c>
      <c r="O41" s="84" t="inlineStr">
        <is>
          <t>3S0-PMO-02</t>
        </is>
      </c>
      <c r="P41" s="84" t="inlineStr">
        <is>
          <t>A model version can be activated, rolled back and compared without deploying code</t>
        </is>
      </c>
      <c r="Q41" s="86" t="inlineStr">
        <is>
          <t>Spec §22</t>
        </is>
      </c>
      <c r="R41" s="111" t="inlineStr">
        <is>
          <t>Built 2026-10-15 (rcfworks): five engines' settings versioned per tenant with safe ranges; a change inside them goes live automatically, outside is held for a second person; activate / roll back / compare without a deploy; engines read the active settings each run and stamp outputs with the version. Permission modelRegistry (RBAC §35). tests/model-registry.test.ts. | Done 2026-10-15: merged to main (#221/#223 via #222), acceptance met, tests green.</t>
        </is>
      </c>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Done</t>
        </is>
      </c>
      <c r="J43" s="108" t="n">
        <v>3</v>
      </c>
      <c r="K43" s="109" t="n">
        <v>46310</v>
      </c>
      <c r="L43" s="109" t="n">
        <v>46310</v>
      </c>
      <c r="M43" s="110" t="inlineStr">
        <is>
          <t>rcfworks</t>
        </is>
      </c>
      <c r="N43" s="85" t="n">
        <v>0</v>
      </c>
      <c r="O43" s="84" t="inlineStr">
        <is>
          <t>3S8-BE-01</t>
        </is>
      </c>
      <c r="P43" s="84" t="inlineStr">
        <is>
          <t>All intelligence features can be disabled per tenant through feature flags</t>
        </is>
      </c>
      <c r="Q43" s="86" t="inlineStr">
        <is>
          <t>Spec §22</t>
        </is>
      </c>
      <c r="R43" s="111" t="inlineStr">
        <is>
          <t>Built 2026-10-15 (rcfworks): nine intelligence features switchable per tenant (pricing, matching, forecast, makegood, anomalies, scenarios, sponsorHub, propertyHub, zohoIntelligence); off = nightly run skips the tenant and reads/writes answer 403 feature_off; PATCH /intelligence/flags with a reason, audited. | Done 2026-10-15: merged to main (#221/#223 via #222), acceptance met, tests green.</t>
        </is>
      </c>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Done</t>
        </is>
      </c>
      <c r="J55" s="108" t="n">
        <v>2</v>
      </c>
      <c r="K55" s="109" t="n">
        <v>46308</v>
      </c>
      <c r="L55" s="109" t="n">
        <v>46310</v>
      </c>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 Acceptance checked and moved to Done 2026-10-15 (rcfworks): criterion met, tests green, live in staging and production.</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Done</t>
        </is>
      </c>
      <c r="J56" s="108" t="n">
        <v>3</v>
      </c>
      <c r="K56" s="109" t="n">
        <v>46310</v>
      </c>
      <c r="L56" s="109" t="n">
        <v>46310</v>
      </c>
      <c r="M56" s="110" t="inlineStr">
        <is>
          <t>rcfworks</t>
        </is>
      </c>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 Built 2026-10-15 (rcfworks): GET /intelligence/sponsor (four attribution classes kept apart; transactions and modelled 0 until 3S6; media value = verified views × benchmark, an estimate; formats, partners, renewal advice at 80%/50%; no unsourced segments) and GET /intelligence/property (roster's suggested prices, opportunity, sell-through, category fit, quality). Permissions sponsorIntelligence / propertyIntelligence (RBAC §32), scoped by the caller. documentation/SponsorX-Hub-Intelligence.md; tests/hub-intelligence.test.ts. | Done 2026-10-15: merged to main (#221/#223 via #222), acceptance met, tests green.</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Done</t>
        </is>
      </c>
      <c r="J57" s="108" t="n">
        <v>2</v>
      </c>
      <c r="K57" s="109" t="n">
        <v>46308</v>
      </c>
      <c r="L57" s="109" t="n">
        <v>46310</v>
      </c>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 Acceptance checked and moved to Done 2026-10-15 (rcfworks): criterion met, tests green, live in staging and production.</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Done</t>
        </is>
      </c>
      <c r="J58" s="108" t="n">
        <v>1</v>
      </c>
      <c r="K58" s="109" t="n">
        <v>46308</v>
      </c>
      <c r="L58" s="109" t="n">
        <v>46310</v>
      </c>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 Acceptance checked and moved to Done 2026-10-15 (rcfworks): criterion met, tests green, live in staging and production.</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Done</t>
        </is>
      </c>
      <c r="J59" s="108" t="n">
        <v>0.5</v>
      </c>
      <c r="K59" s="109" t="n">
        <v>46308</v>
      </c>
      <c r="L59" s="109" t="n">
        <v>46310</v>
      </c>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 Acceptance checked and moved to Done 2026-10-15 (rcfworks): criterion met, tests green, live in staging and production.</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Blocked</t>
        </is>
      </c>
      <c r="J60" s="108" t="n">
        <v>1</v>
      </c>
      <c r="K60" s="109" t="n"/>
      <c r="L60" s="109" t="n"/>
      <c r="M60" s="110" t="n"/>
      <c r="N60" s="85" t="n">
        <v>0</v>
      </c>
      <c r="O60" s="84" t="inlineStr">
        <is>
          <t>3S1-OPS-04</t>
        </is>
      </c>
      <c r="P60" s="84" t="inlineStr">
        <is>
          <t>No warehouse service, setting or code remains; analysis reads the summaries; the design docs say so</t>
        </is>
      </c>
      <c r="Q60" s="86" t="inlineStr">
        <is>
          <t>Spec §19, §21, §22</t>
        </is>
      </c>
      <c r="R60" s="111" t="inlineStr">
        <is>
          <t>On hold (user, 2026-10-14): leave the warehouse and its databases alone while in development; nothing reads them. Status stays Blocked (the list has no On hold).</t>
        </is>
      </c>
    </row>
    <row r="61">
      <c r="A61" s="112" t="n">
        <v>7.6</v>
      </c>
      <c r="B61" s="113" t="inlineStr">
        <is>
          <t>3S1-OPS-03</t>
        </is>
      </c>
      <c r="C61" s="85" t="n">
        <v>1</v>
      </c>
      <c r="D61" s="86" t="inlineStr">
        <is>
          <t>Sprint 1 · Warehouse &amp; benchmarks</t>
        </is>
      </c>
      <c r="E61" s="129" t="inlineStr">
        <is>
          <t>OPS</t>
        </is>
      </c>
      <c r="F61" s="122" t="inlineStr">
        <is>
          <t>Code / Vendor console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Done</t>
        </is>
      </c>
      <c r="J61" s="108" t="n">
        <v>1</v>
      </c>
      <c r="K61" s="109" t="n">
        <v>46309</v>
      </c>
      <c r="L61" s="109" t="n">
        <v>46310</v>
      </c>
      <c r="M61" s="110" t="inlineStr">
        <is>
          <t>rcfworks</t>
        </is>
      </c>
      <c r="N61" s="85" t="n">
        <v>0</v>
      </c>
      <c r="O61" s="84" t="n"/>
      <c r="P61" s="84" t="inlineStr">
        <is>
          <t>In staging and production only the app's login can write; a read-only login exists for people; the change is recorded in the deployment runbook</t>
        </is>
      </c>
      <c r="Q61" s="86" t="inlineStr">
        <is>
          <t>Spec §19, §21, §22</t>
        </is>
      </c>
      <c r="R61" s="111" t="inlineStr">
        <is>
          <t>Acceptance checked and moved to Done 2026-10-15 (rcfworks): criterion met, tests green, live in staging and production.</t>
        </is>
      </c>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Done</t>
        </is>
      </c>
      <c r="J62" s="108" t="n">
        <v>0.5</v>
      </c>
      <c r="K62" s="109" t="n">
        <v>46308</v>
      </c>
      <c r="L62" s="109" t="n">
        <v>46310</v>
      </c>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 Acceptance checked and moved to Done 2026-10-15 (rcfworks): criterion met, tests green, live in staging and production.</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Done</t>
        </is>
      </c>
      <c r="J63" s="108" t="n">
        <v>0.5</v>
      </c>
      <c r="K63" s="109" t="n">
        <v>46308</v>
      </c>
      <c r="L63" s="109" t="n">
        <v>46310</v>
      </c>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 Acceptance checked and moved to Done 2026-10-15 (rcfworks): criterion met, tests green, live in staging and production.</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Done</t>
        </is>
      </c>
      <c r="J64" s="108" t="n">
        <v>0.5</v>
      </c>
      <c r="K64" s="109" t="n">
        <v>46308</v>
      </c>
      <c r="L64" s="109" t="n">
        <v>46310</v>
      </c>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 Acceptance checked and moved to Done 2026-10-15 (rcfworks): criterion met, tests green, live in staging and production.</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Done</t>
        </is>
      </c>
      <c r="J65" s="108" t="n">
        <v>0.5</v>
      </c>
      <c r="K65" s="109" t="n">
        <v>46308</v>
      </c>
      <c r="L65" s="109" t="n">
        <v>46310</v>
      </c>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 Acceptance checked and moved to Done 2026-10-15 (rcfworks): criterion met, tests green, live in staging and production.</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Done</t>
        </is>
      </c>
      <c r="J66" s="108" t="n">
        <v>0.5</v>
      </c>
      <c r="K66" s="109" t="n">
        <v>46309</v>
      </c>
      <c r="L66" s="109" t="n">
        <v>46309</v>
      </c>
      <c r="M66" s="110" t="inlineStr">
        <is>
          <t>HeckerCreatives</t>
        </is>
      </c>
      <c r="N66" s="85" t="n">
        <v>0</v>
      </c>
      <c r="O66" s="84" t="inlineStr">
        <is>
          <t>3S1-QA-01</t>
        </is>
      </c>
      <c r="P66" s="84" t="inlineStr">
        <is>
          <t>The integrations screen shows the section in its three states (never run; matching; not matching with its differences); BTG only</t>
        </is>
      </c>
      <c r="Q66" s="86" t="inlineStr">
        <is>
          <t>Spec §22, §23</t>
        </is>
      </c>
      <c r="R66" s="111" t="inlineStr">
        <is>
          <t>Built 2026-10-14: frontend/src/lib/fact-check-live.ts (states, unit-tested: tests/fact-check-live.test.ts, 8) and the 'Figures check · nightly' section on /admin/integrations from GET /operations/integration-health `facts`. Draws never run, matching, not matching (since when, differences in words, '…and N more' past 20) and a fourth state: the check could not run (matches null + lastError) — shown as 'not run', never as a mismatch. A mismatch or failed run joins the page's 'needs attention' summary. QA 2026-10-14: live walk as BTG admin on desktop + mobile with each state staged in FactCheckRun (another tenant's differences never shown); Finance never reaches the screen. Frontend 139 files / 1,528 tests green, lint clean, next build green. Built while the lead dev revises the fact ledger (2026-10-14) — re-walk when that lands in case the `facts` shape moves.</t>
        </is>
      </c>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2026-10-15T09:25:44Z</dcterms:modified>
  <cp:revision>0</cp:revision>
</cp:coreProperties>
</file>