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Phase 5" sheetId="8" state="visible" r:id="rId8"/>
    <sheet name="Legal" sheetId="9" state="visible" r:id="rId9"/>
    <sheet name="Legend" sheetId="10" state="visible" r:id="rId10"/>
  </sheets>
  <definedNames>
    <definedName name="_xlnm._FilterDatabase" localSheetId="3" hidden="1">'Phase 1'!$A$4:$R$322</definedName>
    <definedName name="_xlnm._FilterDatabase" localSheetId="4" hidden="1">'Phase 2'!$A$4:$R$144</definedName>
    <definedName name="_xlnm._FilterDatabase" localSheetId="5" hidden="1">'Phase 3'!$A$4:$R$66</definedName>
    <definedName name="_xlnm._FilterDatabase" localSheetId="6" hidden="1">'Phase 4'!$A$4:$R$23</definedName>
    <definedName name="_xlnm._FilterDatabase" localSheetId="7" hidden="1">'Phase 5'!$A$4:$R$54</definedName>
    <definedName name="_xlnm._FilterDatabase" localSheetId="8"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Five phases (the blueprint's four, with the INFINEX game split out as Phase 5 on 2026-10-16),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to Phase 5 on 2026-10-20: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INFINEX game integration: the in-game connector, the staging world test, the pilot world, calibrated virtual pricing, and player accounts (email, Google, Apple, authenticator) with a live connection</t>
        </is>
      </c>
      <c r="C9" s="85" t="n">
        <v>50</v>
      </c>
      <c r="D9" s="85" t="n">
        <v>198</v>
      </c>
      <c r="E9" s="86" t="inlineStr">
        <is>
          <t>after the game's staging world exists</t>
        </is>
      </c>
      <c r="F9" s="86" t="inlineStr">
        <is>
          <t>—</t>
        </is>
      </c>
      <c r="G9" s="84" t="inlineStr">
        <is>
          <t>The INFINEX game (not started 2026-10-16), Phase 4's endpoints</t>
        </is>
      </c>
    </row>
    <row r="10">
      <c r="A10" s="89" t="inlineStr">
        <is>
          <t>TOTAL</t>
        </is>
      </c>
      <c r="B10" s="89" t="inlineStr">
        <is>
          <t>Full SponsorX platform</t>
        </is>
      </c>
      <c r="C10" s="89">
        <f>SUM(C5:C9)</f>
        <v/>
      </c>
      <c r="D10" s="89">
        <f>SUM(D5:D9)</f>
        <v/>
      </c>
      <c r="E10" s="89" t="inlineStr">
        <is>
          <t>66–82 weeks</t>
        </is>
      </c>
      <c r="F10" s="89" t="inlineStr">
        <is>
          <t>$350K–$535K</t>
        </is>
      </c>
      <c r="G10"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1–5, identical 18 columns, so they behave the same way.</t>
        </is>
      </c>
    </row>
    <row r="25" ht="27.75" customHeight="1" s="75">
      <c r="A25" s="91" t="inlineStr">
        <is>
          <t>Task IDs</t>
        </is>
      </c>
      <c r="B25" s="92" t="inlineStr">
        <is>
          <t>Phase 1: P{stage}-{CAT}-{nn}, e.g. P4-BE-03. Phases 2–5: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 Phase 5 waits for the INFINEX game.</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5, 5S2-QA-01).</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five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89" t="inlineStr">
        <is>
          <t>TOTAL</t>
        </is>
      </c>
      <c r="B10" s="89">
        <f>SUM(B5:B9)</f>
        <v/>
      </c>
      <c r="C10" s="89">
        <f>SUM(C5:C9)</f>
        <v/>
      </c>
      <c r="D10" s="89">
        <f>SUM(D5:D9)</f>
        <v/>
      </c>
      <c r="E10" s="89">
        <f>SUM(E5:E9)</f>
        <v/>
      </c>
      <c r="F10" s="89">
        <f>SUM(F5:F9)</f>
        <v/>
      </c>
      <c r="G10" s="89">
        <f>SUM(G5:G9)</f>
        <v/>
      </c>
      <c r="H10" s="89">
        <f>SUM(H5:H9)</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Phase 5</t>
        </is>
      </c>
      <c r="G12" s="78" t="inlineStr">
        <is>
          <t>Total</t>
        </is>
      </c>
    </row>
    <row r="13" ht="15" customHeight="1" s="75">
      <c r="A13" s="97" t="inlineStr">
        <is>
          <t>Document</t>
        </is>
      </c>
      <c r="B13" s="81">
        <f>COUNTIF('Phase 1'!$F$5:$F$400,"Document")</f>
        <v/>
      </c>
      <c r="C13" s="81">
        <f>COUNTIF('Phase 2'!$F$5:$F$144,"Document")</f>
        <v/>
      </c>
      <c r="D13" s="81">
        <f>COUNTIF('Phase 3'!$F$5:$F$66,"Document")</f>
        <v/>
      </c>
      <c r="E13" s="81">
        <f>COUNTIF('Phase 4'!$F$5:$F$51,"Document")</f>
        <v/>
      </c>
      <c r="F13" s="81">
        <f>COUNTIF('Phase 5'!$F$5:$F$100,"Document")</f>
        <v/>
      </c>
      <c r="G13" s="81">
        <f>SUM(B13:F13)</f>
        <v/>
      </c>
    </row>
    <row r="14" ht="15" customHeight="1" s="75">
      <c r="A14" s="98" t="inlineStr">
        <is>
          <t>Zoho dashboard</t>
        </is>
      </c>
      <c r="B14" s="81">
        <f>COUNTIF('Phase 1'!$F$5:$F$400,"Zoho dashboard")</f>
        <v/>
      </c>
      <c r="C14" s="81">
        <f>COUNTIF('Phase 2'!$F$5:$F$144,"Zoho dashboard")</f>
        <v/>
      </c>
      <c r="D14" s="81">
        <f>COUNTIF('Phase 3'!$F$5:$F$66,"Zoho dashboard")</f>
        <v/>
      </c>
      <c r="E14" s="81">
        <f>COUNTIF('Phase 4'!$F$5:$F$51,"Zoho dashboard")</f>
        <v/>
      </c>
      <c r="F14" s="81">
        <f>COUNTIF('Phase 5'!$F$5:$F$100,"Zoho dashboard")</f>
        <v/>
      </c>
      <c r="G14" s="81">
        <f>SUM(B14:F14)</f>
        <v/>
      </c>
    </row>
    <row r="15" ht="15" customHeight="1" s="75">
      <c r="A15" s="99" t="inlineStr">
        <is>
          <t>Vendor console</t>
        </is>
      </c>
      <c r="B15" s="81">
        <f>COUNTIF('Phase 1'!$F$5:$F$400,"Vendor console")</f>
        <v/>
      </c>
      <c r="C15" s="81">
        <f>COUNTIF('Phase 2'!$F$5:$F$144,"Vendor console")</f>
        <v/>
      </c>
      <c r="D15" s="81">
        <f>COUNTIF('Phase 3'!$F$5:$F$66,"Vendor console")</f>
        <v/>
      </c>
      <c r="E15" s="81">
        <f>COUNTIF('Phase 4'!$F$5:$F$51,"Vendor console")</f>
        <v/>
      </c>
      <c r="F15" s="81">
        <f>COUNTIF('Phase 5'!$F$5:$F$100,"Vendor console")</f>
        <v/>
      </c>
      <c r="G15" s="81">
        <f>SUM(B15:F15)</f>
        <v/>
      </c>
    </row>
    <row r="16" ht="15" customHeight="1" s="75">
      <c r="A16" s="100" t="inlineStr">
        <is>
          <t>Code</t>
        </is>
      </c>
      <c r="B16" s="81">
        <f>COUNTIF('Phase 1'!$F$5:$F$400,"Code")</f>
        <v/>
      </c>
      <c r="C16" s="81">
        <f>COUNTIF('Phase 2'!$F$5:$F$144,"Code")</f>
        <v/>
      </c>
      <c r="D16" s="81">
        <f>COUNTIF('Phase 3'!$F$5:$F$66,"Code")</f>
        <v/>
      </c>
      <c r="E16" s="81">
        <f>COUNTIF('Phase 4'!$F$5:$F$51,"Code")</f>
        <v/>
      </c>
      <c r="F16" s="81">
        <f>COUNTIF('Phase 5'!$F$5:$F$100,"Code")</f>
        <v/>
      </c>
      <c r="G16" s="81">
        <f>SUM(B16:F16)</f>
        <v/>
      </c>
    </row>
    <row r="17" ht="15" customHeight="1" s="75">
      <c r="A17" s="99" t="inlineStr">
        <is>
          <t>Code + console</t>
        </is>
      </c>
      <c r="B17" s="81">
        <f>COUNTIF('Phase 1'!$F$5:$F$400,"Code + console")</f>
        <v/>
      </c>
      <c r="C17" s="81">
        <f>COUNTIF('Phase 2'!$F$5:$F$144,"Code + console")</f>
        <v/>
      </c>
      <c r="D17" s="81">
        <f>COUNTIF('Phase 3'!$F$5:$F$66,"Code + console")</f>
        <v/>
      </c>
      <c r="E17" s="81">
        <f>COUNTIF('Phase 4'!$F$5:$F$51,"Code + console")</f>
        <v/>
      </c>
      <c r="F17" s="81">
        <f>COUNTIF('Phase 5'!$F$5:$F$100,"Code + console")</f>
        <v/>
      </c>
      <c r="G17" s="81">
        <f>SUM(B17:F17)</f>
        <v/>
      </c>
    </row>
    <row r="18" ht="15" customHeight="1" s="75">
      <c r="A18" s="101" t="inlineStr">
        <is>
          <t>Design tool</t>
        </is>
      </c>
      <c r="B18" s="81">
        <f>COUNTIF('Phase 1'!$F$5:$F$400,"Design tool")</f>
        <v/>
      </c>
      <c r="C18" s="81">
        <f>COUNTIF('Phase 2'!$F$5:$F$144,"Design tool")</f>
        <v/>
      </c>
      <c r="D18" s="81">
        <f>COUNTIF('Phase 3'!$F$5:$F$66,"Design tool")</f>
        <v/>
      </c>
      <c r="E18" s="81">
        <f>COUNTIF('Phase 4'!$F$5:$F$51,"Design tool")</f>
        <v/>
      </c>
      <c r="F18" s="81">
        <f>COUNTIF('Phase 5'!$F$5:$F$100,"Design tool")</f>
        <v/>
      </c>
      <c r="G18" s="81">
        <f>SUM(B18:F18)</f>
        <v/>
      </c>
    </row>
    <row r="19" ht="15" customHeight="1" s="75">
      <c r="A19" s="97" t="inlineStr">
        <is>
          <t>Document + code</t>
        </is>
      </c>
      <c r="B19" s="81">
        <f>COUNTIF('Phase 1'!$F$5:$F$400,"Document + code")</f>
        <v/>
      </c>
      <c r="C19" s="81">
        <f>COUNTIF('Phase 2'!$F$5:$F$144,"Document + code")</f>
        <v/>
      </c>
      <c r="D19" s="81">
        <f>COUNTIF('Phase 3'!$F$5:$F$66,"Document + code")</f>
        <v/>
      </c>
      <c r="E19" s="81">
        <f>COUNTIF('Phase 4'!$F$5:$F$51,"Document + code")</f>
        <v/>
      </c>
      <c r="F19" s="81">
        <f>COUNTIF('Phase 5'!$F$5:$F$100,"Document + code")</f>
        <v/>
      </c>
      <c r="G19" s="81">
        <f>SUM(B19:F19)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4'!$F$5:$F$51,"External · counsel")</f>
        <v/>
      </c>
      <c r="F20" s="81">
        <f>COUNTIF('Phase 5'!$F$5:$F$100,"External · counsel")</f>
        <v/>
      </c>
      <c r="G20" s="81">
        <f>SUM(B20:F20)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41"/>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row r="39">
      <c r="A39" s="74" t="inlineStr">
        <is>
          <t>2026-10-22</t>
        </is>
      </c>
      <c r="B39" s="74" t="n">
        <v>28</v>
      </c>
      <c r="C39" s="74" t="n">
        <v>62</v>
      </c>
      <c r="D39" s="74" t="n">
        <v>25</v>
      </c>
      <c r="E39" s="74" t="n">
        <v>29</v>
      </c>
      <c r="F39" s="74" t="n">
        <v>27</v>
      </c>
      <c r="G39" s="74" t="n">
        <v>19</v>
      </c>
      <c r="H39" s="74" t="n">
        <v>20</v>
      </c>
      <c r="I39" s="74" t="n">
        <v>20</v>
      </c>
      <c r="J39" s="74" t="n">
        <v>30</v>
      </c>
      <c r="K39" s="74" t="n">
        <v>38</v>
      </c>
      <c r="L39" s="74" t="n">
        <v>298</v>
      </c>
      <c r="M39" s="74" t="n">
        <v>23.5</v>
      </c>
    </row>
    <row r="40">
      <c r="A40" s="74" t="inlineStr">
        <is>
          <t>2026-10-23</t>
        </is>
      </c>
      <c r="B40" s="74" t="n">
        <v>28</v>
      </c>
      <c r="C40" s="74" t="n">
        <v>62</v>
      </c>
      <c r="D40" s="74" t="n">
        <v>25</v>
      </c>
      <c r="E40" s="74" t="n">
        <v>29</v>
      </c>
      <c r="F40" s="74" t="n">
        <v>27</v>
      </c>
      <c r="G40" s="74" t="n">
        <v>19</v>
      </c>
      <c r="H40" s="74" t="n">
        <v>20</v>
      </c>
      <c r="I40" s="74" t="n">
        <v>20</v>
      </c>
      <c r="J40" s="74" t="n">
        <v>36</v>
      </c>
      <c r="K40" s="74" t="n">
        <v>38</v>
      </c>
      <c r="L40" s="74" t="n">
        <v>304</v>
      </c>
      <c r="M40" s="74" t="n">
        <v>16.5</v>
      </c>
    </row>
    <row r="41">
      <c r="A41" s="74" t="inlineStr">
        <is>
          <t>2026-10-26</t>
        </is>
      </c>
      <c r="B41" s="74" t="n">
        <v>28</v>
      </c>
      <c r="C41" s="74" t="n">
        <v>62</v>
      </c>
      <c r="D41" s="74" t="n">
        <v>25</v>
      </c>
      <c r="E41" s="74" t="n">
        <v>29</v>
      </c>
      <c r="F41" s="74" t="n">
        <v>27</v>
      </c>
      <c r="G41" s="74" t="n">
        <v>19</v>
      </c>
      <c r="H41" s="74" t="n">
        <v>20</v>
      </c>
      <c r="I41" s="74" t="n">
        <v>20</v>
      </c>
      <c r="J41" s="74" t="n">
        <v>39</v>
      </c>
      <c r="K41" s="74" t="n">
        <v>38</v>
      </c>
      <c r="L41" s="74" t="n">
        <v>307</v>
      </c>
      <c r="M41" s="74" t="n">
        <v>17.5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22"/>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269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 2026-10-24: Zoho production on (key owned by rcfworks, org 4857533000000020005, watch renewed, intel fields created). Edge key and Resend done 2026-10-23. Still open: GEOLITE2_CITY_PATH, BTG_POSTAL_ADDRESS.</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2026-10-23 QA (HeckerCreatives): the ten-document cap counted abandoned starts; now counts documents that arrived (tests/qa-p8-disputes-collab.test.ts). | 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Done</t>
        </is>
      </c>
      <c r="J308" s="108" t="n">
        <v>1</v>
      </c>
      <c r="K308" s="163" t="n">
        <v>46318</v>
      </c>
      <c r="L308" s="163" t="n">
        <v>46318</v>
      </c>
      <c r="M308" s="110" t="inlineStr">
        <is>
          <t>HeckerCreatives</t>
        </is>
      </c>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2026-10-23 QA (HeckerCreatives): browser probe — join/guardian ticks hold; nothing found. | 2026-10-23 DONE (HeckerCreatives): /join shows the rules wording as a second tick for an adult and sends rulesAttestationVersion; a minor sees that the guardian confirms; the guardian set-up page asks for the ward and sends the version; 422 rules_attestation_stale refreshes and asks again. Walked on the local stack. | 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Done</t>
        </is>
      </c>
      <c r="J309" s="108" t="n">
        <v>1</v>
      </c>
      <c r="K309" s="163" t="n">
        <v>46318</v>
      </c>
      <c r="L309" s="163" t="n">
        <v>46318</v>
      </c>
      <c r="M309" s="110" t="inlineStr">
        <is>
          <t>HeckerCreatives</t>
        </is>
      </c>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2026-10-23 QA (HeckerCreatives): open redirect via /\host on ?return fixed; back-nav tick, double-click guard, minor's contradictory 'waits' line fixed. | 2026-10-23 DONE (HeckerCreatives): /athlete/confirmations (GET/POST /me/rules-attestation), the home banner, a minor's own login reads that the guardian confirms; requireRulesAttestation switch on /admin/new-signups/rules. A 409 rules_attestation_required on accept links to the page. Walked: confirm + switch on/off. | 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Done</t>
        </is>
      </c>
      <c r="J310" s="108" t="n">
        <v>2</v>
      </c>
      <c r="K310" s="163" t="n">
        <v>46318</v>
      </c>
      <c r="L310" s="163" t="n">
        <v>46318</v>
      </c>
      <c r="M310" s="110" t="inlineStr">
        <is>
          <t>HeckerCreatives</t>
        </is>
      </c>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2026-10-23 QA (HeckerCreatives): viewer clipped by backdrop-filter, mobile document rows, typo'd order id wording, malformed id role message, double-click guard fixed; pause joins now read OPEN+DOCUMENTS_IN. | 2026-10-23 DONE (HeckerCreatives): /admin/deal-disputes list + detail, open from the campaign roster or by order id, audited document viewer, Resume/Cancel with a note; /finance/deal-disputes read-only; paused roster rows and HELD earnings (admin Finance Workspace, Treasury) show why. Walked end to end. | 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Done</t>
        </is>
      </c>
      <c r="J311" s="108" t="n">
        <v>1</v>
      </c>
      <c r="K311" s="163" t="n">
        <v>46318</v>
      </c>
      <c r="L311" s="163" t="n">
        <v>46318</v>
      </c>
      <c r="M311" s="110" t="inlineStr">
        <is>
          <t>HeckerCreatives</t>
        </is>
      </c>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2026-10-23 QA (HeckerCreatives): 13,000 px overflow on a long concern, Confirm-now overlap, athlete upload 403 wording fixed. | 2026-10-23 DONE (HeckerCreatives): the athlete's order joins GET /deal-disputes: pause banner, the concern, what BTG asked for, documents (presigned upload + confirm, 10 MB, 10 max), the outcome; 409 deal_paused on accept and deliverable moves says why; a guardian acting for a minor can accept. Walked: upload + resume. | 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Done</t>
        </is>
      </c>
      <c r="J312" s="108" t="n">
        <v>1</v>
      </c>
      <c r="K312" s="163" t="n">
        <v>46316</v>
      </c>
      <c r="L312" s="163" t="n">
        <v>46316</v>
      </c>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2026-10-23 QA (HeckerCreatives): POST /agreements/accept let a sponsor/BTG admin accept COLLAB (201 + audit row); refused now unless the actor is the athlete or the guardian acting. | 2026-10-21 DONE (rcfworks): merged in #276, acceptance met (CI green). | 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Done</t>
        </is>
      </c>
      <c r="J313" s="108" t="n">
        <v>1</v>
      </c>
      <c r="K313" s="163" t="n">
        <v>46317</v>
      </c>
      <c r="L313" s="163" t="n">
        <v>46318</v>
      </c>
      <c r="M313" s="110" t="inlineStr">
        <is>
          <t>rcfworks, HeckerCreatives</t>
        </is>
      </c>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2026-10-23 QA (HeckerCreatives): backend — anyone with agreement.write could accept the collab agreement; now the athlete's (or guardian acting) only. | 2026-10-23 DONE (HeckerCreatives): the portal half — /athlete/confirmations accepts the current agreement (GET /me/collab-agreement, POST /agreements/accept); requireCollabAcceptance switch on sign-up settings; /join reloads the text on not_collab_agreement or the uncoded text-changed 409 and sends signer headers. Wording half by rcfworks 2026-10-22. | Wording and recording done 2026-10-22 (rcfworks, at the user's request): /join shows the served v2 agreement and sends its id and hash. Still open: the athlete-portal prompt and the requireCollabAcceptance switch.</t>
        </is>
      </c>
    </row>
    <row r="314" s="75">
      <c r="A314" s="104" t="n">
        <v>157.76</v>
      </c>
      <c r="B314" s="105" t="inlineStr">
        <is>
          <t>P8-BE-05</t>
        </is>
      </c>
      <c r="C314" s="81" t="n">
        <v>8</v>
      </c>
      <c r="D314" s="82" t="inlineStr">
        <is>
          <t>Integration, Hardening &amp; Launch</t>
        </is>
      </c>
      <c r="E314" s="139" t="inlineStr">
        <is>
          <t>BE</t>
        </is>
      </c>
      <c r="F314" s="120" t="inlineStr">
        <is>
          <t>Code</t>
        </is>
      </c>
      <c r="G314" s="80" t="inlineStr">
        <is>
          <t>A fan's email is deleted after 90 days</t>
        </is>
      </c>
      <c r="H314" s="107" t="inlineStr">
        <is>
          <t>Raised 2026-10-21: a gap found while drafting P0-LEG-04 — a fan's optional email was kept forever. Owner's decision: 90 days.</t>
        </is>
      </c>
      <c r="I314" s="108" t="inlineStr">
        <is>
          <t>Done</t>
        </is>
      </c>
      <c r="J314" s="108" t="n">
        <v>0.5</v>
      </c>
      <c r="K314" s="163" t="n">
        <v>46316</v>
      </c>
      <c r="L314" s="163" t="n">
        <v>46316</v>
      </c>
      <c r="M314" s="110" t="inlineStr">
        <is>
          <t>rcfworks</t>
        </is>
      </c>
      <c r="N314" s="81" t="n">
        <v>0</v>
      </c>
      <c r="O314" s="80" t="n"/>
      <c r="P314" s="80" t="inlineStr">
        <is>
          <t>90 days after the claim every copy SponsorX holds is gone (the claim's, the sent-email log's, the queued-email record's) and nothing newer or of another kind; the consent record and counts stay; each tenant's sweep audited, a second finds nothing; an old unsubscribe link still answers done</t>
        </is>
      </c>
      <c r="Q314" s="82" t="inlineStr">
        <is>
          <t>§16, §26</t>
        </is>
      </c>
      <c r="R314" s="111" t="inlineStr">
        <is>
          <t>2026-10-21 DONE (rcfworks): merged in #276, acceptance met (CI green). | 2026-10-21 (rcfworks): fan-data-retention.ts, run hourly by the worker's retention job; unsubscribe answers without reading an address (fan-pii.test.ts). tests/fan-data-retention.test.ts. A lead already in BTG's Zoho is outside SponsorX.</t>
        </is>
      </c>
    </row>
    <row r="315" s="75">
      <c r="A315" s="104" t="n">
        <v>157.77</v>
      </c>
      <c r="B315" s="105" t="inlineStr">
        <is>
          <t>P8-BE-06</t>
        </is>
      </c>
      <c r="C315" s="81" t="n">
        <v>8</v>
      </c>
      <c r="D315" s="82" t="inlineStr">
        <is>
          <t>Integration, Hardening &amp; Launch</t>
        </is>
      </c>
      <c r="E315" s="139" t="inlineStr">
        <is>
          <t>BE</t>
        </is>
      </c>
      <c r="F315" s="120" t="inlineStr">
        <is>
          <t>Code</t>
        </is>
      </c>
      <c r="G315" s="80" t="inlineStr">
        <is>
          <t>A team's or venue's terms acceptance keeps the IP and browser</t>
        </is>
      </c>
      <c r="H315" s="107" t="inlineStr">
        <is>
          <t>Raised 2026-10-21: a gap found while drafting 2S0-LEG-01 — an organisation's terms acceptance saved only the version, fingerprint and time; every other acceptance also keeps the IP and browser and is audited.</t>
        </is>
      </c>
      <c r="I315" s="108" t="inlineStr">
        <is>
          <t>Done</t>
        </is>
      </c>
      <c r="J315" s="108" t="n">
        <v>0.5</v>
      </c>
      <c r="K315" s="163" t="n">
        <v>46316</v>
      </c>
      <c r="L315" s="163" t="n">
        <v>46316</v>
      </c>
      <c r="M315" s="110" t="inlineStr">
        <is>
          <t>rcfworks</t>
        </is>
      </c>
      <c r="N315" s="81" t="n">
        <v>0</v>
      </c>
      <c r="O315" s="80" t="n"/>
      <c r="P315" s="80" t="inlineStr">
        <is>
          <t>The terms step records the request's IP and browser on the onboarding row beside the fingerprint and time; it is audited like every other acceptance (which terms, version, fingerprint); a stale version is still refused; past acceptances are left without evidence rather than given invented evidence</t>
        </is>
      </c>
      <c r="Q315" s="82" t="inlineStr">
        <is>
          <t>§12</t>
        </is>
      </c>
      <c r="R315" s="111" t="inlineStr">
        <is>
          <t>2026-10-21 DONE (rcfworks): merged in #277, main CI green incl. e2e, deployed to staging. | 2026-10-21 (rcfworks): PropertyOnboarding.termsIp/termsUserAgent (migration 20261021120000); saveStep takes the request's evidence and audits agreement.accept. tests/property-onboarding.test.ts.</t>
        </is>
      </c>
    </row>
    <row r="316" s="75">
      <c r="A316" s="104" t="n">
        <v>157.78</v>
      </c>
      <c r="B316" s="105" t="inlineStr">
        <is>
          <t>P8-OPS-03</t>
        </is>
      </c>
      <c r="C316" s="81" t="n">
        <v>8</v>
      </c>
      <c r="D316" s="82" t="inlineStr">
        <is>
          <t>Integration, Hardening &amp; Launch</t>
        </is>
      </c>
      <c r="E316" s="139" t="inlineStr">
        <is>
          <t>OPS</t>
        </is>
      </c>
      <c r="F316" s="120" t="inlineStr">
        <is>
          <t>Code</t>
        </is>
      </c>
      <c r="G316" s="80" t="inlineStr">
        <is>
          <t>Stripe and Zoho webhooks reach production's private API</t>
        </is>
      </c>
      <c r="H316" s="107" t="inlineStr">
        <is>
          <t>Raised 2026-10-21 preparing Stripe go-live: production's API has no public address and sponsorx.net forwarded only three paths, so Stripe's and Zoho's webhooks could never reach it — a card payment would succeed at Stripe and the order never turn PAID. Staging hid it (its API is public).</t>
        </is>
      </c>
      <c r="I316" s="108" t="inlineStr">
        <is>
          <t>Code review</t>
        </is>
      </c>
      <c r="J316" s="108" t="n">
        <v>0.5</v>
      </c>
      <c r="K316" s="163" t="n">
        <v>46316</v>
      </c>
      <c r="L316" s="163" t="n"/>
      <c r="M316" s="110" t="inlineStr">
        <is>
          <t>rcfworks</t>
        </is>
      </c>
      <c r="N316" s="81" t="n">
        <v>0</v>
      </c>
      <c r="O316" s="80" t="n"/>
      <c r="P316" s="80" t="inlineStr">
        <is>
          <t>sponsorx.net forwards exactly /api/v1/webhooks/payments/stripe, /zoho/invoice and /zoho/crm to the private API untouched; the API's signature checks pass on a forwarded signed delivery and refuse a bad one; nothing else forwarded, no wildcards; the Stripe go-live steps name the production URL</t>
        </is>
      </c>
      <c r="Q316" s="82" t="inlineStr">
        <is>
          <t>§18, §38</t>
        </is>
      </c>
      <c r="R316" s="111" t="inlineStr">
        <is>
          <t>2026-10-21 (rcfworks): frontend/next.config.ts WEBHOOK_PATHS, pinned by frontend/tests/security-review.test.ts; SponsorX-Stripe-Integration.md §3/§6.</t>
        </is>
      </c>
    </row>
    <row r="317" s="75">
      <c r="A317" s="104" t="n">
        <v>157.79</v>
      </c>
      <c r="B317" s="105" t="inlineStr">
        <is>
          <t>P8-BE-07</t>
        </is>
      </c>
      <c r="C317" s="81" t="n">
        <v>8</v>
      </c>
      <c r="D317" s="82" t="inlineStr">
        <is>
          <t>Integration, Hardening &amp; Launch</t>
        </is>
      </c>
      <c r="E317" s="139" t="inlineStr">
        <is>
          <t>BE</t>
        </is>
      </c>
      <c r="F317" s="120" t="inlineStr">
        <is>
          <t>Code</t>
        </is>
      </c>
      <c r="G317" s="80" t="inlineStr">
        <is>
          <t>Issue the approved legal wording in the app</t>
        </is>
      </c>
      <c r="H317" s="107" t="inlineStr">
        <is>
          <t>Raised 2026-10-22, when the legal drafts in the SponsorX Legal folder (documents 1–7) were approved by rcfworks with Rodney's delegated authority. What people accept is fingerprinted, so the approved words become v2 of each agreement: Content Collaboration Agreement, Campaign Order, Guardian Agreement, Marketplace Seller and Payout Terms, Marketplace Order Terms. Every loader registers the newest file on first use. The fan page's consent boxes are re-versioned 2026-10-22, with the sponsor named in box 2. Also new: the notice under the button, the fan email footer, the fan privacy notice (GET /public/fan-privacy) and the 'Campaign Results Report' title and foot note. Governing law is left out until BTG names it (a v3). BTG's postal address is a go-live switch (BTG_POSTAL_ADDRESS).</t>
        </is>
      </c>
      <c r="I317" s="108" t="inlineStr">
        <is>
          <t>Done</t>
        </is>
      </c>
      <c r="J317" s="108" t="n">
        <v>1</v>
      </c>
      <c r="K317" s="163" t="n">
        <v>46317</v>
      </c>
      <c r="L317" s="163" t="n">
        <v>46317</v>
      </c>
      <c r="M317" s="110" t="inlineStr">
        <is>
          <t>rcfworks</t>
        </is>
      </c>
      <c r="N317" s="81" t="n">
        <v>1</v>
      </c>
      <c r="O317" s="80" t="inlineStr">
        <is>
          <t>P0-LEG-01…06, 2S0-LEG-01, 2S0-LEG-02, 3S0-LEG-01 (all approved 2026-10-22)</t>
        </is>
      </c>
      <c r="P317" s="80" t="inlineStr">
        <is>
          <t>Every agreement has an approved v2 with no counsel brackets, draft banners or blanks (v1 kept). v2 is in force for every tenant without a manual step. The fan wording is re-versioned, with the notice, footer and privacy notice served by the API. The rendered report is the Campaign Results Report with the approved foot note. Full backend suite green.</t>
        </is>
      </c>
      <c r="Q317" s="82" t="inlineStr">
        <is>
          <t>§12, §16, §22, §26</t>
        </is>
      </c>
      <c r="R317" s="111" t="inlineStr">
        <is>
          <t>Tests: approved-legal-wording.test.ts; suites that pinned v1 now read the version in force (tests/support/agreements.ts).</t>
        </is>
      </c>
    </row>
    <row r="318" s="75">
      <c r="A318" s="104" t="n">
        <v>157.94</v>
      </c>
      <c r="B318" s="105" t="inlineStr">
        <is>
          <t>P8-FE-08</t>
        </is>
      </c>
      <c r="C318" s="81" t="n">
        <v>8</v>
      </c>
      <c r="D318" s="82" t="inlineStr">
        <is>
          <t>Integration, Hardening &amp; Launch</t>
        </is>
      </c>
      <c r="E318" s="139" t="inlineStr">
        <is>
          <t>FE</t>
        </is>
      </c>
      <c r="F318" s="120" t="inlineStr">
        <is>
          <t>Code</t>
        </is>
      </c>
      <c r="G318" s="80" t="inlineStr">
        <is>
          <t>Show the approved fan-page and results wording</t>
        </is>
      </c>
      <c r="H318" s="107" t="inlineStr">
        <is>
          <t>Raised with P8-BE-07 (2026-10-22). Fan reward page: show `notice` and `eligibilityCheck`, the email-field label, and a link to the fan privacy notice. Unsubscribe confirmation page: the approved wording. Guardian set-up page: the approved acceptance box. Sponsor results screen and report page: the approved labels, captions and foot note, retitled Campaign Results Report with no 'ROI'.</t>
        </is>
      </c>
      <c r="I318" s="108" t="inlineStr">
        <is>
          <t>Done</t>
        </is>
      </c>
      <c r="J318" s="108" t="n">
        <v>1</v>
      </c>
      <c r="K318" s="163" t="n">
        <v>46317</v>
      </c>
      <c r="L318" s="163" t="n">
        <v>46317</v>
      </c>
      <c r="M318" s="110" t="inlineStr">
        <is>
          <t>rcfworks</t>
        </is>
      </c>
      <c r="N318" s="81" t="n">
        <v>0</v>
      </c>
      <c r="O318" s="80" t="inlineStr">
        <is>
          <t>P8-BE-07</t>
        </is>
      </c>
      <c r="P318" s="80" t="inlineStr">
        <is>
          <t>Each screen shows the approved words, taken from the API where the API serves them. No sponsor screen says 'ROI'.</t>
        </is>
      </c>
      <c r="Q318" s="82" t="inlineStr">
        <is>
          <t>§16, §22, Legal folder documents 3 and 5</t>
        </is>
      </c>
      <c r="R318" s="111" t="inlineStr">
        <is>
          <t>Done 2026-10-22 (rcfworks, at the user's request): fan page notice, eligibility check, email label, /r/privacy page, unsubscribe wording, guardian acceptance line (handoff page now shows the served agreement), no 'ROI' on sponsor screens, confidence caption and results foot note. Merged in #287 with all four CI checks green.</t>
        </is>
      </c>
    </row>
    <row r="319" s="75">
      <c r="A319" s="104" t="n">
        <v>157.95</v>
      </c>
      <c r="B319" s="105" t="inlineStr">
        <is>
          <t>P8-SEC-04</t>
        </is>
      </c>
      <c r="C319" s="81" t="n">
        <v>8</v>
      </c>
      <c r="D319" s="82" t="inlineStr">
        <is>
          <t>Integration, Hardening &amp; Launch</t>
        </is>
      </c>
      <c r="E319" s="139" t="inlineStr">
        <is>
          <t>SEC</t>
        </is>
      </c>
      <c r="F319" s="120" t="inlineStr">
        <is>
          <t>Code</t>
        </is>
      </c>
      <c r="G319" s="80" t="inlineStr">
        <is>
          <t>Patch the Next.js and DOMPurify advisories</t>
        </is>
      </c>
      <c r="H319" s="107" t="inlineStr">
        <is>
          <t>Raised 2026-10-23: new advisories turned CI red on every branch. Next.js 16.3.8 had two critical unauthenticated RCEs (GHSA-2464-fhr4-w9xw, GHSA-673q-mjm6-r5xr) and a high DoS (GHSA-p3m5-59mp-jv5r); DOMPurify 3.4.16, via jspdf, one critical and one high. Upgraded next and eslint-config-next to 16.4.2 and dompurify to 3.4.17.</t>
        </is>
      </c>
      <c r="I319" s="108" t="inlineStr">
        <is>
          <t>Done</t>
        </is>
      </c>
      <c r="J319" s="108" t="n">
        <v>0.5</v>
      </c>
      <c r="K319" s="163" t="n">
        <v>46318</v>
      </c>
      <c r="L319" s="163" t="n">
        <v>46318</v>
      </c>
      <c r="M319" s="110" t="inlineStr">
        <is>
          <t>rcfworks</t>
        </is>
      </c>
      <c r="N319" s="81" t="n">
        <v>0</v>
      </c>
      <c r="O319" s="80" t="n"/>
      <c r="P319" s="80" t="inlineStr">
        <is>
          <t>npm run audit:check is clean; builds, lint and every frontend, backend and runnable e2e test pass; staging and production run the patched build.</t>
        </is>
      </c>
      <c r="Q319" s="82" t="inlineStr">
        <is>
          <t>§26</t>
        </is>
      </c>
      <c r="R319" s="111" t="inlineStr">
        <is>
          <t>Merged in #292, synced to main in #293 (all CI green). Deployed to staging and production at 38f800e, 2026-10-23 11:55 UTC; both healthy.</t>
        </is>
      </c>
    </row>
    <row r="320" s="75">
      <c r="A320" s="104" t="n">
        <v>157.96</v>
      </c>
      <c r="B320" s="105" t="inlineStr">
        <is>
          <t>P8-OPS-04</t>
        </is>
      </c>
      <c r="C320" s="81" t="n">
        <v>8</v>
      </c>
      <c r="D320" s="82" t="inlineStr">
        <is>
          <t>Integration, Hardening &amp; Launch</t>
        </is>
      </c>
      <c r="E320" s="139" t="inlineStr">
        <is>
          <t>OPS</t>
        </is>
      </c>
      <c r="F320" s="120" t="inlineStr">
        <is>
          <t>Code + console</t>
        </is>
      </c>
      <c r="G320" s="80" t="inlineStr">
        <is>
          <t>Zoho Books sends invoice changes to SponsorX</t>
        </is>
      </c>
      <c r="H320" s="107" t="inlineStr">
        <is>
          <t>Raised 2026-10-25: SponsorX's invoice webhook had no caller, because the Books workflow planned on 2026-10-02 was never built. Built in Books org The Coffee Stage: the CRM Deal ID invoice field, the custom function sponsorx_send_invoice (signed with ZOHO_WEBHOOK_SECRET) and the workflow rule Send to SponsorX.</t>
        </is>
      </c>
      <c r="I320" s="108" t="inlineStr">
        <is>
          <t>Done</t>
        </is>
      </c>
      <c r="J320" s="108" t="n">
        <v>0.5</v>
      </c>
      <c r="K320" s="163" t="n">
        <v>46320</v>
      </c>
      <c r="L320" s="163" t="n">
        <v>46320</v>
      </c>
      <c r="M320" s="110" t="inlineStr">
        <is>
          <t>rcfworks</t>
        </is>
      </c>
      <c r="N320" s="81" t="inlineStr">
        <is>
          <t>0</t>
        </is>
      </c>
      <c r="O320" s="80" t="n"/>
      <c r="P320" s="80" t="inlineStr">
        <is>
          <t>A draft, a sent and a paid invoice each reach staging signed and APPLIED; staging's copy follows draft -&gt; sent -&gt; paid; a paid invoice carries its paid date</t>
        </is>
      </c>
      <c r="Q320" s="82" t="inlineStr">
        <is>
          <t>§18</t>
        </is>
      </c>
      <c r="R320" s="111" t="inlineStr">
        <is>
          <t>Done 2026-10-25 (rcfworks). Tested on staging with INV-000001 (deal 7554807000012994002): draft, sent and paid each arrived signed and APPLIED, and the order invoice went draft -&gt; sent -&gt; paid. Paid date fixed: the function reads the full invoice when the workflow copy has no last_payment_date; the retest at 04:32 UTC carried paidAt 2026-10-25. Not shown: AWAITING_PAYMENT -&gt; PAID (the test order was already PAID).</t>
        </is>
      </c>
    </row>
    <row r="321" s="75">
      <c r="A321" s="104" t="n">
        <v>157.97</v>
      </c>
      <c r="B321" s="105" t="inlineStr">
        <is>
          <t>P8-SEC-05</t>
        </is>
      </c>
      <c r="C321" s="81" t="n">
        <v>8</v>
      </c>
      <c r="D321" s="82" t="inlineStr">
        <is>
          <t>Integration, Hardening &amp; Launch</t>
        </is>
      </c>
      <c r="E321" s="139" t="inlineStr">
        <is>
          <t>SEC</t>
        </is>
      </c>
      <c r="F321" s="120" t="inlineStr">
        <is>
          <t>Code</t>
        </is>
      </c>
      <c r="G321" s="80" t="inlineStr">
        <is>
          <t>Patch the body-parser, zod and fast-uri advisories</t>
        </is>
      </c>
      <c r="H321" s="107" t="inlineStr">
        <is>
          <t>Raised 2026-10-25: new advisories turned CI's dependency scan red on every branch. body-parser 2.3.0 (high, production, via express), zod 4.6.5 (high, production), fast-uri 3.1.8 (moderate x4, dev only).</t>
        </is>
      </c>
      <c r="I321" s="108" t="inlineStr">
        <is>
          <t>Done</t>
        </is>
      </c>
      <c r="J321" s="108" t="n">
        <v>0.5</v>
      </c>
      <c r="K321" s="163" t="n">
        <v>46320</v>
      </c>
      <c r="L321" s="163" t="n">
        <v>46320</v>
      </c>
      <c r="M321" s="110" t="inlineStr">
        <is>
          <t>rcfworks</t>
        </is>
      </c>
      <c r="N321" s="81" t="inlineStr">
        <is>
          <t>0</t>
        </is>
      </c>
      <c r="O321" s="80" t="n"/>
      <c r="P321" s="80" t="inlineStr">
        <is>
          <t>npm run audit:check is clean; builds, lint and every frontend, backend and runnable e2e test pass; staging and production run the patched build</t>
        </is>
      </c>
      <c r="Q321" s="82" t="inlineStr">
        <is>
          <t>§26</t>
        </is>
      </c>
      <c r="R321" s="111" t="inlineStr">
        <is>
          <t>Done 2026-10-25 (rcfworks): #298, synced in #299. body-parser 2.4.0, zod 4.6.7, fast-uri 3.1.9. Local: FE 1,681, BE 3,511, e2e 31 pass. CI pinned to ubuntu-24.04 (Playwright 1.63 can't install Chromium on 26.04). release -&gt; a87b4713; all four services deployed; staging runs zod@4.6.7 / body-parser@2.4.0; health, /join, webhooks (401) and protected API (401) checked in both environments.</t>
        </is>
      </c>
    </row>
    <row r="322">
      <c r="A322" s="104" t="n">
        <v>157.98</v>
      </c>
      <c r="B322" s="105" t="inlineStr">
        <is>
          <t>P8-FE-09</t>
        </is>
      </c>
      <c r="C322" s="81" t="n">
        <v>8</v>
      </c>
      <c r="D322" s="82" t="inlineStr">
        <is>
          <t>Integration, Hardening &amp; Launch</t>
        </is>
      </c>
      <c r="E322" s="139" t="inlineStr">
        <is>
          <t>FE</t>
        </is>
      </c>
      <c r="F322" s="120" t="inlineStr">
        <is>
          <t>Code</t>
        </is>
      </c>
      <c r="G322" s="80" t="inlineStr">
        <is>
          <t>Fix the screen findings from the tester-guide dry run</t>
        </is>
      </c>
      <c r="H322" s="107" t="inlineStr">
        <is>
          <t>Raised 2026-10-26 from the tester-guide dry run on staging. Seven screen problems: (1) a real campaign's results page had no PDF / Excel export, only the samples did; (2) the home page's 'Trusted by leading brands' strip showed the mockup's brands (Nike, adidas, Red Bull, Monster Energy, Under Armour) as if they were partners; (3) 'Postgres · read &lt;time&gt;' showed on athlete pages; (4) the offer title said the sponsor twice when the campaign name starts with it; (5) BTG's approvals desk called a PNG draft 'Video · v1'; (6) 'This goes live as soon as the checks pass.' appeared twice under Submit on a new listing; (7) the admin's order view said 'Complete' while the athlete's page still said 'Published — BTG verifying'.</t>
        </is>
      </c>
      <c r="I322" s="108" t="inlineStr">
        <is>
          <t>Code review</t>
        </is>
      </c>
      <c r="J322" s="108" t="n">
        <v>1</v>
      </c>
      <c r="K322" s="163" t="n">
        <v>46321</v>
      </c>
      <c r="L322" s="163" t="n"/>
      <c r="M322" s="110" t="inlineStr">
        <is>
          <t>HeckerCreatives</t>
        </is>
      </c>
      <c r="N322" s="81" t="inlineStr">
        <is>
          <t>0</t>
        </is>
      </c>
      <c r="O322" s="80" t="n"/>
      <c r="P322" s="80" t="inlineStr">
        <is>
          <t>A real campaign's results page exports a PDF and an Excel workbook from its own report read, with reach by source kept apart; the home page shows no brand that hasn't agreed to be named; no athlete page names the database; each finding is fixed and covered by a test where the logic allows.</t>
        </is>
      </c>
      <c r="Q322" s="82" t="inlineStr">
        <is>
          <t>§9, §21, §22</t>
        </is>
      </c>
      <c r="R322" s="111" t="inlineStr">
        <is>
          <t>2026-10-27 QA pass 4 (HeckerCreatives): found local node_modules predated P8-SEC-04/05 (next 16.3.8 vs 16.4.2 etc.) - npm ci, all checks re-run on the lockfile versions. Production build (next start) against the api container (boots with the shared env; OpenAPI lists /public/network-stats as public): walk 5/5, 0 console errors; axe on changed pages found only a pre-existing &lt;dl&gt; issue in the Arena tiles. Third review: stale comments, dead fixtures/buildReportFunnel, a vacuous test, untested Complete rule (now orderJourney + tests), route test for the public endpoint, docs updated. FE 1,712 / BE 3,503 (4 Windows-only); Next 16.4.2 build and lint clean. | 2026-10-26 QA pass 3 (HeckerCreatives): team e2e (public, public-links, landing-city, redeem-flow, P4/P5/P7 loops, marketplace-path) 35 passed; 2 blocked by the Clerk dev user cap, 2 first-compile timeouts passed on re-run. Checked tenant scope and the rate limit of /public/network-stats, viewer-timezone 'Updated' pill, hung-API timeout, property draft listing. Fixed: sample roster 'demo' job; campaignAfterSponsor on punctuation; approvals card 'job' label; internal names in demo views; sample report now exports through campaign-results labelled (sample), old fixture export deleted. FE 1,707 / BE 3,498 tests; build and lint clean. | 2026-10-26 QA pass 2 (HeckerCreatives): independent code review + wider walk (20 athlete pages desktop/phone, approvals edge cases, Complete flipping as posts verify, listing editor, student/advisor/public pages, console errors). Fixed: untyped uploads no longer called images; 'Postgres' removed for sponsors, public property page, student and advisor portals; sponsor roster duplicate React key (rows keyed by athlete+job, job shown, in export too); sponsor name no longer repeated on athlete list sub-lines or the admin approvals drawer; 'goes live' said once on listing pages (athlete and property). FE 1,704 / BE 3,499 tests (4 Windows-only files fail); build and lint clean; walk 6/6, 0 console errors. | 2026-10-26 follow-up (HeckerCreatives): QA findings fixed. Home 'Real Impact' card, closing 'The numbers' panel and /login figures now read GET /public/network-stats (athletes ACTIVE+FEATURED, campaigns COMPLETED, deliverables VERIFIED, rewards REDEEMED; zeros left out, hidden with no read; 'Attributed fan value' dropped, no source); docker-compose worker shares the api's env (was crash-looping on missing Clerk keys); unused variable removed, lint clean. FE 1,701 / BE 3,499 tests; build passes; walked live with the API up and down. Open for the owner: the home page's Featured athletes panel still shows sample athletes. | 2026-10-26 QA (HeckerCreatives): root build and lint pass; FE 1,694 tests; BE 3,497 pass on sponsorx_test (only the four known Windows-only files fail). Playwright walk as QA athlete, admin and sponsor on seeded qa_fe09_* rows (removed after) confirmed all seven fixes, incl. a real PDF and XLSX download. Found and fixed in QA: two 'POSTGRES' chips on athlete earnings (now 'SponsorX records'); the PDF's cost per 1,000 now prints cents like the screen. Not deployed. | 2026-10-26 (HeckerCreatives): on branch fix/P8-FE-09-dry-run-screen-findings. Real-campaign export built from GET /campaigns/{id}/report (campaign-results-report.ts + PDF/XLSX renderers); trustedBrands emptied and the strip hidden while empty; athlete pills read 'Updated &lt;time&gt;' (ArenaUpdated); campaignWithSponsor drops a repeated sponsor; GET /deliverables sends latestAsset.contentType and the desk names the upload's kind; duplicate listing sentence removed; GET /campaigns/{id}/ops sends a per-athlete verified count and 'Complete' waits for it. Frontend build, lint and 1,694 tests pass; backend typecheck and the ops / deliverables read tests pass.</t>
        </is>
      </c>
    </row>
  </sheetData>
  <autoFilter ref="A4:R322"/>
  <mergeCells count="2">
    <mergeCell ref="A2:R2"/>
    <mergeCell ref="A1:R1"/>
  </mergeCells>
  <conditionalFormatting sqref="I5:I322">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22">
    <cfRule type="expression" rank="0" priority="7" equalAverage="0" aboveAverage="0" dxfId="32" text="" percent="0" bottom="0">
      <formula>$I5="Done"</formula>
    </cfRule>
  </conditionalFormatting>
  <conditionalFormatting sqref="N5:N322">
    <cfRule type="cellIs" rank="0" priority="8" equalAverage="0" operator="greaterThanOrEqual" aboveAverage="0" dxfId="33" text="" percent="0" bottom="0">
      <formula>50</formula>
    </cfRule>
  </conditionalFormatting>
  <dataValidations count="1">
    <dataValidation sqref="I5:I322"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to Phase 5 on 2026-10-20 (the game is parked).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5S1-INT-02.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5S1-INT-02.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5S1-INT-03.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5S1-INT-03.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Phase 5 (the former UAT is 5S8-PMO-01).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t>
        </is>
      </c>
    </row>
    <row r="6" ht="32.8" customHeight="1" s="75">
      <c r="A6" s="104" t="n">
        <v>2</v>
      </c>
      <c r="B6" s="105" t="inlineStr">
        <is>
          <t>5S1-INT-02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5S1-INT-01, 4S3-INT-02</t>
        </is>
      </c>
      <c r="P6" s="80" t="inlineStr">
        <is>
          <t>The game reports its heartbeat and SponsorX raises an alert when it stops</t>
        </is>
      </c>
      <c r="Q6" s="82" t="inlineStr">
        <is>
          <t>Spec §28, §30</t>
        </is>
      </c>
      <c r="R6" s="111" t="inlineStr">
        <is>
          <t>Game half of 4S3-INT-02 (split 2026-10-16).</t>
        </is>
      </c>
    </row>
    <row r="7" ht="32.8" customHeight="1" s="75">
      <c r="A7" s="104" t="n">
        <v>3</v>
      </c>
      <c r="B7" s="105" t="inlineStr">
        <is>
          <t>5S1-INT-03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5S1-INT-01, 4S3-INT-03</t>
        </is>
      </c>
      <c r="P7" s="80" t="inlineStr">
        <is>
          <t>The game reads its config remotely and honours telemetry limits</t>
        </is>
      </c>
      <c r="Q7" s="82" t="inlineStr">
        <is>
          <t>Spec §28</t>
        </is>
      </c>
      <c r="R7" s="111" t="inlineStr">
        <is>
          <t>Game half of 4S3-INT-03 (split 2026-10-16).</t>
        </is>
      </c>
    </row>
    <row r="8" ht="32.8" customHeight="1" s="75">
      <c r="A8" s="104" t="n">
        <v>4</v>
      </c>
      <c r="B8" s="105" t="inlineStr">
        <is>
          <t>5S1-QA-01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5S1-INT-01</t>
        </is>
      </c>
      <c r="P8" s="80" t="inlineStr">
        <is>
          <t>Placement passes the staging test before it can be marked available</t>
        </is>
      </c>
      <c r="Q8" s="82" t="inlineStr">
        <is>
          <t>Spec §27.1</t>
        </is>
      </c>
      <c r="R8" s="111" t="inlineStr">
        <is>
          <t>Formerly 4S3-QA-01 (moved 2026-10-16).</t>
        </is>
      </c>
    </row>
    <row r="9" ht="32.8" customHeight="1" s="75">
      <c r="A9" s="104" t="n">
        <v>5</v>
      </c>
      <c r="B9" s="105" t="inlineStr">
        <is>
          <t>5S2-QA-01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5S1-INT-01, 5S4-OPS-02</t>
        </is>
      </c>
      <c r="P9" s="80" t="inlineStr">
        <is>
          <t>Telemetry reconciles between client and server within defined tolerance</t>
        </is>
      </c>
      <c r="Q9" s="82" t="inlineStr">
        <is>
          <t>Spec §33</t>
        </is>
      </c>
      <c r="R9" s="111" t="inlineStr">
        <is>
          <t>Formerly 4S9-QA-01 (moved 2026-10-16).</t>
        </is>
      </c>
    </row>
    <row r="10" ht="32.8" customHeight="1" s="75">
      <c r="A10" s="104" t="n">
        <v>6</v>
      </c>
      <c r="B10" s="105" t="inlineStr">
        <is>
          <t>5S2-PMO-01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5S2-QA-01</t>
        </is>
      </c>
      <c r="P10" s="80" t="inlineStr">
        <is>
          <t>Virtual rates recalibrated against observed traffic, viewability and dwell</t>
        </is>
      </c>
      <c r="Q10" s="82" t="inlineStr">
        <is>
          <t>Spec §32</t>
        </is>
      </c>
      <c r="R10" s="111" t="inlineStr">
        <is>
          <t>Formerly 4S9-PMO-01 (moved 2026-10-16).</t>
        </is>
      </c>
    </row>
    <row r="11" ht="32.8" customHeight="1" s="75">
      <c r="A11" s="104" t="n">
        <v>7</v>
      </c>
      <c r="B11" s="105" t="inlineStr">
        <is>
          <t>5S2-PMO-02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5S2-QA-01, 5S3-QA-01</t>
        </is>
      </c>
      <c r="P11" s="80" t="inlineStr">
        <is>
          <t>All 15 Phase 5 acceptance criteria demonstrated and signed off</t>
        </is>
      </c>
      <c r="Q11" s="82" t="inlineStr">
        <is>
          <t>Spec §34</t>
        </is>
      </c>
      <c r="R11" s="111" t="inlineStr">
        <is>
          <t>New 2026-10-16: the real-sponsor pilot, formerly part of 4S9-PMO-02.</t>
        </is>
      </c>
    </row>
    <row r="12" ht="32.8" customHeight="1" s="75">
      <c r="A12" s="104" t="n">
        <v>8</v>
      </c>
      <c r="B12" s="105" t="inlineStr">
        <is>
          <t>5S3-PMO-01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row>
    <row r="13" ht="32.8" customHeight="1" s="75">
      <c r="A13" s="104" t="n">
        <v>8.5</v>
      </c>
      <c r="B13" s="105" t="inlineStr">
        <is>
          <t>5S3-PMO-02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row>
    <row r="14" ht="32.8" customHeight="1" s="75">
      <c r="A14" s="104" t="n">
        <v>9</v>
      </c>
      <c r="B14" s="105" t="inlineStr">
        <is>
          <t>5S3-SEC-01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5S3-PMO-01, 4S0-SEC-01</t>
        </is>
      </c>
      <c r="P14" s="80" t="inlineStr">
        <is>
          <t>The player authentication design is reviewed and approved</t>
        </is>
      </c>
      <c r="Q14" s="82" t="inlineStr">
        <is>
          <t>Spec §29, §31</t>
        </is>
      </c>
    </row>
    <row r="15" ht="32.8" customHeight="1" s="75">
      <c r="A15" s="104" t="n">
        <v>10</v>
      </c>
      <c r="B15" s="105" t="inlineStr">
        <is>
          <t>5S3-BE-01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5S3-SEC-01</t>
        </is>
      </c>
      <c r="P15" s="80" t="inlineStr">
        <is>
          <t>A player creates an account with email and password, verifies the email, and a duplicate or weak password is refused without revealing existing accounts</t>
        </is>
      </c>
      <c r="Q15" s="82" t="inlineStr">
        <is>
          <t>Spec §29</t>
        </is>
      </c>
    </row>
    <row r="16" ht="32.8" customHeight="1" s="75">
      <c r="A16" s="104" t="n">
        <v>11</v>
      </c>
      <c r="B16" s="105" t="inlineStr">
        <is>
          <t>5S3-BE-02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5S3-BE-01</t>
        </is>
      </c>
      <c r="P16" s="80" t="inlineStr">
        <is>
          <t>The game can tell an invalid login, a locked account, an unverified email and a required authenticator step apart from the server's response, and none of them reveals whether an account exists</t>
        </is>
      </c>
      <c r="Q16" s="82" t="inlineStr">
        <is>
          <t>Spec §29</t>
        </is>
      </c>
    </row>
    <row r="17" ht="32.8" customHeight="1" s="75">
      <c r="A17" s="104" t="n">
        <v>12</v>
      </c>
      <c r="B17" s="105" t="inlineStr">
        <is>
          <t>5S3-BE-03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5S3-BE-02</t>
        </is>
      </c>
      <c r="P17" s="80" t="inlineStr">
        <is>
          <t>Repeated failed logins lock the account for a set time, the game shows when it unlocks, the owner can unlock by email, and every lock is audited</t>
        </is>
      </c>
      <c r="Q17" s="82" t="inlineStr">
        <is>
          <t>Spec §29, §31</t>
        </is>
      </c>
    </row>
    <row r="18" ht="32.8" customHeight="1" s="75">
      <c r="A18" s="104" t="n">
        <v>13</v>
      </c>
      <c r="B18" s="105" t="inlineStr">
        <is>
          <t>5S3-INT-01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5S3-SEC-01, 5S3-BE-01</t>
        </is>
      </c>
      <c r="P18" s="80" t="inlineStr">
        <is>
          <t>A player signs up and signs in with Google, and can link Google to an existing account</t>
        </is>
      </c>
      <c r="Q18" s="82" t="inlineStr">
        <is>
          <t>Spec §29</t>
        </is>
      </c>
    </row>
    <row r="19" ht="32.8" customHeight="1" s="75">
      <c r="A19" s="104" t="n">
        <v>14</v>
      </c>
      <c r="B19" s="105" t="inlineStr">
        <is>
          <t>5S3-INT-02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5S3-SEC-01, 5S3-BE-01</t>
        </is>
      </c>
      <c r="P19" s="80" t="inlineStr">
        <is>
          <t>A player signs up and signs in with Apple, including with a hidden (relay) email, and can link Apple to an existing account</t>
        </is>
      </c>
      <c r="Q19" s="82" t="inlineStr">
        <is>
          <t>Spec §29</t>
        </is>
      </c>
    </row>
    <row r="20" ht="32.8" customHeight="1" s="75">
      <c r="A20" s="104" t="n">
        <v>15</v>
      </c>
      <c r="B20" s="105" t="inlineStr">
        <is>
          <t>5S3-BE-04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5S3-BE-02</t>
        </is>
      </c>
      <c r="P20" s="80" t="inlineStr">
        <is>
          <t>A player turns on an authenticator, every later login asks for its code, recovery codes work once each, and turning it off needs a fresh sign-in</t>
        </is>
      </c>
      <c r="Q20" s="82" t="inlineStr">
        <is>
          <t>Spec §29, §31</t>
        </is>
      </c>
    </row>
    <row r="21" ht="32.8" customHeight="1" s="75">
      <c r="A21" s="104" t="n">
        <v>16</v>
      </c>
      <c r="B21" s="105" t="inlineStr">
        <is>
          <t>5S3-BE-05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5S3-BE-02, 5S3-INT-01, 5S3-INT-02</t>
        </is>
      </c>
      <c r="P21" s="80" t="inlineStr">
        <is>
          <t>A player resets a forgotten password, links and unlinks Google or Apple without locking themselves out, and deletes their account in the game</t>
        </is>
      </c>
      <c r="Q21" s="82" t="inlineStr">
        <is>
          <t>Spec §29</t>
        </is>
      </c>
    </row>
    <row r="22" ht="32.8" customHeight="1" s="75">
      <c r="A22" s="104" t="n">
        <v>17</v>
      </c>
      <c r="B22" s="105" t="inlineStr">
        <is>
          <t>5S3-BE-06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5S3-BE-02</t>
        </is>
      </c>
      <c r="P22" s="80" t="inlineStr">
        <is>
          <t>Access tokens are short-lived, refresh tokens rotate, a reused refresh token ends the session, and a player can sign out one device or all of them</t>
        </is>
      </c>
      <c r="Q22" s="82" t="inlineStr">
        <is>
          <t>Spec §29, §31</t>
        </is>
      </c>
    </row>
    <row r="23" ht="32.8" customHeight="1" s="75">
      <c r="A23" s="104" t="n">
        <v>18</v>
      </c>
      <c r="B23" s="105" t="inlineStr">
        <is>
          <t>5S3-INT-03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5S3-PMO-02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5S3-PMO-02, 5S3-BE-06</t>
        </is>
      </c>
      <c r="P23" s="80" t="inlineStr">
        <is>
          <t>An authenticated game holds a live socket, receives a pause or feed change within seconds, reconnects on its own, falls back to polling, and an expired or revoked session is disconnected</t>
        </is>
      </c>
      <c r="Q23" s="82" t="inlineStr">
        <is>
          <t>Spec §28, §34</t>
        </is>
      </c>
    </row>
    <row r="24" ht="32.8" customHeight="1" s="75">
      <c r="A24" s="104" t="n">
        <v>19</v>
      </c>
      <c r="B24" s="105" t="inlineStr">
        <is>
          <t>5S3-INT-04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5S3-BE-02, 5S3-BE-03, 5S3-BE-04, 5S3-INT-01, 5S3-INT-02, 5S3-INT-03</t>
        </is>
      </c>
      <c r="P24" s="80" t="inlineStr">
        <is>
          <t>A player signs up and signs in inside the game by each method, sees the right message for every refused login, and the game connects its socket after login</t>
        </is>
      </c>
      <c r="Q24" s="82" t="inlineStr">
        <is>
          <t>Spec §29</t>
        </is>
      </c>
    </row>
    <row r="25" ht="32.8" customHeight="1" s="75">
      <c r="A25" s="104" t="n">
        <v>20</v>
      </c>
      <c r="B25" s="105" t="inlineStr">
        <is>
          <t>5S3-QA-01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5S3-INT-04</t>
        </is>
      </c>
      <c r="P25" s="80" t="inlineStr">
        <is>
          <t>Every check passes, or each open finding is recorded with its risk and its owner</t>
        </is>
      </c>
      <c r="Q25" s="82" t="inlineStr">
        <is>
          <t>Spec §29, §31</t>
        </is>
      </c>
    </row>
    <row r="26" ht="32.8" customHeight="1" s="75">
      <c r="A26" s="104" t="n">
        <v>21</v>
      </c>
      <c r="B26" s="105" t="inlineStr">
        <is>
          <t>5S4-PMO-01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row>
    <row r="27" ht="23.85" customHeight="1" s="75">
      <c r="A27" s="104" t="n">
        <v>22</v>
      </c>
      <c r="B27" s="105" t="inlineStr">
        <is>
          <t>5S4-BE-01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row>
    <row r="28" ht="23.85" customHeight="1" s="75">
      <c r="A28" s="104" t="n">
        <v>23</v>
      </c>
      <c r="B28" s="105" t="inlineStr">
        <is>
          <t>5S4-OPS-01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row>
    <row r="29" ht="23.85" customHeight="1" s="75">
      <c r="A29" s="104" t="n">
        <v>24</v>
      </c>
      <c r="B29" s="105" t="inlineStr">
        <is>
          <t>5S4-OPS-02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5S4-OPS-01</t>
        </is>
      </c>
      <c r="P29" s="80" t="inlineStr">
        <is>
          <t>Load test meets the agreed ingestion throughput and dashboard latency targets</t>
        </is>
      </c>
      <c r="Q29" s="82" t="inlineStr">
        <is>
          <t>Spec §34</t>
        </is>
      </c>
    </row>
    <row r="30" ht="23.85" customHeight="1" s="75">
      <c r="A30" s="104" t="n">
        <v>25</v>
      </c>
      <c r="B30" s="105" t="inlineStr">
        <is>
          <t>5S5-BE-01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row>
    <row r="31" ht="23.85" customHeight="1" s="75">
      <c r="A31" s="104" t="n">
        <v>26</v>
      </c>
      <c r="B31" s="105" t="inlineStr">
        <is>
          <t>5S5-DATA-01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5S5-BE-01</t>
        </is>
      </c>
      <c r="P31" s="80" t="inlineStr">
        <is>
          <t>Aggregates compute on schedule and dashboards read aggregates, never raw telemetry</t>
        </is>
      </c>
      <c r="Q31" s="82" t="inlineStr">
        <is>
          <t>Spec §27.3</t>
        </is>
      </c>
    </row>
    <row r="32" ht="22.35" customHeight="1" s="75">
      <c r="A32" s="104" t="n">
        <v>27</v>
      </c>
      <c r="B32" s="105" t="inlineStr">
        <is>
          <t>5S5-DATA-02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5S5-DATA-01</t>
        </is>
      </c>
      <c r="P32" s="80" t="inlineStr">
        <is>
          <t>Traffic benchmarks compute per world and zone</t>
        </is>
      </c>
      <c r="Q32" s="82" t="inlineStr">
        <is>
          <t>Spec §30, §32</t>
        </is>
      </c>
    </row>
    <row r="33" ht="23.85" customHeight="1" s="75">
      <c r="A33" s="104" t="n">
        <v>28</v>
      </c>
      <c r="B33" s="105" t="inlineStr">
        <is>
          <t>5S5-FE-01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5S5-DATA-01</t>
        </is>
      </c>
      <c r="P33" s="80" t="inlineStr">
        <is>
          <t>Dashboard renders virtual delivery with gross and viewable clearly separated</t>
        </is>
      </c>
      <c r="Q33" s="82" t="inlineStr">
        <is>
          <t>Spec §26 P4-07</t>
        </is>
      </c>
    </row>
    <row r="34" ht="23.85" customHeight="1" s="75">
      <c r="A34" s="104" t="n">
        <v>29</v>
      </c>
      <c r="B34" s="105" t="inlineStr">
        <is>
          <t>5S5-BE-02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5S5-DATA-02</t>
        </is>
      </c>
      <c r="P34" s="80" t="inlineStr">
        <is>
          <t>A virtual placement produces a recommended rate with its factor breakdown visible</t>
        </is>
      </c>
      <c r="Q34" s="82" t="inlineStr">
        <is>
          <t>Spec §32</t>
        </is>
      </c>
    </row>
    <row r="35" ht="23.85" customHeight="1" s="75">
      <c r="A35" s="104" t="n">
        <v>30</v>
      </c>
      <c r="B35" s="105" t="inlineStr">
        <is>
          <t>5S6-BE-01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row>
    <row r="36" ht="23.85" customHeight="1" s="75">
      <c r="A36" s="104" t="n">
        <v>31</v>
      </c>
      <c r="B36" s="105" t="inlineStr">
        <is>
          <t>5S6-BE-02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5S6-BE-01</t>
        </is>
      </c>
      <c r="P36" s="80" t="inlineStr">
        <is>
          <t>Activation can start and complete, validated against its eligibility rules</t>
        </is>
      </c>
      <c r="Q36" s="82" t="inlineStr">
        <is>
          <t>Spec §27.4</t>
        </is>
      </c>
    </row>
    <row r="37" ht="23.85" customHeight="1" s="75">
      <c r="A37" s="104" t="n">
        <v>32</v>
      </c>
      <c r="B37" s="105" t="inlineStr">
        <is>
          <t>5S6-BE-03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5S6-BE-02</t>
        </is>
      </c>
      <c r="P37" s="80" t="inlineStr">
        <is>
          <t>An activation triggers a SponsorX reward exactly once per configured eligibility rule</t>
        </is>
      </c>
      <c r="Q37" s="82" t="inlineStr">
        <is>
          <t>Spec §34</t>
        </is>
      </c>
    </row>
    <row r="38" ht="23.85" customHeight="1" s="75">
      <c r="A38" s="104" t="n">
        <v>33</v>
      </c>
      <c r="B38" s="105" t="inlineStr">
        <is>
          <t>5S6-INT-01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5S6-BE-03</t>
        </is>
      </c>
      <c r="P38" s="80" t="inlineStr">
        <is>
          <t>A completed activation delivers a reward through the existing reward and wallet services</t>
        </is>
      </c>
      <c r="Q38" s="82" t="inlineStr">
        <is>
          <t>Spec §27.4</t>
        </is>
      </c>
    </row>
    <row r="39" ht="23.85" customHeight="1" s="75">
      <c r="A39" s="104" t="n">
        <v>34</v>
      </c>
      <c r="B39" s="105" t="inlineStr">
        <is>
          <t>5S6-FE-01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5S8-ART-01</t>
        </is>
      </c>
      <c r="P39" s="80" t="inlineStr">
        <is>
          <t>A campaign manager can build and publish an activation without engineering help</t>
        </is>
      </c>
      <c r="Q39" s="82" t="inlineStr">
        <is>
          <t>Spec §26 P4-06</t>
        </is>
      </c>
    </row>
    <row r="40" ht="23.85" customHeight="1" s="75">
      <c r="A40" s="104" t="n">
        <v>35</v>
      </c>
      <c r="B40" s="105" t="inlineStr">
        <is>
          <t>5S7-DATA-01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row>
    <row r="41" ht="23.85" customHeight="1" s="75">
      <c r="A41" s="104" t="n">
        <v>36</v>
      </c>
      <c r="B41" s="105" t="inlineStr">
        <is>
          <t>5S7-FE-01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5S7-DATA-01</t>
        </is>
      </c>
      <c r="P41" s="80" t="inlineStr">
        <is>
          <t>Dashboard compares all channels on consistent metrics</t>
        </is>
      </c>
      <c r="Q41" s="82" t="inlineStr">
        <is>
          <t>Spec §26 P4-08</t>
        </is>
      </c>
    </row>
    <row r="42" ht="22.35" customHeight="1" s="75">
      <c r="A42" s="104" t="n">
        <v>37</v>
      </c>
      <c r="B42" s="105" t="inlineStr">
        <is>
          <t>5S7-FE-02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5S5-FE-01</t>
        </is>
      </c>
      <c r="P42" s="80" t="inlineStr">
        <is>
          <t>A pilot sponsor receives a report with virtual delivery, interaction, reward funnel and creative proof</t>
        </is>
      </c>
      <c r="Q42" s="82" t="inlineStr">
        <is>
          <t>Spec §26 P4-11, §34</t>
        </is>
      </c>
    </row>
    <row r="43" ht="23.85" customHeight="1" s="75">
      <c r="A43" s="104" t="n">
        <v>38</v>
      </c>
      <c r="B43" s="105" t="inlineStr">
        <is>
          <t>5S7-FE-03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5S5-DATA-02</t>
        </is>
      </c>
      <c r="P43" s="80" t="inlineStr">
        <is>
          <t>Heatmap renders zone-level traffic and engagement</t>
        </is>
      </c>
      <c r="Q43" s="82" t="inlineStr">
        <is>
          <t>Spec §26 P4-12</t>
        </is>
      </c>
    </row>
    <row r="44" ht="22.35" customHeight="1" s="75">
      <c r="A44" s="104" t="n">
        <v>39</v>
      </c>
      <c r="B44" s="105" t="inlineStr">
        <is>
          <t>5S7-FE-04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row>
    <row r="45" ht="23.85" customHeight="1" s="75">
      <c r="A45" s="104" t="n">
        <v>40</v>
      </c>
      <c r="B45" s="105" t="inlineStr">
        <is>
          <t>5S7-DATA-02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5S4-BE-01</t>
        </is>
      </c>
      <c r="P45" s="80" t="inlineStr">
        <is>
          <t>Suspicious event patterns are flagged and excluded from sponsor-facing aggregates</t>
        </is>
      </c>
      <c r="Q45" s="82" t="inlineStr">
        <is>
          <t>Spec §27.3</t>
        </is>
      </c>
    </row>
    <row r="46" ht="23.85" customHeight="1" s="75">
      <c r="A46" s="104" t="n">
        <v>41</v>
      </c>
      <c r="B46" s="105" t="inlineStr">
        <is>
          <t>5S8-ART-01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47" ht="22.35" customHeight="1" s="75">
      <c r="A47" s="104" t="n">
        <v>42</v>
      </c>
      <c r="B47" s="105" t="inlineStr">
        <is>
          <t>5S8-FE-01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5S8-ART-01</t>
        </is>
      </c>
      <c r="P47" s="80" t="inlineStr">
        <is>
          <t>Admin can register and manage worlds and zones</t>
        </is>
      </c>
      <c r="Q47" s="82" t="inlineStr">
        <is>
          <t>Spec §26 P4-01</t>
        </is>
      </c>
    </row>
    <row r="48" ht="23.85" customHeight="1" s="75">
      <c r="A48" s="104" t="n">
        <v>43</v>
      </c>
      <c r="B48" s="105" t="inlineStr">
        <is>
          <t>5S8-FE-02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row>
    <row r="49" ht="23.85" customHeight="1" s="75">
      <c r="A49" s="104" t="n">
        <v>44</v>
      </c>
      <c r="B49" s="105" t="inlineStr">
        <is>
          <t>5S8-FE-03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row>
    <row r="50" ht="23.85" customHeight="1" s="75">
      <c r="A50" s="104" t="n">
        <v>45</v>
      </c>
      <c r="B50" s="105" t="inlineStr">
        <is>
          <t>5S8-FE-04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5S8-ART-01</t>
        </is>
      </c>
      <c r="P50" s="80" t="inlineStr">
        <is>
          <t>Staff can run the full deployment lifecycle from the console</t>
        </is>
      </c>
      <c r="Q50" s="82" t="inlineStr">
        <is>
          <t>Spec §26 P4-05</t>
        </is>
      </c>
    </row>
    <row r="51" ht="23.85" customHeight="1" s="75">
      <c r="A51" s="104" t="n">
        <v>46</v>
      </c>
      <c r="B51" s="105" t="inlineStr">
        <is>
          <t>5S8-BE-01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row>
    <row r="52" s="75">
      <c r="A52" s="104" t="n">
        <v>47</v>
      </c>
      <c r="B52" s="105" t="inlineStr">
        <is>
          <t>5S8-BE-02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5S8-BE-01</t>
        </is>
      </c>
      <c r="P52" s="80" t="inlineStr">
        <is>
          <t>Incidents are logged, tracked and closable with notes</t>
        </is>
      </c>
      <c r="Q52" s="82" t="inlineStr">
        <is>
          <t>Spec §30</t>
        </is>
      </c>
    </row>
    <row r="53" s="75">
      <c r="A53" s="104" t="n">
        <v>48</v>
      </c>
      <c r="B53" s="105" t="inlineStr">
        <is>
          <t>5S8-PMO-01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5S8-FE-01, 5S8-FE-02, 5S8-FE-03, 5S8-FE-04, 5S8-BE-02</t>
        </is>
      </c>
      <c r="P53" s="80" t="inlineStr">
        <is>
          <t>Phase 5 criteria 14 and 15 demonstrated and signed off</t>
        </is>
      </c>
      <c r="Q53" s="82" t="inlineStr">
        <is>
          <t>Spec §34</t>
        </is>
      </c>
      <c r="R53" s="74" t="inlineStr">
        <is>
          <t>Changed 2026-10-16 (user): no longer waits on the pilot world (now Phase 5).</t>
        </is>
      </c>
    </row>
    <row r="54" s="75">
      <c r="A54" s="104" t="n">
        <v>49</v>
      </c>
      <c r="B54" s="105" t="inlineStr">
        <is>
          <t>5S8-OPS-01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5S8-PMO-01</t>
        </is>
      </c>
      <c r="P54" s="80" t="inlineStr">
        <is>
          <t>Production rollout complete with monitoring, alerting and an incident runbook</t>
        </is>
      </c>
      <c r="Q54" s="82" t="inlineStr">
        <is>
          <t>Spec §31, §38</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Done</t>
        </is>
      </c>
      <c r="K5" s="74" t="n">
        <v>3</v>
      </c>
      <c r="L5" s="162" t="n">
        <v>46315</v>
      </c>
      <c r="M5" s="162" t="n">
        <v>46317</v>
      </c>
      <c r="N5" s="74" t="inlineStr">
        <is>
          <t>rcfworks</t>
        </is>
      </c>
      <c r="O5" s="74" t="n">
        <v>0</v>
      </c>
      <c r="Q5" s="74" t="inlineStr">
        <is>
          <t>Template delivered, versioned, approved for production use</t>
        </is>
      </c>
      <c r="R5" s="74" t="inlineStr">
        <is>
          <t>§12, §26</t>
        </is>
      </c>
      <c r="S5" s="74" t="inlineStr">
        <is>
          <t>Moved to the Legal sheet 2026-09-15. Unblocks reset to 0: no development task depends on legal approval. Approved 2026-10-22 by rcfworks with Rodney's delegated authority (SponsorX Legal folder); issued in the app as v2 (P8-BE-07).</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Done</t>
        </is>
      </c>
      <c r="K6" s="74" t="n">
        <v>1</v>
      </c>
      <c r="L6" s="162" t="n">
        <v>46315</v>
      </c>
      <c r="M6" s="162" t="n">
        <v>46317</v>
      </c>
      <c r="N6" s="74" t="inlineStr">
        <is>
          <t>rcfworks</t>
        </is>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 Approved 2026-10-22 by rcfworks with Rodney's delegated authority (SponsorX Legal folder); issued in the app as v2 (P8-BE-07). Answer: click-to-accept by a verified guardian is sufficient (Option A); no e-sign vendor.</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Done</t>
        </is>
      </c>
      <c r="K7" s="74" t="n">
        <v>3</v>
      </c>
      <c r="L7" s="162" t="n">
        <v>46315</v>
      </c>
      <c r="M7" s="162" t="n">
        <v>46317</v>
      </c>
      <c r="N7" s="74" t="inlineStr">
        <is>
          <t>rcfworks</t>
        </is>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 Approved 2026-10-22 by rcfworks with Rodney's delegated authority (SponsorX Legal folder); issued in the app as v2 (P8-BE-07).</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Done</t>
        </is>
      </c>
      <c r="K8" s="74" t="n">
        <v>3</v>
      </c>
      <c r="L8" s="162" t="n">
        <v>46315</v>
      </c>
      <c r="M8" s="162" t="n">
        <v>46317</v>
      </c>
      <c r="N8" s="74" t="inlineStr">
        <is>
          <t>rcfworks</t>
        </is>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 Approved 2026-10-22 by rcfworks with Rodney's delegated authority (SponsorX Legal folder); issued in the app as v2 (P8-BE-07).</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Done</t>
        </is>
      </c>
      <c r="K9" s="74" t="n">
        <v>0.5</v>
      </c>
      <c r="L9" s="162" t="n">
        <v>46315</v>
      </c>
      <c r="M9" s="162" t="n">
        <v>46317</v>
      </c>
      <c r="N9" s="74" t="inlineStr">
        <is>
          <t>rcfworks</t>
        </is>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 Approved 2026-10-22 by rcfworks with Rodney's delegated authority (SponsorX Legal folder); issued in the app as v2 (P8-BE-07).</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Done</t>
        </is>
      </c>
      <c r="K10" s="74" t="n">
        <v>0.5</v>
      </c>
      <c r="L10" s="162" t="n">
        <v>46315</v>
      </c>
      <c r="M10" s="162" t="n">
        <v>46317</v>
      </c>
      <c r="N10" s="74" t="inlineStr">
        <is>
          <t>rcfworks</t>
        </is>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 Approved 2026-10-22 by rcfworks with Rodney's delegated authority (SponsorX Legal folder); issued in the app as v2 (P8-BE-07).</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Done</t>
        </is>
      </c>
      <c r="K11" s="74" t="n">
        <v>5</v>
      </c>
      <c r="L11" s="162" t="n">
        <v>46315</v>
      </c>
      <c r="M11" s="162" t="n">
        <v>46317</v>
      </c>
      <c r="N11" s="74" t="inlineStr">
        <is>
          <t>rcfworks</t>
        </is>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 Approved 2026-10-22 by rcfworks with Rodney's delegated authority (SponsorX Legal folder); issued in the app as v2 (P8-BE-07).</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Done</t>
        </is>
      </c>
      <c r="K12" s="74" t="n">
        <v>0.5</v>
      </c>
      <c r="L12" s="162" t="n">
        <v>46315</v>
      </c>
      <c r="M12" s="162" t="n">
        <v>46317</v>
      </c>
      <c r="N12" s="74" t="inlineStr">
        <is>
          <t>rcfworks</t>
        </is>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 Approved 2026-10-22 by rcfworks with Rodney's delegated authority (SponsorX Legal folder); issued in the app as v2 (P8-BE-07). The four proposed answers in document 7 confirmed; no app change; the Stripe tax-reporting switch is a go-live step.</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Done</t>
        </is>
      </c>
      <c r="K13" s="74" t="n">
        <v>3</v>
      </c>
      <c r="L13" s="162" t="n">
        <v>46315</v>
      </c>
      <c r="M13" s="162" t="n">
        <v>46317</v>
      </c>
      <c r="N13" s="74" t="inlineStr">
        <is>
          <t>rcfworks</t>
        </is>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 Approved 2026-10-22 by rcfworks with Rodney's delegated authority (SponsorX Legal folder); issued in the app as v2 (P8-BE-07). Report renamed Campaign Results Report with the approved foot note; results-screen labels are P8-FE-08.</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0.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2–5</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2026-10-26T17:10:50Z</dcterms:modified>
  <cp:revision>0</cp:revision>
</cp:coreProperties>
</file>