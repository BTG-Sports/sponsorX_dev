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Legal" sheetId="9" state="visible" r:id="rId9"/>
    <sheet name="Legend" sheetId="10" state="visible" r:id="rId10"/>
  </sheets>
  <definedNames>
    <definedName name="_xlnm._FilterDatabase" localSheetId="3" hidden="1">'Phase 1'!$A$4:$R$305</definedName>
    <definedName name="_xlnm._FilterDatabase" localSheetId="4" hidden="1">'Phase 2'!$A$4:$R$144</definedName>
    <definedName name="_xlnm._FilterDatabase" localSheetId="5" hidden="1">'Phase 3'!$A$4:$R$66</definedName>
    <definedName name="_xlnm._FilterDatabase" localSheetId="6" hidden="1">'Phase 4'!$A$4:$R$31</definedName>
    <definedName name="_xlnm._FilterDatabase" localSheetId="7" hidden="1">'Phase 5'!$A$4:$R$45</definedName>
    <definedName name="_xlnm._FilterDatabase" localSheetId="8"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Five phases (the blueprint's four, with the INFINEX game split out as Phase 5 on 2026-10-16), 354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the web application side: registry, creative and manifest, machine login, client endpoints, telemetry intake, admin screens and emergency pause (game-dependent work moved to Phase 5 on 2026-10-20)</t>
        </is>
      </c>
      <c r="C8" s="85" t="n">
        <v>27</v>
      </c>
      <c r="D8" s="85" t="n">
        <v>96</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INFINEX game integration: the in-game connector, the staging world test, the pilot world, calibrated virtual pricing, and player accounts (email, Google, Apple, authenticator) with a live connection</t>
        </is>
      </c>
      <c r="C9" s="85" t="n">
        <v>41</v>
      </c>
      <c r="D9" s="85" t="n">
        <v>163</v>
      </c>
      <c r="E9" s="86" t="inlineStr">
        <is>
          <t>after the game's staging world exists</t>
        </is>
      </c>
      <c r="F9" s="86" t="inlineStr">
        <is>
          <t>—</t>
        </is>
      </c>
      <c r="G9" s="84" t="inlineStr">
        <is>
          <t>The INFINEX game (not started 2026-10-16), Phase 4's endpoints</t>
        </is>
      </c>
    </row>
    <row r="10">
      <c r="A10" s="89" t="inlineStr">
        <is>
          <t>TOTAL</t>
        </is>
      </c>
      <c r="B10" s="89" t="inlineStr">
        <is>
          <t>Full SponsorX platform</t>
        </is>
      </c>
      <c r="C10" s="89">
        <f>SUM(C5:C9)</f>
        <v/>
      </c>
      <c r="D10" s="89">
        <f>SUM(D5:D9)</f>
        <v/>
      </c>
      <c r="E10" s="89" t="inlineStr">
        <is>
          <t>66–82 weeks</t>
        </is>
      </c>
      <c r="F10" s="89" t="inlineStr">
        <is>
          <t>$350K–$535K</t>
        </is>
      </c>
      <c r="G10" s="89" t="n"/>
    </row>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1–5, identical 18 columns, so they behave the same way.</t>
        </is>
      </c>
    </row>
    <row r="25" ht="27.75" customHeight="1" s="75">
      <c r="A25" s="91" t="inlineStr">
        <is>
          <t>Task IDs</t>
        </is>
      </c>
      <c r="B25" s="92" t="inlineStr">
        <is>
          <t>Phase 1: P{stage}-{CAT}-{nn}, e.g. P4-BE-03. Phases 2–5: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 Phase 5 waits for the INFINEX game.</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5, 5S2-QA-01).</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five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89" t="inlineStr">
        <is>
          <t>TOTAL</t>
        </is>
      </c>
      <c r="B10" s="89">
        <f>SUM(B5:B9)</f>
        <v/>
      </c>
      <c r="C10" s="89">
        <f>SUM(C5:C9)</f>
        <v/>
      </c>
      <c r="D10" s="89">
        <f>SUM(D5:D9)</f>
        <v/>
      </c>
      <c r="E10" s="89">
        <f>SUM(E5:E9)</f>
        <v/>
      </c>
      <c r="F10" s="89">
        <f>SUM(F5:F9)</f>
        <v/>
      </c>
      <c r="G10" s="89">
        <f>SUM(G5:G9)</f>
        <v/>
      </c>
      <c r="H10" s="89">
        <f>SUM(H5:H9)</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Phase 5</t>
        </is>
      </c>
      <c r="G12" s="78" t="inlineStr">
        <is>
          <t>Total</t>
        </is>
      </c>
    </row>
    <row r="13" ht="15" customHeight="1" s="75">
      <c r="A13" s="97" t="inlineStr">
        <is>
          <t>Document</t>
        </is>
      </c>
      <c r="B13" s="81">
        <f>COUNTIF('Phase 1'!$F$5:$F$400,"Document")</f>
        <v/>
      </c>
      <c r="C13" s="81">
        <f>COUNTIF('Phase 2'!$F$5:$F$144,"Document")</f>
        <v/>
      </c>
      <c r="D13" s="81">
        <f>COUNTIF('Phase 3'!$F$5:$F$66,"Document")</f>
        <v/>
      </c>
      <c r="E13" s="81">
        <f>COUNTIF('Phase 4'!$F$5:$F$51,"Document")</f>
        <v/>
      </c>
      <c r="F13" s="81">
        <f>COUNTIF('Phase 5'!$F$5:$F$100,"Document")</f>
        <v/>
      </c>
      <c r="G13" s="81">
        <f>SUM(B13:F13)</f>
        <v/>
      </c>
    </row>
    <row r="14" ht="15" customHeight="1" s="75">
      <c r="A14" s="98" t="inlineStr">
        <is>
          <t>Zoho dashboard</t>
        </is>
      </c>
      <c r="B14" s="81">
        <f>COUNTIF('Phase 1'!$F$5:$F$400,"Zoho dashboard")</f>
        <v/>
      </c>
      <c r="C14" s="81">
        <f>COUNTIF('Phase 2'!$F$5:$F$144,"Zoho dashboard")</f>
        <v/>
      </c>
      <c r="D14" s="81">
        <f>COUNTIF('Phase 3'!$F$5:$F$66,"Zoho dashboard")</f>
        <v/>
      </c>
      <c r="E14" s="81">
        <f>COUNTIF('Phase 4'!$F$5:$F$51,"Zoho dashboard")</f>
        <v/>
      </c>
      <c r="F14" s="81">
        <f>COUNTIF('Phase 5'!$F$5:$F$100,"Zoho dashboard")</f>
        <v/>
      </c>
      <c r="G14" s="81">
        <f>SUM(B14:F14)</f>
        <v/>
      </c>
    </row>
    <row r="15" ht="15" customHeight="1" s="75">
      <c r="A15" s="99" t="inlineStr">
        <is>
          <t>Vendor console</t>
        </is>
      </c>
      <c r="B15" s="81">
        <f>COUNTIF('Phase 1'!$F$5:$F$400,"Vendor console")</f>
        <v/>
      </c>
      <c r="C15" s="81">
        <f>COUNTIF('Phase 2'!$F$5:$F$144,"Vendor console")</f>
        <v/>
      </c>
      <c r="D15" s="81">
        <f>COUNTIF('Phase 3'!$F$5:$F$66,"Vendor console")</f>
        <v/>
      </c>
      <c r="E15" s="81">
        <f>COUNTIF('Phase 4'!$F$5:$F$51,"Vendor console")</f>
        <v/>
      </c>
      <c r="F15" s="81">
        <f>COUNTIF('Phase 5'!$F$5:$F$100,"Vendor console")</f>
        <v/>
      </c>
      <c r="G15" s="81">
        <f>SUM(B15:F15)</f>
        <v/>
      </c>
    </row>
    <row r="16" ht="15" customHeight="1" s="75">
      <c r="A16" s="100" t="inlineStr">
        <is>
          <t>Code</t>
        </is>
      </c>
      <c r="B16" s="81">
        <f>COUNTIF('Phase 1'!$F$5:$F$400,"Code")</f>
        <v/>
      </c>
      <c r="C16" s="81">
        <f>COUNTIF('Phase 2'!$F$5:$F$144,"Code")</f>
        <v/>
      </c>
      <c r="D16" s="81">
        <f>COUNTIF('Phase 3'!$F$5:$F$66,"Code")</f>
        <v/>
      </c>
      <c r="E16" s="81">
        <f>COUNTIF('Phase 4'!$F$5:$F$51,"Code")</f>
        <v/>
      </c>
      <c r="F16" s="81">
        <f>COUNTIF('Phase 5'!$F$5:$F$100,"Code")</f>
        <v/>
      </c>
      <c r="G16" s="81">
        <f>SUM(B16:F16)</f>
        <v/>
      </c>
    </row>
    <row r="17" ht="15" customHeight="1" s="75">
      <c r="A17" s="99" t="inlineStr">
        <is>
          <t>Code + console</t>
        </is>
      </c>
      <c r="B17" s="81">
        <f>COUNTIF('Phase 1'!$F$5:$F$400,"Code + console")</f>
        <v/>
      </c>
      <c r="C17" s="81">
        <f>COUNTIF('Phase 2'!$F$5:$F$144,"Code + console")</f>
        <v/>
      </c>
      <c r="D17" s="81">
        <f>COUNTIF('Phase 3'!$F$5:$F$66,"Code + console")</f>
        <v/>
      </c>
      <c r="E17" s="81">
        <f>COUNTIF('Phase 4'!$F$5:$F$51,"Code + console")</f>
        <v/>
      </c>
      <c r="F17" s="81">
        <f>COUNTIF('Phase 5'!$F$5:$F$100,"Code + console")</f>
        <v/>
      </c>
      <c r="G17" s="81">
        <f>SUM(B17:F17)</f>
        <v/>
      </c>
    </row>
    <row r="18" ht="15" customHeight="1" s="75">
      <c r="A18" s="101" t="inlineStr">
        <is>
          <t>Design tool</t>
        </is>
      </c>
      <c r="B18" s="81">
        <f>COUNTIF('Phase 1'!$F$5:$F$400,"Design tool")</f>
        <v/>
      </c>
      <c r="C18" s="81">
        <f>COUNTIF('Phase 2'!$F$5:$F$144,"Design tool")</f>
        <v/>
      </c>
      <c r="D18" s="81">
        <f>COUNTIF('Phase 3'!$F$5:$F$66,"Design tool")</f>
        <v/>
      </c>
      <c r="E18" s="81">
        <f>COUNTIF('Phase 4'!$F$5:$F$51,"Design tool")</f>
        <v/>
      </c>
      <c r="F18" s="81">
        <f>COUNTIF('Phase 5'!$F$5:$F$100,"Design tool")</f>
        <v/>
      </c>
      <c r="G18" s="81">
        <f>SUM(B18:F18)</f>
        <v/>
      </c>
    </row>
    <row r="19" ht="15" customHeight="1" s="75">
      <c r="A19" s="97" t="inlineStr">
        <is>
          <t>Document + code</t>
        </is>
      </c>
      <c r="B19" s="81">
        <f>COUNTIF('Phase 1'!$F$5:$F$400,"Document + code")</f>
        <v/>
      </c>
      <c r="C19" s="81">
        <f>COUNTIF('Phase 2'!$F$5:$F$144,"Document + code")</f>
        <v/>
      </c>
      <c r="D19" s="81">
        <f>COUNTIF('Phase 3'!$F$5:$F$66,"Document + code")</f>
        <v/>
      </c>
      <c r="E19" s="81">
        <f>COUNTIF('Phase 4'!$F$5:$F$51,"Document + code")</f>
        <v/>
      </c>
      <c r="F19" s="81">
        <f>COUNTIF('Phase 5'!$F$5:$F$100,"Document + code")</f>
        <v/>
      </c>
      <c r="G19" s="81">
        <f>SUM(B19:F19)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4'!$F$5:$F$51,"External · counsel")</f>
        <v/>
      </c>
      <c r="F20" s="81">
        <f>COUNTIF('Phase 5'!$F$5:$F$100,"External · counsel")</f>
        <v/>
      </c>
      <c r="G20" s="81">
        <f>SUM(B20:F20)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7"/>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sheetData>
  <autoFilter ref="A4:R305"/>
  <mergeCells count="2">
    <mergeCell ref="A2:R2"/>
    <mergeCell ref="A1:R1"/>
  </mergeCells>
  <conditionalFormatting sqref="I5:I30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5">
    <cfRule type="expression" rank="0" priority="7" equalAverage="0" aboveAverage="0" dxfId="32" text="" percent="0" bottom="0">
      <formula>$I5="Done"</formula>
    </cfRule>
  </conditionalFormatting>
  <conditionalFormatting sqref="N5:N305">
    <cfRule type="cellIs" rank="0" priority="8" equalAverage="0" operator="greaterThanOrEqual" aboveAverage="0" dxfId="33" text="" percent="0" bottom="0">
      <formula>50</formula>
    </cfRule>
  </conditionalFormatting>
  <dataValidations count="1">
    <dataValidation sqref="I5:I30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3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27 tasks across 8 sprints · the web application side of virtual sponsorship: the world and placement registry, creative deployment and manifest, machine login, client endpoints, the telemetry intake, and the admin screens, emergency pause, UAT and rollout. The game-dependent tasks moved to Phase 5 on 2026-10-20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12" t="n">
        <v>4</v>
      </c>
      <c r="B7" s="113" t="inlineStr">
        <is>
          <t>4S0-ART-01</t>
        </is>
      </c>
      <c r="C7" s="85" t="n">
        <v>0</v>
      </c>
      <c r="D7" s="86" t="inlineStr">
        <is>
          <t>Sprint 0 · Contract &amp; taxonomy</t>
        </is>
      </c>
      <c r="E7" s="114" t="inlineStr">
        <is>
          <t>ART</t>
        </is>
      </c>
      <c r="F7" s="115" t="inlineStr">
        <is>
          <t>Design tool</t>
        </is>
      </c>
      <c r="G7" s="84" t="inlineStr">
        <is>
          <t>Design the virtual admin and sponsor screens</t>
        </is>
      </c>
      <c r="H7" s="116" t="inlineStr">
        <is>
          <t>Twelve new screens including placement preview metadata, activation builder and the world heatmap. Placement specs need a designer who understands 3D constraints.</t>
        </is>
      </c>
      <c r="I7" s="108" t="inlineStr">
        <is>
          <t>Code review</t>
        </is>
      </c>
      <c r="J7" s="108" t="n">
        <v>5</v>
      </c>
      <c r="K7" s="109" t="n">
        <v>46294</v>
      </c>
      <c r="L7" s="109" t="n"/>
      <c r="M7" s="110" t="inlineStr">
        <is>
          <t>rcfworks</t>
        </is>
      </c>
      <c r="N7" s="85" t="n">
        <v>0</v>
      </c>
      <c r="O7" s="84" t="inlineStr">
        <is>
          <t>4S0-PMO-02</t>
        </is>
      </c>
      <c r="P7" s="84" t="inlineStr">
        <is>
          <t>All 12 Phase 4 screens designed, with creative technical constraints specified per placement type</t>
        </is>
      </c>
      <c r="Q7" s="86" t="inlineStr">
        <is>
          <t>Spec §26</t>
        </is>
      </c>
      <c r="R7"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8" ht="32.8" customHeight="1" s="75">
      <c r="A8" s="104" t="n">
        <v>5</v>
      </c>
      <c r="B8" s="105" t="inlineStr">
        <is>
          <t>4S0-SEC-01</t>
        </is>
      </c>
      <c r="C8" s="81" t="n">
        <v>0</v>
      </c>
      <c r="D8" s="82" t="inlineStr">
        <is>
          <t>Sprint 0 · Contract &amp; taxonomy</t>
        </is>
      </c>
      <c r="E8" s="140" t="inlineStr">
        <is>
          <t>SEC</t>
        </is>
      </c>
      <c r="F8" s="120" t="inlineStr">
        <is>
          <t>Code</t>
        </is>
      </c>
      <c r="G8" s="80" t="inlineStr">
        <is>
          <t>Trusted client authentication design</t>
        </is>
      </c>
      <c r="H8" s="107" t="inlineStr">
        <is>
          <t>The INFINEX client sends telemetry that becomes sponsor billing data. Its authentication has to be strong enough that fabricated events are not possible.</t>
        </is>
      </c>
      <c r="I8" s="108" t="inlineStr">
        <is>
          <t>Done</t>
        </is>
      </c>
      <c r="J8" s="108" t="n">
        <v>3</v>
      </c>
      <c r="K8" s="163" t="n">
        <v>46314</v>
      </c>
      <c r="L8" s="163" t="n">
        <v>46314</v>
      </c>
      <c r="M8" s="110" t="inlineStr">
        <is>
          <t>rcfworks</t>
        </is>
      </c>
      <c r="N8" s="81" t="n">
        <v>0</v>
      </c>
      <c r="O8" s="80" t="inlineStr">
        <is>
          <t>4S0-PMO-01</t>
        </is>
      </c>
      <c r="P8" s="80" t="inlineStr">
        <is>
          <t>Client authentication and event signing design reviewed and approved</t>
        </is>
      </c>
      <c r="Q8" s="82" t="inlineStr">
        <is>
          <t>Spec §29, §31</t>
        </is>
      </c>
      <c r="R8"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9" ht="32.8" customHeight="1" s="75">
      <c r="A9" s="112" t="n">
        <v>6</v>
      </c>
      <c r="B9" s="113" t="inlineStr">
        <is>
          <t>4S1-BE-01</t>
        </is>
      </c>
      <c r="C9" s="85" t="n">
        <v>1</v>
      </c>
      <c r="D9" s="86" t="inlineStr">
        <is>
          <t>Sprint 1 · World &amp; placement registry</t>
        </is>
      </c>
      <c r="E9" s="137" t="inlineStr">
        <is>
          <t>BE</t>
        </is>
      </c>
      <c r="F9" s="122" t="inlineStr">
        <is>
          <t>Code</t>
        </is>
      </c>
      <c r="G9" s="84" t="inlineStr">
        <is>
          <t>World and zone registry</t>
        </is>
      </c>
      <c r="H9" s="116" t="inlineStr">
        <is>
          <t>Register INFINEX worlds and their districts, venues and zones against stable external IDs.</t>
        </is>
      </c>
      <c r="I9" s="108" t="inlineStr">
        <is>
          <t>Done</t>
        </is>
      </c>
      <c r="J9" s="108" t="n">
        <v>3</v>
      </c>
      <c r="K9" s="109" t="n">
        <v>46311</v>
      </c>
      <c r="L9" s="109" t="n">
        <v>46311</v>
      </c>
      <c r="M9" s="110" t="inlineStr">
        <is>
          <t>rcfworks</t>
        </is>
      </c>
      <c r="N9" s="85" t="n">
        <v>0</v>
      </c>
      <c r="O9" s="84" t="inlineStr">
        <is>
          <t>4S0-PMO-02</t>
        </is>
      </c>
      <c r="P9" s="84" t="inlineStr">
        <is>
          <t>SponsorX can register a world and its zones against stable external IDs</t>
        </is>
      </c>
      <c r="Q9" s="86" t="inlineStr">
        <is>
          <t>Spec §28, §30</t>
        </is>
      </c>
      <c r="R9" s="111" t="inlineStr">
        <is>
          <t>Done 2026-10-16 (merged #243) (rcfworks): worlds per environment under the owner's external ID; zones upserted by external ID, all or nothing; IDs fixed by a DB trigger. SponsorX-Virtual-Registry.md §1.</t>
        </is>
      </c>
    </row>
    <row r="10" ht="23.85" customHeight="1" s="75">
      <c r="A10" s="104" t="n">
        <v>7</v>
      </c>
      <c r="B10" s="105" t="inlineStr">
        <is>
          <t>4S1-BE-02</t>
        </is>
      </c>
      <c r="C10" s="81" t="n">
        <v>1</v>
      </c>
      <c r="D10" s="82" t="inlineStr">
        <is>
          <t>Sprint 1 · World &amp; placement registry</t>
        </is>
      </c>
      <c r="E10" s="139" t="inlineStr">
        <is>
          <t>BE</t>
        </is>
      </c>
      <c r="F10" s="120" t="inlineStr">
        <is>
          <t>Code</t>
        </is>
      </c>
      <c r="G10" s="80" t="inlineStr">
        <is>
          <t>Virtual placement model</t>
        </is>
      </c>
      <c r="H10" s="107" t="inlineStr">
        <is>
          <t>Billboards, LED surfaces, naming rights, branded rooms, courts, tunnels, kiosks. Each with technical creative constraints, a viewability rule and capacity.</t>
        </is>
      </c>
      <c r="I10" s="108" t="inlineStr">
        <is>
          <t>Done</t>
        </is>
      </c>
      <c r="J10" s="108" t="n">
        <v>5</v>
      </c>
      <c r="K10" s="109" t="n">
        <v>46311</v>
      </c>
      <c r="L10" s="109" t="n">
        <v>46311</v>
      </c>
      <c r="M10" s="110" t="inlineStr">
        <is>
          <t>rcfworks</t>
        </is>
      </c>
      <c r="N10" s="81" t="n">
        <v>0</v>
      </c>
      <c r="O10" s="80" t="inlineStr">
        <is>
          <t>4S1-BE-01</t>
        </is>
      </c>
      <c r="P10" s="80" t="inlineStr">
        <is>
          <t>A placement can be registered with specs, viewability rule and availability</t>
        </is>
      </c>
      <c r="Q10" s="82" t="inlineStr">
        <is>
          <t>Spec §30</t>
        </is>
      </c>
      <c r="R10" s="111" t="inlineStr">
        <is>
          <t>Done 2026-10-16 (merged #243) (rcfworks): placements with kind, specs, creative types, limits, capacity, viewability rule, price, dates; draft until on sale; specs fixed on sale. §2.</t>
        </is>
      </c>
    </row>
    <row r="11" ht="32.8" customHeight="1" s="75">
      <c r="A11" s="112" t="n">
        <v>8</v>
      </c>
      <c r="B11" s="113" t="inlineStr">
        <is>
          <t>4S1-BE-03</t>
        </is>
      </c>
      <c r="C11" s="85" t="n">
        <v>1</v>
      </c>
      <c r="D11" s="86" t="inlineStr">
        <is>
          <t>Sprint 1 · World &amp; placement registry</t>
        </is>
      </c>
      <c r="E11" s="137" t="inlineStr">
        <is>
          <t>BE</t>
        </is>
      </c>
      <c r="F11" s="122" t="inlineStr">
        <is>
          <t>Code</t>
        </is>
      </c>
      <c r="G11" s="84" t="inlineStr">
        <is>
          <t>Map placements to sellable inventory</t>
        </is>
      </c>
      <c r="H11" s="116" t="inlineStr">
        <is>
          <t>The join that makes virtual surfaces purchasable through the same campaign system as everything else.</t>
        </is>
      </c>
      <c r="I11" s="108" t="inlineStr">
        <is>
          <t>Done</t>
        </is>
      </c>
      <c r="J11" s="108" t="n">
        <v>3</v>
      </c>
      <c r="K11" s="109" t="n">
        <v>46311</v>
      </c>
      <c r="L11" s="109" t="n">
        <v>46311</v>
      </c>
      <c r="M11" s="110" t="inlineStr">
        <is>
          <t>rcfworks</t>
        </is>
      </c>
      <c r="N11" s="85" t="n">
        <v>0</v>
      </c>
      <c r="O11" s="84" t="inlineStr">
        <is>
          <t>4S1-BE-02</t>
        </is>
      </c>
      <c r="P11" s="84" t="inlineStr">
        <is>
          <t>A virtual placement maps to a sellable SponsorX inventory record</t>
        </is>
      </c>
      <c r="Q11" s="86" t="inlineStr">
        <is>
          <t>Spec §27.1</t>
        </is>
      </c>
      <c r="R11" s="111" t="inlineStr">
        <is>
          <t>Done 2026-10-16 (merged #243) (rcfworks): on sale = one InventoryItem VIRTUAL_PLACEMENT owned by the world's property, kept in step; owner cannot edit or list it. §3.</t>
        </is>
      </c>
    </row>
    <row r="12" ht="23.85" customHeight="1" s="75">
      <c r="A12" s="104" t="n">
        <v>9</v>
      </c>
      <c r="B12" s="105" t="inlineStr">
        <is>
          <t>4S1-BE-04</t>
        </is>
      </c>
      <c r="C12" s="81" t="n">
        <v>1</v>
      </c>
      <c r="D12" s="82" t="inlineStr">
        <is>
          <t>Sprint 1 · World &amp; placement registry</t>
        </is>
      </c>
      <c r="E12" s="139" t="inlineStr">
        <is>
          <t>BE</t>
        </is>
      </c>
      <c r="F12" s="120" t="inlineStr">
        <is>
          <t>Code</t>
        </is>
      </c>
      <c r="G12" s="80" t="inlineStr">
        <is>
          <t>Placement availability windows</t>
        </is>
      </c>
      <c r="H12" s="107" t="inlineStr">
        <is>
          <t>Sellable time windows with capacity, so two sponsors cannot buy the same billboard for the same week.</t>
        </is>
      </c>
      <c r="I12" s="108" t="inlineStr">
        <is>
          <t>Done</t>
        </is>
      </c>
      <c r="J12" s="108" t="n">
        <v>3</v>
      </c>
      <c r="K12" s="109" t="n">
        <v>46311</v>
      </c>
      <c r="L12" s="109" t="n">
        <v>46311</v>
      </c>
      <c r="M12" s="110" t="inlineStr">
        <is>
          <t>rcfworks</t>
        </is>
      </c>
      <c r="N12" s="81" t="n">
        <v>0</v>
      </c>
      <c r="O12" s="80" t="inlineStr">
        <is>
          <t>4S1-BE-02</t>
        </is>
      </c>
      <c r="P12" s="80" t="inlineStr">
        <is>
          <t>Overlapping purchases of the same placement are rejected</t>
        </is>
      </c>
      <c r="Q12" s="82" t="inlineStr">
        <is>
          <t>Spec §30</t>
        </is>
      </c>
      <c r="R12"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3" ht="23.85" customHeight="1" s="75">
      <c r="A13" s="112" t="n">
        <v>10</v>
      </c>
      <c r="B13" s="113" t="inlineStr">
        <is>
          <t>4S1-FE-01</t>
        </is>
      </c>
      <c r="C13" s="85" t="n">
        <v>1</v>
      </c>
      <c r="D13" s="86" t="inlineStr">
        <is>
          <t>Sprint 1 · World &amp; placement registry</t>
        </is>
      </c>
      <c r="E13" s="121" t="inlineStr">
        <is>
          <t>FE</t>
        </is>
      </c>
      <c r="F13" s="122" t="inlineStr">
        <is>
          <t>Code</t>
        </is>
      </c>
      <c r="G13" s="84" t="inlineStr">
        <is>
          <t>Build the world registry screen</t>
        </is>
      </c>
      <c r="H13" s="116" t="inlineStr">
        <is>
          <t>Worlds, districts, venues, zones, environment IDs and operational status.</t>
        </is>
      </c>
      <c r="I13" s="108" t="inlineStr">
        <is>
          <t>Blocked</t>
        </is>
      </c>
      <c r="J13" s="108" t="n">
        <v>3</v>
      </c>
      <c r="K13" s="109" t="n"/>
      <c r="L13" s="109" t="n"/>
      <c r="M13" s="110" t="n"/>
      <c r="N13" s="85" t="n">
        <v>0</v>
      </c>
      <c r="O13" s="84" t="inlineStr">
        <is>
          <t>4S0-ART-01</t>
        </is>
      </c>
      <c r="P13" s="84" t="inlineStr">
        <is>
          <t>Admin can register and manage worlds and zones</t>
        </is>
      </c>
      <c r="Q13" s="86" t="inlineStr">
        <is>
          <t>Spec §26 P4-01</t>
        </is>
      </c>
      <c r="R13" s="111" t="n"/>
    </row>
    <row r="14" ht="15" customHeight="1" s="75">
      <c r="A14" s="104" t="n">
        <v>11</v>
      </c>
      <c r="B14" s="105" t="inlineStr">
        <is>
          <t>4S1-FE-02</t>
        </is>
      </c>
      <c r="C14" s="81" t="n">
        <v>1</v>
      </c>
      <c r="D14" s="82" t="inlineStr">
        <is>
          <t>Sprint 1 · World &amp; placement registry</t>
        </is>
      </c>
      <c r="E14" s="119" t="inlineStr">
        <is>
          <t>FE</t>
        </is>
      </c>
      <c r="F14" s="120" t="inlineStr">
        <is>
          <t>Code</t>
        </is>
      </c>
      <c r="G14" s="80" t="inlineStr">
        <is>
          <t>Build the placement manager</t>
        </is>
      </c>
      <c r="H14" s="107" t="inlineStr">
        <is>
          <t>Placement IDs, dimensions and type, zone, viewability rules, dates and pricing.</t>
        </is>
      </c>
      <c r="I14" s="108" t="inlineStr">
        <is>
          <t>Blocked</t>
        </is>
      </c>
      <c r="J14" s="108" t="n">
        <v>5</v>
      </c>
      <c r="K14" s="109" t="n"/>
      <c r="L14" s="109" t="n"/>
      <c r="M14" s="110" t="n"/>
      <c r="N14" s="81" t="n">
        <v>0</v>
      </c>
      <c r="O14" s="80" t="inlineStr">
        <is>
          <t>4S1-BE-02</t>
        </is>
      </c>
      <c r="P14" s="80" t="inlineStr">
        <is>
          <t>Admin can create, configure and price placements</t>
        </is>
      </c>
      <c r="Q14" s="82" t="inlineStr">
        <is>
          <t>Spec §26 P4-02</t>
        </is>
      </c>
      <c r="R14" s="111" t="n"/>
    </row>
    <row r="15" ht="22.35" customHeight="1" s="75">
      <c r="A15" s="112" t="n">
        <v>12</v>
      </c>
      <c r="B15" s="113" t="inlineStr">
        <is>
          <t>4S1-FE-03</t>
        </is>
      </c>
      <c r="C15" s="85" t="n">
        <v>1</v>
      </c>
      <c r="D15" s="86" t="inlineStr">
        <is>
          <t>Sprint 1 · World &amp; placement registry</t>
        </is>
      </c>
      <c r="E15" s="121" t="inlineStr">
        <is>
          <t>FE</t>
        </is>
      </c>
      <c r="F15" s="122" t="inlineStr">
        <is>
          <t>Code</t>
        </is>
      </c>
      <c r="G15" s="84" t="inlineStr">
        <is>
          <t>Build placement preview metadata</t>
        </is>
      </c>
      <c r="H15" s="116" t="inlineStr">
        <is>
          <t>Thumbnail, orientation, allowed creative types, technical constraints and placement test status — so a sponsor knows what they are buying.</t>
        </is>
      </c>
      <c r="I15" s="108" t="inlineStr">
        <is>
          <t>Blocked</t>
        </is>
      </c>
      <c r="J15" s="108" t="n">
        <v>3</v>
      </c>
      <c r="K15" s="109" t="n"/>
      <c r="L15" s="109" t="n"/>
      <c r="M15" s="110" t="n"/>
      <c r="N15" s="85" t="n">
        <v>0</v>
      </c>
      <c r="O15" s="84" t="inlineStr">
        <is>
          <t>4S1-BE-02</t>
        </is>
      </c>
      <c r="P15" s="84" t="inlineStr">
        <is>
          <t>Preview metadata renders and shows the placement's staging test status</t>
        </is>
      </c>
      <c r="Q15" s="86" t="inlineStr">
        <is>
          <t>Spec §26 P4-03</t>
        </is>
      </c>
      <c r="R15" s="111" t="n"/>
    </row>
    <row r="16" ht="23.85" customHeight="1" s="75">
      <c r="A16" s="104" t="n">
        <v>13</v>
      </c>
      <c r="B16" s="105" t="inlineStr">
        <is>
          <t>4S2-BE-01</t>
        </is>
      </c>
      <c r="C16" s="81" t="n">
        <v>2</v>
      </c>
      <c r="D16" s="82" t="inlineStr">
        <is>
          <t>Sprint 2 · Manifest &amp; creative deployment</t>
        </is>
      </c>
      <c r="E16" s="139" t="inlineStr">
        <is>
          <t>BE</t>
        </is>
      </c>
      <c r="F16" s="120" t="inlineStr">
        <is>
          <t>Code</t>
        </is>
      </c>
      <c r="G16" s="80" t="inlineStr">
        <is>
          <t>Creative deployment model</t>
        </is>
      </c>
      <c r="H16" s="107" t="inlineStr">
        <is>
          <t>Associate approved sponsor assets with placements, versioned, with start and end times.</t>
        </is>
      </c>
      <c r="I16" s="108" t="inlineStr">
        <is>
          <t>Done</t>
        </is>
      </c>
      <c r="J16" s="108" t="n">
        <v>5</v>
      </c>
      <c r="K16" s="109" t="n">
        <v>46311</v>
      </c>
      <c r="L16" s="109" t="n">
        <v>46311</v>
      </c>
      <c r="M16" s="110" t="inlineStr">
        <is>
          <t>rcfworks</t>
        </is>
      </c>
      <c r="N16" s="81" t="n">
        <v>0</v>
      </c>
      <c r="O16" s="80" t="inlineStr">
        <is>
          <t>4S1-BE-03</t>
        </is>
      </c>
      <c r="P16" s="80" t="inlineStr">
        <is>
          <t>A deployment record ties campaign, placement, asset version and schedule</t>
        </is>
      </c>
      <c r="Q16" s="82" t="inlineStr">
        <is>
          <t>Spec §27.2, §30</t>
        </is>
      </c>
      <c r="R16"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7" ht="23.85" customHeight="1" s="75">
      <c r="A17" s="112" t="n">
        <v>14</v>
      </c>
      <c r="B17" s="113" t="inlineStr">
        <is>
          <t>4S2-BE-02</t>
        </is>
      </c>
      <c r="C17" s="85" t="n">
        <v>2</v>
      </c>
      <c r="D17" s="86" t="inlineStr">
        <is>
          <t>Sprint 2 · Manifest &amp; creative deployment</t>
        </is>
      </c>
      <c r="E17" s="137" t="inlineStr">
        <is>
          <t>BE</t>
        </is>
      </c>
      <c r="F17" s="122" t="inlineStr">
        <is>
          <t>Code</t>
        </is>
      </c>
      <c r="G17" s="84" t="inlineStr">
        <is>
          <t>Creative validation against placement specs</t>
        </is>
      </c>
      <c r="H17" s="116" t="inlineStr">
        <is>
          <t>Reject assets that do not fit the surface before they reach the world, not after a sponsor complains.</t>
        </is>
      </c>
      <c r="I17" s="108" t="inlineStr">
        <is>
          <t>Done</t>
        </is>
      </c>
      <c r="J17" s="108" t="n">
        <v>3</v>
      </c>
      <c r="K17" s="109" t="n">
        <v>46311</v>
      </c>
      <c r="L17" s="109" t="n">
        <v>46311</v>
      </c>
      <c r="M17" s="110" t="inlineStr">
        <is>
          <t>rcfworks</t>
        </is>
      </c>
      <c r="N17" s="85" t="n">
        <v>0</v>
      </c>
      <c r="O17" s="84" t="inlineStr">
        <is>
          <t>4S2-BE-01</t>
        </is>
      </c>
      <c r="P17" s="84" t="inlineStr">
        <is>
          <t>An asset failing the placement's technical constraints is rejected at upload</t>
        </is>
      </c>
      <c r="Q17" s="86" t="inlineStr">
        <is>
          <t>Spec §27.2</t>
        </is>
      </c>
      <c r="R17"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8" ht="23.85" customHeight="1" s="75">
      <c r="A18" s="104" t="n">
        <v>15</v>
      </c>
      <c r="B18" s="105" t="inlineStr">
        <is>
          <t>4S2-BE-03</t>
        </is>
      </c>
      <c r="C18" s="81" t="n">
        <v>2</v>
      </c>
      <c r="D18" s="82" t="inlineStr">
        <is>
          <t>Sprint 2 · Manifest &amp; creative deployment</t>
        </is>
      </c>
      <c r="E18" s="139" t="inlineStr">
        <is>
          <t>BE</t>
        </is>
      </c>
      <c r="F18" s="120" t="inlineStr">
        <is>
          <t>Code</t>
        </is>
      </c>
      <c r="G18" s="80" t="inlineStr">
        <is>
          <t>Active manifest service</t>
        </is>
      </c>
      <c r="H18" s="107" t="inlineStr">
        <is>
          <t>The endpoint INFINEX calls to ask what is live right now. Must return only approved, in-window deployments for the requested world and time.</t>
        </is>
      </c>
      <c r="I18" s="108" t="inlineStr">
        <is>
          <t>Done</t>
        </is>
      </c>
      <c r="J18" s="108" t="n">
        <v>5</v>
      </c>
      <c r="K18" s="109" t="n">
        <v>46311</v>
      </c>
      <c r="L18" s="109" t="n">
        <v>46311</v>
      </c>
      <c r="M18" s="110" t="inlineStr">
        <is>
          <t>rcfworks</t>
        </is>
      </c>
      <c r="N18" s="81" t="n">
        <v>0</v>
      </c>
      <c r="O18" s="80" t="inlineStr">
        <is>
          <t>4S2-BE-01</t>
        </is>
      </c>
      <c r="P18" s="80" t="inlineStr">
        <is>
          <t>Manifest returns only approved, in-window deployments for the requested world and time</t>
        </is>
      </c>
      <c r="Q18" s="82" t="inlineStr">
        <is>
          <t>Spec §28, §34</t>
        </is>
      </c>
      <c r="R18" s="111" t="inlineStr">
        <is>
          <t>Done 2026-10-16 (merged #250) (rcfworks): GET /virtual/worlds/{id}/manifest?at= — only approved, in-date deployments on booked windows, on-sale placements, validated creative, active world; manifestVersion + ETag/304. Download links 4S2-BE-04; game login 4S0-SEC-01. §7.</t>
        </is>
      </c>
    </row>
    <row r="19" ht="23.85" customHeight="1" s="75">
      <c r="A19" s="112" t="n">
        <v>16</v>
      </c>
      <c r="B19" s="113" t="inlineStr">
        <is>
          <t>4S2-BE-04</t>
        </is>
      </c>
      <c r="C19" s="85" t="n">
        <v>2</v>
      </c>
      <c r="D19" s="86" t="inlineStr">
        <is>
          <t>Sprint 2 · Manifest &amp; creative deployment</t>
        </is>
      </c>
      <c r="E19" s="137" t="inlineStr">
        <is>
          <t>BE</t>
        </is>
      </c>
      <c r="F19" s="122" t="inlineStr">
        <is>
          <t>Code</t>
        </is>
      </c>
      <c r="G19" s="84" t="inlineStr">
        <is>
          <t>Signed asset delivery through the CDN</t>
        </is>
      </c>
      <c r="H19" s="116" t="inlineStr">
        <is>
          <t>Creative is served fast and signed, so assets cannot be lifted from the URL.</t>
        </is>
      </c>
      <c r="I19" s="108" t="inlineStr">
        <is>
          <t>Done</t>
        </is>
      </c>
      <c r="J19" s="108" t="n">
        <v>3</v>
      </c>
      <c r="K19" s="163" t="n">
        <v>46314</v>
      </c>
      <c r="L19" s="163" t="n">
        <v>46314</v>
      </c>
      <c r="M19" s="110" t="inlineStr">
        <is>
          <t>rcfworks</t>
        </is>
      </c>
      <c r="N19" s="85" t="n">
        <v>0</v>
      </c>
      <c r="O19" s="84" t="inlineStr">
        <is>
          <t>4S2-BE-03</t>
        </is>
      </c>
      <c r="P19" s="84" t="inlineStr">
        <is>
          <t>Creative is delivered through signed, short-lived CDN URLs</t>
        </is>
      </c>
      <c r="Q19" s="86" t="inlineStr">
        <is>
          <t>Spec §31</t>
        </is>
      </c>
      <c r="R19"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20" ht="23.85" customHeight="1" s="75">
      <c r="A20" s="104" t="n">
        <v>17</v>
      </c>
      <c r="B20" s="105" t="inlineStr">
        <is>
          <t>4S2-BE-05</t>
        </is>
      </c>
      <c r="C20" s="81" t="n">
        <v>2</v>
      </c>
      <c r="D20" s="82" t="inlineStr">
        <is>
          <t>Sprint 2 · Manifest &amp; creative deployment</t>
        </is>
      </c>
      <c r="E20" s="139" t="inlineStr">
        <is>
          <t>BE</t>
        </is>
      </c>
      <c r="F20" s="120" t="inlineStr">
        <is>
          <t>Code</t>
        </is>
      </c>
      <c r="G20" s="80" t="inlineStr">
        <is>
          <t>Deployment pause and rollback</t>
        </is>
      </c>
      <c r="H20" s="107" t="inlineStr">
        <is>
          <t>A sponsor needs their creative down in minutes, not at the next release. Pausing invalidates the manifest and the prior asset state.</t>
        </is>
      </c>
      <c r="I20" s="108" t="inlineStr">
        <is>
          <t>Done</t>
        </is>
      </c>
      <c r="J20" s="108" t="n">
        <v>3</v>
      </c>
      <c r="K20" s="163" t="n">
        <v>46314</v>
      </c>
      <c r="L20" s="163" t="n">
        <v>46314</v>
      </c>
      <c r="M20" s="110" t="inlineStr">
        <is>
          <t>rcfworks</t>
        </is>
      </c>
      <c r="N20" s="81" t="n">
        <v>0</v>
      </c>
      <c r="O20" s="80" t="inlineStr">
        <is>
          <t>4S2-BE-03</t>
        </is>
      </c>
      <c r="P20" s="80" t="inlineStr">
        <is>
          <t>Creative can be paused or rolled back from SponsorX without redeploying the INFINEX application</t>
        </is>
      </c>
      <c r="Q20" s="82" t="inlineStr">
        <is>
          <t>Spec §27.2, §34</t>
        </is>
      </c>
      <c r="R20"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21" ht="23.85" customHeight="1" s="75">
      <c r="A21" s="112" t="n">
        <v>18</v>
      </c>
      <c r="B21" s="113" t="inlineStr">
        <is>
          <t>4S2-FE-01</t>
        </is>
      </c>
      <c r="C21" s="85" t="n">
        <v>2</v>
      </c>
      <c r="D21" s="86" t="inlineStr">
        <is>
          <t>Sprint 2 · Manifest &amp; creative deployment</t>
        </is>
      </c>
      <c r="E21" s="121" t="inlineStr">
        <is>
          <t>FE</t>
        </is>
      </c>
      <c r="F21" s="122" t="inlineStr">
        <is>
          <t>Code</t>
        </is>
      </c>
      <c r="G21" s="84" t="inlineStr">
        <is>
          <t>Build the creative deployment console</t>
        </is>
      </c>
      <c r="H21" s="116" t="inlineStr">
        <is>
          <t>Assign creative version, approve, schedule, publish and roll back.</t>
        </is>
      </c>
      <c r="I21" s="108" t="inlineStr">
        <is>
          <t>Blocked</t>
        </is>
      </c>
      <c r="J21" s="108" t="n">
        <v>5</v>
      </c>
      <c r="K21" s="109" t="n"/>
      <c r="L21" s="109" t="n"/>
      <c r="M21" s="110" t="n"/>
      <c r="N21" s="85" t="n">
        <v>0</v>
      </c>
      <c r="O21" s="84" t="inlineStr">
        <is>
          <t>4S0-ART-01</t>
        </is>
      </c>
      <c r="P21" s="84" t="inlineStr">
        <is>
          <t>Staff can run the full deployment lifecycle from the console</t>
        </is>
      </c>
      <c r="Q21" s="86" t="inlineStr">
        <is>
          <t>Spec §26 P4-05</t>
        </is>
      </c>
      <c r="R21" s="111" t="n"/>
    </row>
    <row r="22" ht="23.85" customHeight="1" s="75">
      <c r="A22" s="112" t="n">
        <v>20</v>
      </c>
      <c r="B22" s="113" t="inlineStr">
        <is>
          <t>4S3-INT-02</t>
        </is>
      </c>
      <c r="C22" s="85" t="n">
        <v>3</v>
      </c>
      <c r="D22" s="86" t="inlineStr">
        <is>
          <t>Sprint 3 · INFINEX client endpoints</t>
        </is>
      </c>
      <c r="E22" s="141" t="inlineStr">
        <is>
          <t>INT</t>
        </is>
      </c>
      <c r="F22" s="122" t="inlineStr">
        <is>
          <t>Code</t>
        </is>
      </c>
      <c r="G22" s="84" t="inlineStr">
        <is>
          <t>Client registry and heartbeat endpoint</t>
        </is>
      </c>
      <c r="H22" s="116" t="inlineStr">
        <is>
          <t>SponsorX's side: the client registry, the heartbeat endpoint and the missing-heartbeat alert, proven with the stand-in world. The game sending it is 5S1-INT-02.</t>
        </is>
      </c>
      <c r="I22" s="108" t="inlineStr">
        <is>
          <t>Done</t>
        </is>
      </c>
      <c r="J22" s="108" t="n">
        <v>2</v>
      </c>
      <c r="K22" s="163" t="n">
        <v>46314</v>
      </c>
      <c r="L22" s="163" t="n">
        <v>46314</v>
      </c>
      <c r="M22" s="110" t="inlineStr">
        <is>
          <t>rcfworks</t>
        </is>
      </c>
      <c r="N22" s="85" t="n">
        <v>0</v>
      </c>
      <c r="O22" s="84" t="inlineStr">
        <is>
          <t>4S2-BE-03</t>
        </is>
      </c>
      <c r="P22" s="84" t="inlineStr">
        <is>
          <t>A registered client's heartbeat is recorded and a missing heartbeat raises an alert (proven with the stand-in world)</t>
        </is>
      </c>
      <c r="Q22" s="86" t="inlineStr">
        <is>
          <t>Spec §28, §30</t>
        </is>
      </c>
      <c r="R22"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5S1-INT-02.</t>
        </is>
      </c>
    </row>
    <row r="23" ht="23.85" customHeight="1" s="75">
      <c r="A23" s="104" t="n">
        <v>21</v>
      </c>
      <c r="B23" s="105" t="inlineStr">
        <is>
          <t>4S3-INT-03</t>
        </is>
      </c>
      <c r="C23" s="81" t="n">
        <v>3</v>
      </c>
      <c r="D23" s="82" t="inlineStr">
        <is>
          <t>Sprint 3 · INFINEX client endpoints</t>
        </is>
      </c>
      <c r="E23" s="138" t="inlineStr">
        <is>
          <t>INT</t>
        </is>
      </c>
      <c r="F23" s="120" t="inlineStr">
        <is>
          <t>Code</t>
        </is>
      </c>
      <c r="G23" s="80" t="inlineStr">
        <is>
          <t>Client configuration endpoint</t>
        </is>
      </c>
      <c r="H23" s="107" t="inlineStr">
        <is>
          <t>SponsorX's side: feature flags, telemetry limits and schema versions served per client, so behaviour changes without a client release. The game honouring them is 5S1-INT-03.</t>
        </is>
      </c>
      <c r="I23" s="108" t="inlineStr">
        <is>
          <t>Done</t>
        </is>
      </c>
      <c r="J23" s="108" t="n">
        <v>1</v>
      </c>
      <c r="K23" s="163" t="n">
        <v>46314</v>
      </c>
      <c r="L23" s="163" t="n">
        <v>46314</v>
      </c>
      <c r="M23" s="110" t="inlineStr">
        <is>
          <t>rcfworks</t>
        </is>
      </c>
      <c r="N23" s="81" t="n">
        <v>0</v>
      </c>
      <c r="O23" s="80" t="inlineStr">
        <is>
          <t>4S2-BE-03</t>
        </is>
      </c>
      <c r="P23" s="80" t="inlineStr">
        <is>
          <t>Config is served per client with its telemetry limits, and the stand-in world honours them</t>
        </is>
      </c>
      <c r="Q23" s="82" t="inlineStr">
        <is>
          <t>Spec §28</t>
        </is>
      </c>
      <c r="R23"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5S1-INT-03.</t>
        </is>
      </c>
    </row>
    <row r="24" ht="23.85" customHeight="1" s="75">
      <c r="A24" s="104" t="n">
        <v>23</v>
      </c>
      <c r="B24" s="105" t="inlineStr">
        <is>
          <t>4S4-BE-01</t>
        </is>
      </c>
      <c r="C24" s="81" t="n">
        <v>4</v>
      </c>
      <c r="D24" s="82" t="inlineStr">
        <is>
          <t>Sprint 4 · Telemetry ingestion</t>
        </is>
      </c>
      <c r="E24" s="139" t="inlineStr">
        <is>
          <t>BE</t>
        </is>
      </c>
      <c r="F24" s="120" t="inlineStr">
        <is>
          <t>Code</t>
        </is>
      </c>
      <c r="G24" s="80" t="inlineStr">
        <is>
          <t>Telemetry batch ingestion endpoint</t>
        </is>
      </c>
      <c r="H24" s="107" t="inlineStr">
        <is>
          <t>Batched events with service authentication. Validates schema, timestamp, placement-campaign relationship, signature and replay indicators.</t>
        </is>
      </c>
      <c r="I24" s="108" t="inlineStr">
        <is>
          <t>Done</t>
        </is>
      </c>
      <c r="J24" s="108" t="n">
        <v>5</v>
      </c>
      <c r="K24" s="163" t="n">
        <v>46314</v>
      </c>
      <c r="L24" s="163" t="n">
        <v>46314</v>
      </c>
      <c r="M24" s="110" t="inlineStr">
        <is>
          <t>rcfworks</t>
        </is>
      </c>
      <c r="N24" s="81" t="n">
        <v>0</v>
      </c>
      <c r="O24" s="80" t="inlineStr">
        <is>
          <t>4S0-SEC-01</t>
        </is>
      </c>
      <c r="P24" s="80" t="inlineStr">
        <is>
          <t>Batch endpoint supports idempotent event IDs and rejects malformed or unauthorised events</t>
        </is>
      </c>
      <c r="Q24" s="82" t="inlineStr">
        <is>
          <t>Spec §28, §34</t>
        </is>
      </c>
      <c r="R24"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5" ht="23.85" customHeight="1" s="75">
      <c r="A25" s="112" t="n">
        <v>24</v>
      </c>
      <c r="B25" s="113" t="inlineStr">
        <is>
          <t>4S4-BE-02</t>
        </is>
      </c>
      <c r="C25" s="85" t="n">
        <v>4</v>
      </c>
      <c r="D25" s="86" t="inlineStr">
        <is>
          <t>Sprint 4 · Telemetry ingestion</t>
        </is>
      </c>
      <c r="E25" s="137" t="inlineStr">
        <is>
          <t>BE</t>
        </is>
      </c>
      <c r="F25" s="122" t="inlineStr">
        <is>
          <t>Code</t>
        </is>
      </c>
      <c r="G25" s="84" t="inlineStr">
        <is>
          <t>Event schema and versioning</t>
        </is>
      </c>
      <c r="H25" s="116" t="inlineStr">
        <is>
          <t>The shared contract: event_id, schema_version, event_type, occurred_at, world/zone/placement, session, dwell, interaction type. Versioned so client and server can evolve apart.</t>
        </is>
      </c>
      <c r="I25" s="108" t="inlineStr">
        <is>
          <t>Done</t>
        </is>
      </c>
      <c r="J25" s="108" t="n">
        <v>3</v>
      </c>
      <c r="K25" s="163" t="n">
        <v>46314</v>
      </c>
      <c r="L25" s="163" t="n">
        <v>46314</v>
      </c>
      <c r="M25" s="110" t="inlineStr">
        <is>
          <t>rcfworks</t>
        </is>
      </c>
      <c r="N25" s="85" t="n">
        <v>0</v>
      </c>
      <c r="O25" s="84" t="inlineStr">
        <is>
          <t>4S4-BE-01</t>
        </is>
      </c>
      <c r="P25" s="84" t="inlineStr">
        <is>
          <t>Schema is versioned and a mismatched version is rejected with a clear error</t>
        </is>
      </c>
      <c r="Q25" s="86" t="inlineStr">
        <is>
          <t>Spec §29</t>
        </is>
      </c>
      <c r="R25"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6" ht="32.8" customHeight="1" s="75">
      <c r="A26" s="104" t="n">
        <v>27</v>
      </c>
      <c r="B26" s="105" t="inlineStr">
        <is>
          <t>4S4-DATA-01</t>
        </is>
      </c>
      <c r="C26" s="81" t="n">
        <v>4</v>
      </c>
      <c r="D26" s="82" t="inlineStr">
        <is>
          <t>Sprint 4 · Telemetry ingestion</t>
        </is>
      </c>
      <c r="E26" s="143" t="inlineStr">
        <is>
          <t>DATA</t>
        </is>
      </c>
      <c r="F26" s="120" t="inlineStr">
        <is>
          <t>Code</t>
        </is>
      </c>
      <c r="G26" s="80" t="inlineStr">
        <is>
          <t>Raw event storage</t>
        </is>
      </c>
      <c r="H26" s="107" t="inlineStr">
        <is>
          <t>Durable raw telemetry, kept separate from aggregates, so any number can be recomputed from source.</t>
        </is>
      </c>
      <c r="I26" s="108" t="inlineStr">
        <is>
          <t>Done</t>
        </is>
      </c>
      <c r="J26" s="108" t="n">
        <v>3</v>
      </c>
      <c r="K26" s="163" t="n">
        <v>46314</v>
      </c>
      <c r="L26" s="163" t="n">
        <v>46314</v>
      </c>
      <c r="M26" s="110" t="inlineStr">
        <is>
          <t>rcfworks</t>
        </is>
      </c>
      <c r="N26" s="81" t="n">
        <v>0</v>
      </c>
      <c r="O26" s="80" t="inlineStr">
        <is>
          <t>4S4-BE-01</t>
        </is>
      </c>
      <c r="P26" s="80" t="inlineStr">
        <is>
          <t>Raw events are durably stored and aggregates are reproducible from them</t>
        </is>
      </c>
      <c r="Q26" s="82" t="inlineStr">
        <is>
          <t>Spec §30</t>
        </is>
      </c>
      <c r="R26"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7" ht="23.85" customHeight="1" s="75">
      <c r="A27" s="112" t="n">
        <v>38</v>
      </c>
      <c r="B27" s="113" t="inlineStr">
        <is>
          <t>4S7-BE-01</t>
        </is>
      </c>
      <c r="C27" s="85" t="n">
        <v>7</v>
      </c>
      <c r="D27" s="86" t="inlineStr">
        <is>
          <t>Sprint 7 · Cross-channel reporting</t>
        </is>
      </c>
      <c r="E27" s="137" t="inlineStr">
        <is>
          <t>BE</t>
        </is>
      </c>
      <c r="F27" s="122" t="inlineStr">
        <is>
          <t>Code</t>
        </is>
      </c>
      <c r="G27" s="84" t="inlineStr">
        <is>
          <t>Cross-channel campaign model extension</t>
        </is>
      </c>
      <c r="H27" s="116" t="inlineStr">
        <is>
          <t>One campaign holding real-world, social, athlete, reward and INFINEX inventory together.</t>
        </is>
      </c>
      <c r="I27" s="108" t="inlineStr">
        <is>
          <t>Done</t>
        </is>
      </c>
      <c r="J27" s="108" t="n">
        <v>5</v>
      </c>
      <c r="K27" s="163" t="n">
        <v>46314</v>
      </c>
      <c r="L27" s="163" t="n">
        <v>46314</v>
      </c>
      <c r="M27" s="110" t="inlineStr">
        <is>
          <t>rcfworks</t>
        </is>
      </c>
      <c r="N27" s="85" t="n">
        <v>0</v>
      </c>
      <c r="O27" s="84" t="inlineStr">
        <is>
          <t>4S1-BE-03</t>
        </is>
      </c>
      <c r="P27" s="84" t="inlineStr">
        <is>
          <t>A single campaign can contain virtual and non-virtual inventory</t>
        </is>
      </c>
      <c r="Q27" s="86" t="inlineStr">
        <is>
          <t>Spec §25</t>
        </is>
      </c>
      <c r="R27"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8" ht="23.85" customHeight="1" s="75">
      <c r="A28" s="112" t="n">
        <v>44</v>
      </c>
      <c r="B28" s="113" t="inlineStr">
        <is>
          <t>4S8-BE-01</t>
        </is>
      </c>
      <c r="C28" s="85" t="n">
        <v>8</v>
      </c>
      <c r="D28" s="86" t="inlineStr">
        <is>
          <t>Sprint 8 · Operations &amp; load</t>
        </is>
      </c>
      <c r="E28" s="137" t="inlineStr">
        <is>
          <t>BE</t>
        </is>
      </c>
      <c r="F28" s="122" t="inlineStr">
        <is>
          <t>Code</t>
        </is>
      </c>
      <c r="G28" s="84" t="inlineStr">
        <is>
          <t>Emergency pause and kill switch</t>
        </is>
      </c>
      <c r="H28" s="116" t="inlineStr">
        <is>
          <t>One control that takes a sponsor's creative down across every world immediately. You will need it on a Friday evening.</t>
        </is>
      </c>
      <c r="I28" s="108" t="inlineStr">
        <is>
          <t>Blocked</t>
        </is>
      </c>
      <c r="J28" s="108" t="n">
        <v>3</v>
      </c>
      <c r="K28" s="109" t="n"/>
      <c r="L28" s="109" t="n"/>
      <c r="M28" s="110" t="n"/>
      <c r="N28" s="85" t="n">
        <v>0</v>
      </c>
      <c r="O28" s="84" t="inlineStr">
        <is>
          <t>4S2-BE-05</t>
        </is>
      </c>
      <c r="P28" s="84" t="inlineStr">
        <is>
          <t>Emergency pause removes creative from all worlds within the agreed time target</t>
        </is>
      </c>
      <c r="Q28" s="86" t="inlineStr">
        <is>
          <t>Spec §28</t>
        </is>
      </c>
      <c r="R28" s="111" t="n"/>
    </row>
    <row r="29" ht="23.85" customHeight="1" s="75">
      <c r="A29" s="104" t="n">
        <v>45</v>
      </c>
      <c r="B29" s="105" t="inlineStr">
        <is>
          <t>4S8-BE-02</t>
        </is>
      </c>
      <c r="C29" s="81" t="n">
        <v>8</v>
      </c>
      <c r="D29" s="82" t="inlineStr">
        <is>
          <t>Sprint 8 · Operations &amp; load</t>
        </is>
      </c>
      <c r="E29" s="139" t="inlineStr">
        <is>
          <t>BE</t>
        </is>
      </c>
      <c r="F29" s="120" t="inlineStr">
        <is>
          <t>Code</t>
        </is>
      </c>
      <c r="G29" s="80" t="inlineStr">
        <is>
          <t>Deployment incident log</t>
        </is>
      </c>
      <c r="H29" s="107" t="inlineStr">
        <is>
          <t>Type, severity, opened and closed times, notes. Ops history a sponsor can be shown.</t>
        </is>
      </c>
      <c r="I29" s="108" t="inlineStr">
        <is>
          <t>Blocked</t>
        </is>
      </c>
      <c r="J29" s="108" t="n">
        <v>3</v>
      </c>
      <c r="K29" s="109" t="n"/>
      <c r="L29" s="109" t="n"/>
      <c r="M29" s="110" t="n"/>
      <c r="N29" s="81" t="n">
        <v>0</v>
      </c>
      <c r="O29" s="80" t="inlineStr">
        <is>
          <t>4S8-BE-01</t>
        </is>
      </c>
      <c r="P29" s="80" t="inlineStr">
        <is>
          <t>Incidents are logged, tracked and closable with notes</t>
        </is>
      </c>
      <c r="Q29" s="82" t="inlineStr">
        <is>
          <t>Spec §30</t>
        </is>
      </c>
      <c r="R29" s="111" t="n"/>
    </row>
    <row r="30" ht="23.85" customHeight="1" s="75">
      <c r="A30" s="112" t="n">
        <v>50</v>
      </c>
      <c r="B30" s="113" t="inlineStr">
        <is>
          <t>4S9-PMO-02</t>
        </is>
      </c>
      <c r="C30" s="85" t="n">
        <v>9</v>
      </c>
      <c r="D30" s="86" t="inlineStr">
        <is>
          <t>Sprint 9 · Web application launch</t>
        </is>
      </c>
      <c r="E30" s="112" t="inlineStr">
        <is>
          <t>PMO</t>
        </is>
      </c>
      <c r="F30" s="130" t="inlineStr">
        <is>
          <t>Document</t>
        </is>
      </c>
      <c r="G30" s="84" t="inlineStr">
        <is>
          <t>Phase 4 UAT</t>
        </is>
      </c>
      <c r="H30" s="116" t="inlineStr">
        <is>
          <t>The web application walked end to end: BTG registers a world and its placements, sells a placement into a campaign, deploys, pauses and rolls back creative, and uses the emergency pause, all from SponsorX's screens. Since 2026-10-20 nothing here needs the game.</t>
        </is>
      </c>
      <c r="I30" s="108" t="inlineStr">
        <is>
          <t>Blocked</t>
        </is>
      </c>
      <c r="J30" s="108" t="n">
        <v>5</v>
      </c>
      <c r="K30" s="109" t="n"/>
      <c r="L30" s="109" t="n"/>
      <c r="M30" s="110" t="n"/>
      <c r="N30" s="85" t="n">
        <v>0</v>
      </c>
      <c r="O30" s="84" t="inlineStr">
        <is>
          <t>4S1-FE-01, 4S1-FE-02, 4S1-FE-03, 4S2-FE-01, 4S8-BE-02</t>
        </is>
      </c>
      <c r="P30" s="84" t="inlineStr">
        <is>
          <t>All 6 Phase 4 acceptance criteria demonstrated and signed off</t>
        </is>
      </c>
      <c r="Q30" s="86" t="inlineStr">
        <is>
          <t>Spec §34</t>
        </is>
      </c>
      <c r="R30" s="111" t="inlineStr">
        <is>
          <t>Changed 2026-10-16 (user): no longer waits on the pilot world (now Phase 5).</t>
        </is>
      </c>
    </row>
    <row r="31" ht="23.85" customHeight="1" s="75">
      <c r="A31" s="104" t="n">
        <v>51</v>
      </c>
      <c r="B31" s="105" t="inlineStr">
        <is>
          <t>4S9-OPS-01</t>
        </is>
      </c>
      <c r="C31" s="81" t="n">
        <v>9</v>
      </c>
      <c r="D31" s="82" t="inlineStr">
        <is>
          <t>Sprint 9 · Web application launch</t>
        </is>
      </c>
      <c r="E31" s="132" t="inlineStr">
        <is>
          <t>OPS</t>
        </is>
      </c>
      <c r="F31" s="136" t="inlineStr">
        <is>
          <t>Vendor console</t>
        </is>
      </c>
      <c r="G31" s="80" t="inlineStr">
        <is>
          <t>Production rollout and incident readiness</t>
        </is>
      </c>
      <c r="H31" s="107" t="inlineStr">
        <is>
          <t>Streaming, observability, scaling and an on-call path before the first paying virtual sponsor.</t>
        </is>
      </c>
      <c r="I31" s="108" t="inlineStr">
        <is>
          <t>Blocked</t>
        </is>
      </c>
      <c r="J31" s="108" t="n">
        <v>3</v>
      </c>
      <c r="K31" s="109" t="n"/>
      <c r="L31" s="109" t="n"/>
      <c r="M31" s="110" t="n"/>
      <c r="N31" s="81" t="n">
        <v>0</v>
      </c>
      <c r="O31" s="80" t="inlineStr">
        <is>
          <t>4S9-PMO-02</t>
        </is>
      </c>
      <c r="P31" s="80" t="inlineStr">
        <is>
          <t>Production rollout complete with monitoring, alerting and an incident runbook</t>
        </is>
      </c>
      <c r="Q31" s="82" t="inlineStr">
        <is>
          <t>Spec §31, §38</t>
        </is>
      </c>
      <c r="R31" s="111" t="n"/>
    </row>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31"/>
  <mergeCells count="2">
    <mergeCell ref="A2:R2"/>
    <mergeCell ref="A1:R1"/>
  </mergeCells>
  <conditionalFormatting sqref="I5:I3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1">
    <cfRule type="expression" rank="0" priority="7" equalAverage="0" aboveAverage="0" dxfId="32" text="" percent="0" bottom="0">
      <formula>$I5="Done"</formula>
    </cfRule>
  </conditionalFormatting>
  <conditionalFormatting sqref="N5:N31">
    <cfRule type="cellIs" rank="0" priority="8" equalAverage="0" operator="greaterThanOrEqual" aboveAverage="0" dxfId="33" text="" percent="0" bottom="0">
      <formula>50</formula>
    </cfRule>
  </conditionalFormatting>
  <dataValidations count="1">
    <dataValidation sqref="I5:I31"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45"/>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INFINEX Game Integration</t>
        </is>
      </c>
    </row>
    <row r="2" ht="15" customHeight="1" s="75">
      <c r="A2" s="77" t="inlineStr">
        <is>
          <t>41 tasks across 7 sprints · the game side: the in-game connector, the staging world test, the pilot world, player accounts with a live connection, and (moved from Phase 4 on 2026-10-20, the game being parked) telemetry at scale, viewability and metrics, in-world activations, and game reporting and operations</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t>
        </is>
      </c>
    </row>
    <row r="6" ht="32.8" customHeight="1" s="75">
      <c r="A6" s="104" t="n">
        <v>2</v>
      </c>
      <c r="B6" s="105" t="inlineStr">
        <is>
          <t>5S1-INT-02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5S1-INT-01, 4S3-INT-02</t>
        </is>
      </c>
      <c r="P6" s="80" t="inlineStr">
        <is>
          <t>The game reports its heartbeat and SponsorX raises an alert when it stops</t>
        </is>
      </c>
      <c r="Q6" s="82" t="inlineStr">
        <is>
          <t>Spec §28, §30</t>
        </is>
      </c>
      <c r="R6" s="111" t="inlineStr">
        <is>
          <t>Game half of 4S3-INT-02 (split 2026-10-16).</t>
        </is>
      </c>
    </row>
    <row r="7" ht="32.8" customHeight="1" s="75">
      <c r="A7" s="104" t="n">
        <v>3</v>
      </c>
      <c r="B7" s="105" t="inlineStr">
        <is>
          <t>5S1-INT-03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5S1-INT-01, 4S3-INT-03</t>
        </is>
      </c>
      <c r="P7" s="80" t="inlineStr">
        <is>
          <t>The game reads its config remotely and honours telemetry limits</t>
        </is>
      </c>
      <c r="Q7" s="82" t="inlineStr">
        <is>
          <t>Spec §28</t>
        </is>
      </c>
      <c r="R7" s="111" t="inlineStr">
        <is>
          <t>Game half of 4S3-INT-03 (split 2026-10-16).</t>
        </is>
      </c>
    </row>
    <row r="8" ht="32.8" customHeight="1" s="75">
      <c r="A8" s="104" t="n">
        <v>4</v>
      </c>
      <c r="B8" s="105" t="inlineStr">
        <is>
          <t>5S1-QA-01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5S1-INT-01</t>
        </is>
      </c>
      <c r="P8" s="80" t="inlineStr">
        <is>
          <t>Placement passes the staging test before it can be marked available</t>
        </is>
      </c>
      <c r="Q8" s="82" t="inlineStr">
        <is>
          <t>Spec §27.1</t>
        </is>
      </c>
      <c r="R8" s="111" t="inlineStr">
        <is>
          <t>Formerly 4S3-QA-01 (moved 2026-10-16).</t>
        </is>
      </c>
    </row>
    <row r="9" ht="32.8" customHeight="1" s="75">
      <c r="A9" s="104" t="n">
        <v>5</v>
      </c>
      <c r="B9" s="105" t="inlineStr">
        <is>
          <t>5S2-QA-01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5S1-INT-01, 5S4-OPS-02</t>
        </is>
      </c>
      <c r="P9" s="80" t="inlineStr">
        <is>
          <t>Telemetry reconciles between client and server within defined tolerance</t>
        </is>
      </c>
      <c r="Q9" s="82" t="inlineStr">
        <is>
          <t>Spec §33</t>
        </is>
      </c>
      <c r="R9" s="111" t="inlineStr">
        <is>
          <t>Formerly 4S9-QA-01 (moved 2026-10-16).</t>
        </is>
      </c>
    </row>
    <row r="10" ht="32.8" customHeight="1" s="75">
      <c r="A10" s="104" t="n">
        <v>6</v>
      </c>
      <c r="B10" s="105" t="inlineStr">
        <is>
          <t>5S2-PMO-01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5S2-QA-01</t>
        </is>
      </c>
      <c r="P10" s="80" t="inlineStr">
        <is>
          <t>Virtual rates recalibrated against observed traffic, viewability and dwell</t>
        </is>
      </c>
      <c r="Q10" s="82" t="inlineStr">
        <is>
          <t>Spec §32</t>
        </is>
      </c>
      <c r="R10" s="111" t="inlineStr">
        <is>
          <t>Formerly 4S9-PMO-01 (moved 2026-10-16).</t>
        </is>
      </c>
    </row>
    <row r="11" ht="32.8" customHeight="1" s="75">
      <c r="A11" s="104" t="n">
        <v>7</v>
      </c>
      <c r="B11" s="105" t="inlineStr">
        <is>
          <t>5S2-PMO-02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5S2-QA-01, 5S3-QA-01</t>
        </is>
      </c>
      <c r="P11" s="80" t="inlineStr">
        <is>
          <t>All 13 Phase 5 acceptance criteria demonstrated and signed off</t>
        </is>
      </c>
      <c r="Q11" s="82" t="inlineStr">
        <is>
          <t>Spec §34</t>
        </is>
      </c>
      <c r="R11" s="111" t="inlineStr">
        <is>
          <t>New 2026-10-16: the real-sponsor pilot, formerly part of 4S9-PMO-02.</t>
        </is>
      </c>
    </row>
    <row r="12" ht="32.8" customHeight="1" s="75">
      <c r="A12" s="104" t="n">
        <v>8</v>
      </c>
      <c r="B12" s="105" t="inlineStr">
        <is>
          <t>5S3-PMO-01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row>
    <row r="13" ht="32.8" customHeight="1" s="75">
      <c r="A13" s="104" t="n">
        <v>8.5</v>
      </c>
      <c r="B13" s="105" t="inlineStr">
        <is>
          <t>5S3-PMO-02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row>
    <row r="14" ht="32.8" customHeight="1" s="75">
      <c r="A14" s="104" t="n">
        <v>9</v>
      </c>
      <c r="B14" s="105" t="inlineStr">
        <is>
          <t>5S3-SEC-01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5S3-PMO-01, 4S0-SEC-01</t>
        </is>
      </c>
      <c r="P14" s="80" t="inlineStr">
        <is>
          <t>The player authentication design is reviewed and approved</t>
        </is>
      </c>
      <c r="Q14" s="82" t="inlineStr">
        <is>
          <t>Spec §29, §31</t>
        </is>
      </c>
    </row>
    <row r="15" ht="32.8" customHeight="1" s="75">
      <c r="A15" s="104" t="n">
        <v>10</v>
      </c>
      <c r="B15" s="105" t="inlineStr">
        <is>
          <t>5S3-BE-01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5S3-SEC-01</t>
        </is>
      </c>
      <c r="P15" s="80" t="inlineStr">
        <is>
          <t>A player creates an account with email and password, verifies the email, and a duplicate or weak password is refused without revealing existing accounts</t>
        </is>
      </c>
      <c r="Q15" s="82" t="inlineStr">
        <is>
          <t>Spec §29</t>
        </is>
      </c>
    </row>
    <row r="16" ht="32.8" customHeight="1" s="75">
      <c r="A16" s="104" t="n">
        <v>11</v>
      </c>
      <c r="B16" s="105" t="inlineStr">
        <is>
          <t>5S3-BE-02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5S3-BE-01</t>
        </is>
      </c>
      <c r="P16" s="80" t="inlineStr">
        <is>
          <t>The game can tell an invalid login, a locked account, an unverified email and a required authenticator step apart from the server's response, and none of them reveals whether an account exists</t>
        </is>
      </c>
      <c r="Q16" s="82" t="inlineStr">
        <is>
          <t>Spec §29</t>
        </is>
      </c>
    </row>
    <row r="17" ht="32.8" customHeight="1" s="75">
      <c r="A17" s="104" t="n">
        <v>12</v>
      </c>
      <c r="B17" s="105" t="inlineStr">
        <is>
          <t>5S3-BE-03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5S3-BE-02</t>
        </is>
      </c>
      <c r="P17" s="80" t="inlineStr">
        <is>
          <t>Repeated failed logins lock the account for a set time, the game shows when it unlocks, the owner can unlock by email, and every lock is audited</t>
        </is>
      </c>
      <c r="Q17" s="82" t="inlineStr">
        <is>
          <t>Spec §29, §31</t>
        </is>
      </c>
    </row>
    <row r="18" ht="32.8" customHeight="1" s="75">
      <c r="A18" s="104" t="n">
        <v>13</v>
      </c>
      <c r="B18" s="105" t="inlineStr">
        <is>
          <t>5S3-INT-01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5S3-SEC-01, 5S3-BE-01</t>
        </is>
      </c>
      <c r="P18" s="80" t="inlineStr">
        <is>
          <t>A player signs up and signs in with Google, and can link Google to an existing account</t>
        </is>
      </c>
      <c r="Q18" s="82" t="inlineStr">
        <is>
          <t>Spec §29</t>
        </is>
      </c>
    </row>
    <row r="19" ht="32.8" customHeight="1" s="75">
      <c r="A19" s="104" t="n">
        <v>14</v>
      </c>
      <c r="B19" s="105" t="inlineStr">
        <is>
          <t>5S3-INT-02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5S3-SEC-01, 5S3-BE-01</t>
        </is>
      </c>
      <c r="P19" s="80" t="inlineStr">
        <is>
          <t>A player signs up and signs in with Apple, including with a hidden (relay) email, and can link Apple to an existing account</t>
        </is>
      </c>
      <c r="Q19" s="82" t="inlineStr">
        <is>
          <t>Spec §29</t>
        </is>
      </c>
    </row>
    <row r="20" ht="32.8" customHeight="1" s="75">
      <c r="A20" s="104" t="n">
        <v>15</v>
      </c>
      <c r="B20" s="105" t="inlineStr">
        <is>
          <t>5S3-BE-04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5S3-BE-02</t>
        </is>
      </c>
      <c r="P20" s="80" t="inlineStr">
        <is>
          <t>A player turns on an authenticator, every later login asks for its code, recovery codes work once each, and turning it off needs a fresh sign-in</t>
        </is>
      </c>
      <c r="Q20" s="82" t="inlineStr">
        <is>
          <t>Spec §29, §31</t>
        </is>
      </c>
    </row>
    <row r="21" ht="32.8" customHeight="1" s="75">
      <c r="A21" s="104" t="n">
        <v>16</v>
      </c>
      <c r="B21" s="105" t="inlineStr">
        <is>
          <t>5S3-BE-05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5S3-BE-02, 5S3-INT-01, 5S3-INT-02</t>
        </is>
      </c>
      <c r="P21" s="80" t="inlineStr">
        <is>
          <t>A player resets a forgotten password, links and unlinks Google or Apple without locking themselves out, and deletes their account in the game</t>
        </is>
      </c>
      <c r="Q21" s="82" t="inlineStr">
        <is>
          <t>Spec §29</t>
        </is>
      </c>
    </row>
    <row r="22" ht="32.8" customHeight="1" s="75">
      <c r="A22" s="104" t="n">
        <v>17</v>
      </c>
      <c r="B22" s="105" t="inlineStr">
        <is>
          <t>5S3-BE-06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5S3-BE-02</t>
        </is>
      </c>
      <c r="P22" s="80" t="inlineStr">
        <is>
          <t>Access tokens are short-lived, refresh tokens rotate, a reused refresh token ends the session, and a player can sign out one device or all of them</t>
        </is>
      </c>
      <c r="Q22" s="82" t="inlineStr">
        <is>
          <t>Spec §29, §31</t>
        </is>
      </c>
    </row>
    <row r="23" ht="32.8" customHeight="1" s="75">
      <c r="A23" s="104" t="n">
        <v>18</v>
      </c>
      <c r="B23" s="105" t="inlineStr">
        <is>
          <t>5S3-INT-03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5S3-PMO-02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5S3-PMO-02, 5S3-BE-06</t>
        </is>
      </c>
      <c r="P23" s="80" t="inlineStr">
        <is>
          <t>An authenticated game holds a live socket, receives a pause or feed change within seconds, reconnects on its own, falls back to polling, and an expired or revoked session is disconnected</t>
        </is>
      </c>
      <c r="Q23" s="82" t="inlineStr">
        <is>
          <t>Spec §28, §34</t>
        </is>
      </c>
    </row>
    <row r="24" ht="32.8" customHeight="1" s="75">
      <c r="A24" s="104" t="n">
        <v>19</v>
      </c>
      <c r="B24" s="105" t="inlineStr">
        <is>
          <t>5S3-INT-04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5S3-BE-02, 5S3-BE-03, 5S3-BE-04, 5S3-INT-01, 5S3-INT-02, 5S3-INT-03</t>
        </is>
      </c>
      <c r="P24" s="80" t="inlineStr">
        <is>
          <t>A player signs up and signs in inside the game by each method, sees the right message for every refused login, and the game connects its socket after login</t>
        </is>
      </c>
      <c r="Q24" s="82" t="inlineStr">
        <is>
          <t>Spec §29</t>
        </is>
      </c>
    </row>
    <row r="25" ht="32.8" customHeight="1" s="75">
      <c r="A25" s="104" t="n">
        <v>20</v>
      </c>
      <c r="B25" s="105" t="inlineStr">
        <is>
          <t>5S3-QA-01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5S3-INT-04</t>
        </is>
      </c>
      <c r="P25" s="80" t="inlineStr">
        <is>
          <t>Every check passes, or each open finding is recorded with its risk and its owner</t>
        </is>
      </c>
      <c r="Q25" s="82" t="inlineStr">
        <is>
          <t>Spec §29, §31</t>
        </is>
      </c>
    </row>
    <row r="26" ht="32.8" customHeight="1" s="75">
      <c r="A26" s="104" t="n">
        <v>21</v>
      </c>
      <c r="B26" s="105" t="inlineStr">
        <is>
          <t>5S4-PMO-01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row>
    <row r="27" ht="23.85" customHeight="1" s="75">
      <c r="A27" s="104" t="n">
        <v>22</v>
      </c>
      <c r="B27" s="105" t="inlineStr">
        <is>
          <t>5S4-BE-01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row>
    <row r="28" ht="23.85" customHeight="1" s="75">
      <c r="A28" s="104" t="n">
        <v>23</v>
      </c>
      <c r="B28" s="105" t="inlineStr">
        <is>
          <t>5S4-OPS-01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row>
    <row r="29" ht="23.85" customHeight="1" s="75">
      <c r="A29" s="104" t="n">
        <v>24</v>
      </c>
      <c r="B29" s="105" t="inlineStr">
        <is>
          <t>5S4-OPS-02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5S4-OPS-01</t>
        </is>
      </c>
      <c r="P29" s="80" t="inlineStr">
        <is>
          <t>Load test meets the agreed ingestion throughput and dashboard latency targets</t>
        </is>
      </c>
      <c r="Q29" s="82" t="inlineStr">
        <is>
          <t>Spec §34</t>
        </is>
      </c>
    </row>
    <row r="30" ht="23.85" customHeight="1" s="75">
      <c r="A30" s="104" t="n">
        <v>25</v>
      </c>
      <c r="B30" s="105" t="inlineStr">
        <is>
          <t>5S5-BE-01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row>
    <row r="31" ht="23.85" customHeight="1" s="75">
      <c r="A31" s="104" t="n">
        <v>26</v>
      </c>
      <c r="B31" s="105" t="inlineStr">
        <is>
          <t>5S5-DATA-01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5S5-BE-01</t>
        </is>
      </c>
      <c r="P31" s="80" t="inlineStr">
        <is>
          <t>Aggregates compute on schedule and dashboards read aggregates, never raw telemetry</t>
        </is>
      </c>
      <c r="Q31" s="82" t="inlineStr">
        <is>
          <t>Spec §27.3</t>
        </is>
      </c>
    </row>
    <row r="32" ht="22.35" customHeight="1" s="75">
      <c r="A32" s="104" t="n">
        <v>27</v>
      </c>
      <c r="B32" s="105" t="inlineStr">
        <is>
          <t>5S5-DATA-02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5S5-DATA-01</t>
        </is>
      </c>
      <c r="P32" s="80" t="inlineStr">
        <is>
          <t>Traffic benchmarks compute per world and zone</t>
        </is>
      </c>
      <c r="Q32" s="82" t="inlineStr">
        <is>
          <t>Spec §30, §32</t>
        </is>
      </c>
    </row>
    <row r="33" ht="23.85" customHeight="1" s="75">
      <c r="A33" s="104" t="n">
        <v>28</v>
      </c>
      <c r="B33" s="105" t="inlineStr">
        <is>
          <t>5S5-FE-01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5S5-DATA-01</t>
        </is>
      </c>
      <c r="P33" s="80" t="inlineStr">
        <is>
          <t>Dashboard renders virtual delivery with gross and viewable clearly separated</t>
        </is>
      </c>
      <c r="Q33" s="82" t="inlineStr">
        <is>
          <t>Spec §26 P4-07</t>
        </is>
      </c>
    </row>
    <row r="34" ht="23.85" customHeight="1" s="75">
      <c r="A34" s="104" t="n">
        <v>29</v>
      </c>
      <c r="B34" s="105" t="inlineStr">
        <is>
          <t>5S5-BE-02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5S5-DATA-02</t>
        </is>
      </c>
      <c r="P34" s="80" t="inlineStr">
        <is>
          <t>A virtual placement produces a recommended rate with its factor breakdown visible</t>
        </is>
      </c>
      <c r="Q34" s="82" t="inlineStr">
        <is>
          <t>Spec §32</t>
        </is>
      </c>
    </row>
    <row r="35" ht="23.85" customHeight="1" s="75">
      <c r="A35" s="104" t="n">
        <v>30</v>
      </c>
      <c r="B35" s="105" t="inlineStr">
        <is>
          <t>5S6-BE-01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row>
    <row r="36" ht="23.85" customHeight="1" s="75">
      <c r="A36" s="104" t="n">
        <v>31</v>
      </c>
      <c r="B36" s="105" t="inlineStr">
        <is>
          <t>5S6-BE-02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5S6-BE-01</t>
        </is>
      </c>
      <c r="P36" s="80" t="inlineStr">
        <is>
          <t>Activation can start and complete, validated against its eligibility rules</t>
        </is>
      </c>
      <c r="Q36" s="82" t="inlineStr">
        <is>
          <t>Spec §27.4</t>
        </is>
      </c>
    </row>
    <row r="37" ht="23.85" customHeight="1" s="75">
      <c r="A37" s="104" t="n">
        <v>32</v>
      </c>
      <c r="B37" s="105" t="inlineStr">
        <is>
          <t>5S6-BE-03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5S6-BE-02</t>
        </is>
      </c>
      <c r="P37" s="80" t="inlineStr">
        <is>
          <t>An activation triggers a SponsorX reward exactly once per configured eligibility rule</t>
        </is>
      </c>
      <c r="Q37" s="82" t="inlineStr">
        <is>
          <t>Spec §34</t>
        </is>
      </c>
    </row>
    <row r="38" ht="23.85" customHeight="1" s="75">
      <c r="A38" s="104" t="n">
        <v>33</v>
      </c>
      <c r="B38" s="105" t="inlineStr">
        <is>
          <t>5S6-INT-01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5S6-BE-03</t>
        </is>
      </c>
      <c r="P38" s="80" t="inlineStr">
        <is>
          <t>A completed activation delivers a reward through the existing reward and wallet services</t>
        </is>
      </c>
      <c r="Q38" s="82" t="inlineStr">
        <is>
          <t>Spec §27.4</t>
        </is>
      </c>
    </row>
    <row r="39" ht="23.85" customHeight="1" s="75">
      <c r="A39" s="104" t="n">
        <v>34</v>
      </c>
      <c r="B39" s="105" t="inlineStr">
        <is>
          <t>5S6-FE-01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4S0-ART-01</t>
        </is>
      </c>
      <c r="P39" s="80" t="inlineStr">
        <is>
          <t>A campaign manager can build and publish an activation without engineering help</t>
        </is>
      </c>
      <c r="Q39" s="82" t="inlineStr">
        <is>
          <t>Spec §26 P4-06</t>
        </is>
      </c>
    </row>
    <row r="40" ht="23.85" customHeight="1" s="75">
      <c r="A40" s="104" t="n">
        <v>35</v>
      </c>
      <c r="B40" s="105" t="inlineStr">
        <is>
          <t>5S7-DATA-01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row>
    <row r="41" ht="23.85" customHeight="1" s="75">
      <c r="A41" s="104" t="n">
        <v>36</v>
      </c>
      <c r="B41" s="105" t="inlineStr">
        <is>
          <t>5S7-FE-01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5S7-DATA-01</t>
        </is>
      </c>
      <c r="P41" s="80" t="inlineStr">
        <is>
          <t>Dashboard compares all channels on consistent metrics</t>
        </is>
      </c>
      <c r="Q41" s="82" t="inlineStr">
        <is>
          <t>Spec §26 P4-08</t>
        </is>
      </c>
    </row>
    <row r="42" ht="22.35" customHeight="1" s="75">
      <c r="A42" s="104" t="n">
        <v>37</v>
      </c>
      <c r="B42" s="105" t="inlineStr">
        <is>
          <t>5S7-FE-02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5S5-FE-01</t>
        </is>
      </c>
      <c r="P42" s="80" t="inlineStr">
        <is>
          <t>A pilot sponsor receives a report with virtual delivery, interaction, reward funnel and creative proof</t>
        </is>
      </c>
      <c r="Q42" s="82" t="inlineStr">
        <is>
          <t>Spec §26 P4-11, §34</t>
        </is>
      </c>
    </row>
    <row r="43" ht="23.85" customHeight="1" s="75">
      <c r="A43" s="104" t="n">
        <v>38</v>
      </c>
      <c r="B43" s="105" t="inlineStr">
        <is>
          <t>5S7-FE-03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5S5-DATA-02</t>
        </is>
      </c>
      <c r="P43" s="80" t="inlineStr">
        <is>
          <t>Heatmap renders zone-level traffic and engagement</t>
        </is>
      </c>
      <c r="Q43" s="82" t="inlineStr">
        <is>
          <t>Spec §26 P4-12</t>
        </is>
      </c>
    </row>
    <row r="44" ht="22.35" customHeight="1" s="75">
      <c r="A44" s="104" t="n">
        <v>39</v>
      </c>
      <c r="B44" s="105" t="inlineStr">
        <is>
          <t>5S7-FE-04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row>
    <row r="45" ht="23.85" customHeight="1" s="75">
      <c r="A45" s="104" t="n">
        <v>40</v>
      </c>
      <c r="B45" s="105" t="inlineStr">
        <is>
          <t>5S7-DATA-02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5S4-BE-01</t>
        </is>
      </c>
      <c r="P45" s="80" t="inlineStr">
        <is>
          <t>Suspicious event patterns are flagged and excluded from sponsor-facing aggregates</t>
        </is>
      </c>
      <c r="Q45" s="82" t="inlineStr">
        <is>
          <t>Spec §27.3</t>
        </is>
      </c>
    </row>
    <row r="46" ht="23.85" customHeight="1" s="75"/>
    <row r="47" ht="22.35" customHeight="1" s="75"/>
    <row r="48" ht="23.85" customHeight="1" s="75"/>
    <row r="49" ht="23.85" customHeight="1" s="75"/>
    <row r="50" ht="23.85" customHeight="1" s="75"/>
    <row r="51" ht="23.85" customHeight="1" s="75"/>
    <row r="52" s="75"/>
    <row r="53" s="75"/>
    <row r="54" s="75"/>
    <row r="55" s="75"/>
  </sheetData>
  <autoFilter ref="A4:R45"/>
  <mergeCells count="2">
    <mergeCell ref="A2:R2"/>
    <mergeCell ref="A1:R1"/>
  </mergeCells>
  <conditionalFormatting sqref="I5:I4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5">
    <cfRule type="expression" rank="0" priority="7" equalAverage="0" aboveAverage="0" dxfId="32" text="" percent="0" bottom="0">
      <formula>$I5="Done"</formula>
    </cfRule>
  </conditionalFormatting>
  <conditionalFormatting sqref="N5:N45">
    <cfRule type="cellIs" rank="0" priority="8" equalAverage="0" operator="greaterThanOrEqual" aboveAverage="0" dxfId="33" text="" percent="0" bottom="0">
      <formula>50</formula>
    </cfRule>
  </conditionalFormatting>
  <dataValidations count="1">
    <dataValidation sqref="I5:I45"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2–5</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2026-10-20T02:45:44Z</dcterms:modified>
  <cp:revision>0</cp:revision>
</cp:coreProperties>
</file>