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2'!$A$4:$R$126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2'!$I$5:$I$126,"Ready")</f>
        <v/>
      </c>
      <c r="C6" s="85">
        <f>COUNTIF('Phase 2'!$I$5:$I$126,"In progress")</f>
        <v/>
      </c>
      <c r="D6" s="85">
        <f>COUNTIF('Phase 2'!$I$5:$I$126,"Code review")</f>
        <v/>
      </c>
      <c r="E6" s="85">
        <f>COUNTIF('Phase 2'!$I$5:$I$126,"Blocked")</f>
        <v/>
      </c>
      <c r="F6" s="85">
        <f>COUNTIF('Phase 2'!$I$5:$I$126,"Done")</f>
        <v/>
      </c>
      <c r="G6" s="85">
        <f>COUNTA('Phase 2'!$B$5:$B$126)</f>
        <v/>
      </c>
      <c r="H6" s="85">
        <f>SUMIF('Phase 2'!$I$5:$I$126,"&lt;&gt;Done",'Phase 2'!$J$5:$J$126)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In progress</t>
        </is>
      </c>
      <c r="J282" s="108" t="n">
        <v>2</v>
      </c>
      <c r="K282" s="109" t="n">
        <v>46298</v>
      </c>
      <c r="L282" s="109" t="n"/>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In progress</t>
        </is>
      </c>
      <c r="J283" s="108" t="n">
        <v>2</v>
      </c>
      <c r="K283" s="109" t="n">
        <v>46298</v>
      </c>
      <c r="L283" s="109" t="n"/>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In progress</t>
        </is>
      </c>
      <c r="J284" s="108" t="n">
        <v>1</v>
      </c>
      <c r="K284" s="109" t="n">
        <v>46298</v>
      </c>
      <c r="L284" s="109" t="n"/>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In progress</t>
        </is>
      </c>
      <c r="J285" s="108" t="n">
        <v>2</v>
      </c>
      <c r="K285" s="109" t="n">
        <v>46298</v>
      </c>
      <c r="L285" s="109" t="n"/>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In progress</t>
        </is>
      </c>
      <c r="J286" s="108" t="n">
        <v>1</v>
      </c>
      <c r="K286" s="109" t="n">
        <v>46298</v>
      </c>
      <c r="L286" s="109" t="n"/>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In progress</t>
        </is>
      </c>
      <c r="J287" s="108" t="n">
        <v>2</v>
      </c>
      <c r="K287" s="109" t="n">
        <v>46298</v>
      </c>
      <c r="L287" s="109" t="n"/>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In progress</t>
        </is>
      </c>
      <c r="J288" s="108" t="n">
        <v>1</v>
      </c>
      <c r="K288" s="109" t="n">
        <v>46298</v>
      </c>
      <c r="L288" s="109" t="n"/>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In progress</t>
        </is>
      </c>
      <c r="J289" s="108" t="n">
        <v>2</v>
      </c>
      <c r="K289" s="109" t="n">
        <v>46298</v>
      </c>
      <c r="L289" s="109" t="n"/>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sheetData>
  <autoFilter ref="A4:R126"/>
  <mergeCells count="2">
    <mergeCell ref="A2:R2"/>
    <mergeCell ref="A1:R1"/>
  </mergeCells>
  <conditionalFormatting sqref="I5:I12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6">
    <cfRule type="expression" rank="0" priority="7" equalAverage="0" aboveAverage="0" dxfId="32" text="" percent="0" bottom="0">
      <formula>$I5="Done"</formula>
    </cfRule>
  </conditionalFormatting>
  <conditionalFormatting sqref="N5:N126">
    <cfRule type="cellIs" rank="0" priority="8" equalAverage="0" operator="greaterThanOrEqual" aboveAverage="0" dxfId="33" text="" percent="0" bottom="0">
      <formula>50</formula>
    </cfRule>
  </conditionalFormatting>
  <dataValidations count="1">
    <dataValidation sqref="I5:I12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2026-10-03T10:23:03Z</dcterms:modified>
  <cp:revision>0</cp:revision>
</cp:coreProperties>
</file>