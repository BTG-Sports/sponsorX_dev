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1'!$A$4:$R$253</definedName>
    <definedName name="_xlnm._FilterDatabase" localSheetId="4" hidden="1">'Phase 2'!$A$4:$R$68</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1'!$I$5:$I$237,"Ready")</f>
        <v/>
      </c>
      <c r="C5" s="81">
        <f>COUNTIF('Phase 1'!$I$5:$I$237,"In progress")</f>
        <v/>
      </c>
      <c r="D5" s="81">
        <f>COUNTIF('Phase 1'!$I$5:$I$237,"Code review")</f>
        <v/>
      </c>
      <c r="E5" s="81">
        <f>COUNTIF('Phase 1'!$I$5:$I$237,"Blocked")</f>
        <v/>
      </c>
      <c r="F5" s="81">
        <f>COUNTIF('Phase 1'!$I$5:$I$237,"Done")</f>
        <v/>
      </c>
      <c r="G5" s="81">
        <f>COUNTA('Phase 1'!$B$5:$B$237)</f>
        <v/>
      </c>
      <c r="H5" s="81">
        <f>SUMIF('Phase 1'!$I$5:$I$237,"&lt;&gt;Done",'Phase 1'!$J$5:$J$237)</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1'!$F$5:$F$237,"Document")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1'!$F$5:$F$237,"Zoho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1'!$F$5:$F$237,"Vendor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1'!$F$5:$F$237,"Code")</f>
        <v/>
      </c>
      <c r="C16" s="81">
        <f>COUNTIF('Phase 2'!$F$5:$F$68,"Code")</f>
        <v/>
      </c>
      <c r="D16" s="81">
        <f>COUNTIF('Phase 3'!$F$5:$F$48,"Code")</f>
        <v/>
      </c>
      <c r="E16" s="81">
        <f>COUNTIF('Phase 4'!$F$5:$F$55,"Code")</f>
        <v/>
      </c>
      <c r="F16" s="81">
        <f>SUM(B16:E16)</f>
        <v/>
      </c>
    </row>
    <row r="17" ht="15" customHeight="1" s="75">
      <c r="A17" s="99" t="inlineStr">
        <is>
          <t>Code + console</t>
        </is>
      </c>
      <c r="B17" s="81">
        <f>COUNTIF('Phase 1'!$F$5:$F$237,"Code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1'!$F$5:$F$237,"Design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1'!$F$5:$F$237,"Document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1'!$F$5:$F$237,"External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1"/>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1'!$C$5:$C$237,$A5,'Phase 1'!$I$5:$I$237,"Done")</f>
        <v/>
      </c>
      <c r="D5" s="74">
        <f>COUNTIF('Phase 1'!$C$5:$C$237,$A5)</f>
        <v/>
      </c>
      <c r="E5" s="156">
        <f>IF($D5=0,0,$C5/$D5)</f>
        <v/>
      </c>
      <c r="F5" s="74">
        <f>SUMIFS('Phase 1'!$J$5:$J$237,'Phase 1'!$C$5:$C$237,$A5,'Phase 1'!$I$5:$I$237,"&lt;&gt;Done")</f>
        <v/>
      </c>
      <c r="G5" s="74">
        <f>COUNTIFS('Phase 1'!$C$5:$C$237,$A5,'Phase 1'!$I$5:$I$237,"In progress")+COUNTIFS('Phase 1'!$C$5:$C$237,$A5,'Phase 1'!$I$5:$I$237,"Code review")</f>
        <v/>
      </c>
      <c r="H5" s="74">
        <f>COUNTIFS('Phase 1'!$C$5:$C$237,$A5,'Phase 1'!$I$5:$I$237,"Blocked")</f>
        <v/>
      </c>
    </row>
    <row r="6">
      <c r="A6" s="155" t="n">
        <v>1</v>
      </c>
      <c r="B6" s="74" t="inlineStr">
        <is>
          <t>UI Scaffold on Fixtures</t>
        </is>
      </c>
      <c r="C6" s="74">
        <f>COUNTIFS('Phase 1'!$C$5:$C$237,$A6,'Phase 1'!$I$5:$I$237,"Done")</f>
        <v/>
      </c>
      <c r="D6" s="74">
        <f>COUNTIF('Phase 1'!$C$5:$C$237,$A6)</f>
        <v/>
      </c>
      <c r="E6" s="156">
        <f>IF($D6=0,0,$C6/$D6)</f>
        <v/>
      </c>
      <c r="F6" s="74">
        <f>SUMIFS('Phase 1'!$J$5:$J$237,'Phase 1'!$C$5:$C$237,$A6,'Phase 1'!$I$5:$I$237,"&lt;&gt;Done")</f>
        <v/>
      </c>
      <c r="G6" s="74">
        <f>COUNTIFS('Phase 1'!$C$5:$C$237,$A6,'Phase 1'!$I$5:$I$237,"In progress")+COUNTIFS('Phase 1'!$C$5:$C$237,$A6,'Phase 1'!$I$5:$I$237,"Code review")</f>
        <v/>
      </c>
      <c r="H6" s="74">
        <f>COUNTIFS('Phase 1'!$C$5:$C$237,$A6,'Phase 1'!$I$5:$I$237,"Blocked")</f>
        <v/>
      </c>
    </row>
    <row r="7">
      <c r="A7" s="155" t="n">
        <v>2</v>
      </c>
      <c r="B7" s="74" t="inlineStr">
        <is>
          <t>Platform Foundations</t>
        </is>
      </c>
      <c r="C7" s="74">
        <f>COUNTIFS('Phase 1'!$C$5:$C$237,$A7,'Phase 1'!$I$5:$I$237,"Done")</f>
        <v/>
      </c>
      <c r="D7" s="74">
        <f>COUNTIF('Phase 1'!$C$5:$C$237,$A7)</f>
        <v/>
      </c>
      <c r="E7" s="156">
        <f>IF($D7=0,0,$C7/$D7)</f>
        <v/>
      </c>
      <c r="F7" s="74">
        <f>SUMIFS('Phase 1'!$J$5:$J$237,'Phase 1'!$C$5:$C$237,$A7,'Phase 1'!$I$5:$I$237,"&lt;&gt;Done")</f>
        <v/>
      </c>
      <c r="G7" s="74">
        <f>COUNTIFS('Phase 1'!$C$5:$C$237,$A7,'Phase 1'!$I$5:$I$237,"In progress")+COUNTIFS('Phase 1'!$C$5:$C$237,$A7,'Phase 1'!$I$5:$I$237,"Code review")</f>
        <v/>
      </c>
      <c r="H7" s="74">
        <f>COUNTIFS('Phase 1'!$C$5:$C$237,$A7,'Phase 1'!$I$5:$I$237,"Blocked")</f>
        <v/>
      </c>
    </row>
    <row r="8">
      <c r="A8" s="155" t="n">
        <v>3</v>
      </c>
      <c r="B8" s="74" t="inlineStr">
        <is>
          <t>Athlete Network</t>
        </is>
      </c>
      <c r="C8" s="74">
        <f>COUNTIFS('Phase 1'!$C$5:$C$237,$A8,'Phase 1'!$I$5:$I$237,"Done")</f>
        <v/>
      </c>
      <c r="D8" s="74">
        <f>COUNTIF('Phase 1'!$C$5:$C$237,$A8)</f>
        <v/>
      </c>
      <c r="E8" s="156">
        <f>IF($D8=0,0,$C8/$D8)</f>
        <v/>
      </c>
      <c r="F8" s="74">
        <f>SUMIFS('Phase 1'!$J$5:$J$237,'Phase 1'!$C$5:$C$237,$A8,'Phase 1'!$I$5:$I$237,"&lt;&gt;Done")</f>
        <v/>
      </c>
      <c r="G8" s="74">
        <f>COUNTIFS('Phase 1'!$C$5:$C$237,$A8,'Phase 1'!$I$5:$I$237,"In progress")+COUNTIFS('Phase 1'!$C$5:$C$237,$A8,'Phase 1'!$I$5:$I$237,"Code review")</f>
        <v/>
      </c>
      <c r="H8" s="74">
        <f>COUNTIFS('Phase 1'!$C$5:$C$237,$A8,'Phase 1'!$I$5:$I$237,"Blocked")</f>
        <v/>
      </c>
    </row>
    <row r="9">
      <c r="A9" s="155" t="n">
        <v>4</v>
      </c>
      <c r="B9" s="74" t="inlineStr">
        <is>
          <t>Sponsor Demand &amp; Matching</t>
        </is>
      </c>
      <c r="C9" s="74">
        <f>COUNTIFS('Phase 1'!$C$5:$C$237,$A9,'Phase 1'!$I$5:$I$237,"Done")</f>
        <v/>
      </c>
      <c r="D9" s="74">
        <f>COUNTIF('Phase 1'!$C$5:$C$237,$A9)</f>
        <v/>
      </c>
      <c r="E9" s="156">
        <f>IF($D9=0,0,$C9/$D9)</f>
        <v/>
      </c>
      <c r="F9" s="74">
        <f>SUMIFS('Phase 1'!$J$5:$J$237,'Phase 1'!$C$5:$C$237,$A9,'Phase 1'!$I$5:$I$237,"&lt;&gt;Done")</f>
        <v/>
      </c>
      <c r="G9" s="74">
        <f>COUNTIFS('Phase 1'!$C$5:$C$237,$A9,'Phase 1'!$I$5:$I$237,"In progress")+COUNTIFS('Phase 1'!$C$5:$C$237,$A9,'Phase 1'!$I$5:$I$237,"Code review")</f>
        <v/>
      </c>
      <c r="H9" s="74">
        <f>COUNTIFS('Phase 1'!$C$5:$C$237,$A9,'Phase 1'!$I$5:$I$237,"Blocked")</f>
        <v/>
      </c>
    </row>
    <row r="10">
      <c r="A10" s="155" t="n">
        <v>5</v>
      </c>
      <c r="B10" s="74" t="inlineStr">
        <is>
          <t>Campaign Execution</t>
        </is>
      </c>
      <c r="C10" s="74">
        <f>COUNTIFS('Phase 1'!$C$5:$C$237,$A10,'Phase 1'!$I$5:$I$237,"Done")</f>
        <v/>
      </c>
      <c r="D10" s="74">
        <f>COUNTIF('Phase 1'!$C$5:$C$237,$A10)</f>
        <v/>
      </c>
      <c r="E10" s="156">
        <f>IF($D10=0,0,$C10/$D10)</f>
        <v/>
      </c>
      <c r="F10" s="74">
        <f>SUMIFS('Phase 1'!$J$5:$J$237,'Phase 1'!$C$5:$C$237,$A10,'Phase 1'!$I$5:$I$237,"&lt;&gt;Done")</f>
        <v/>
      </c>
      <c r="G10" s="74">
        <f>COUNTIFS('Phase 1'!$C$5:$C$237,$A10,'Phase 1'!$I$5:$I$237,"In progress")+COUNTIFS('Phase 1'!$C$5:$C$237,$A10,'Phase 1'!$I$5:$I$237,"Code review")</f>
        <v/>
      </c>
      <c r="H10" s="74">
        <f>COUNTIFS('Phase 1'!$C$5:$C$237,$A10,'Phase 1'!$I$5:$I$237,"Blocked")</f>
        <v/>
      </c>
    </row>
    <row r="11">
      <c r="A11" s="155" t="n">
        <v>6</v>
      </c>
      <c r="B11" s="74" t="inlineStr">
        <is>
          <t>Measurement &amp; Reward</t>
        </is>
      </c>
      <c r="C11" s="74">
        <f>COUNTIFS('Phase 1'!$C$5:$C$237,$A11,'Phase 1'!$I$5:$I$237,"Done")</f>
        <v/>
      </c>
      <c r="D11" s="74">
        <f>COUNTIF('Phase 1'!$C$5:$C$237,$A11)</f>
        <v/>
      </c>
      <c r="E11" s="156">
        <f>IF($D11=0,0,$C11/$D11)</f>
        <v/>
      </c>
      <c r="F11" s="74">
        <f>SUMIFS('Phase 1'!$J$5:$J$237,'Phase 1'!$C$5:$C$237,$A11,'Phase 1'!$I$5:$I$237,"&lt;&gt;Done")</f>
        <v/>
      </c>
      <c r="G11" s="74">
        <f>COUNTIFS('Phase 1'!$C$5:$C$237,$A11,'Phase 1'!$I$5:$I$237,"In progress")+COUNTIFS('Phase 1'!$C$5:$C$237,$A11,'Phase 1'!$I$5:$I$237,"Code review")</f>
        <v/>
      </c>
      <c r="H11" s="74">
        <f>COUNTIFS('Phase 1'!$C$5:$C$237,$A11,'Phase 1'!$I$5:$I$237,"Blocked")</f>
        <v/>
      </c>
    </row>
    <row r="12">
      <c r="A12" s="155" t="n">
        <v>7</v>
      </c>
      <c r="B12" s="74" t="inlineStr">
        <is>
          <t>Money &amp; Reporting</t>
        </is>
      </c>
      <c r="C12" s="74">
        <f>COUNTIFS('Phase 1'!$C$5:$C$237,$A12,'Phase 1'!$I$5:$I$237,"Done")</f>
        <v/>
      </c>
      <c r="D12" s="74">
        <f>COUNTIF('Phase 1'!$C$5:$C$237,$A12)</f>
        <v/>
      </c>
      <c r="E12" s="156">
        <f>IF($D12=0,0,$C12/$D12)</f>
        <v/>
      </c>
      <c r="F12" s="74">
        <f>SUMIFS('Phase 1'!$J$5:$J$237,'Phase 1'!$C$5:$C$237,$A12,'Phase 1'!$I$5:$I$237,"&lt;&gt;Done")</f>
        <v/>
      </c>
      <c r="G12" s="74">
        <f>COUNTIFS('Phase 1'!$C$5:$C$237,$A12,'Phase 1'!$I$5:$I$237,"In progress")+COUNTIFS('Phase 1'!$C$5:$C$237,$A12,'Phase 1'!$I$5:$I$237,"Code review")</f>
        <v/>
      </c>
      <c r="H12" s="74">
        <f>COUNTIFS('Phase 1'!$C$5:$C$237,$A12,'Phase 1'!$I$5:$I$237,"Blocked")</f>
        <v/>
      </c>
    </row>
    <row r="13">
      <c r="A13" s="155" t="n">
        <v>8</v>
      </c>
      <c r="B13" s="74" t="inlineStr">
        <is>
          <t>Integration, Hardening &amp; Launch</t>
        </is>
      </c>
      <c r="C13" s="74">
        <f>COUNTIFS('Phase 1'!$C$5:$C$237,$A13,'Phase 1'!$I$5:$I$237,"Done")</f>
        <v/>
      </c>
      <c r="D13" s="74">
        <f>COUNTIF('Phase 1'!$C$5:$C$237,$A13)</f>
        <v/>
      </c>
      <c r="E13" s="156">
        <f>IF($D13=0,0,$C13/$D13)</f>
        <v/>
      </c>
      <c r="F13" s="74">
        <f>SUMIFS('Phase 1'!$J$5:$J$237,'Phase 1'!$C$5:$C$237,$A13,'Phase 1'!$I$5:$I$237,"&lt;&gt;Done")</f>
        <v/>
      </c>
      <c r="G13" s="74">
        <f>COUNTIFS('Phase 1'!$C$5:$C$237,$A13,'Phase 1'!$I$5:$I$237,"In progress")+COUNTIFS('Phase 1'!$C$5:$C$237,$A13,'Phase 1'!$I$5:$I$237,"Code review")</f>
        <v/>
      </c>
      <c r="H13" s="74">
        <f>COUNTIFS('Phase 1'!$C$5:$C$237,$A13,'Phase 1'!$I$5:$I$237,"Blocked")</f>
        <v/>
      </c>
    </row>
    <row r="14">
      <c r="A14" s="155" t="n">
        <v>9</v>
      </c>
      <c r="B14" s="74" t="inlineStr">
        <is>
          <t>SponsorX NEXT (gated)</t>
        </is>
      </c>
      <c r="C14" s="74">
        <f>COUNTIFS('Phase 1'!$C$5:$C$237,$A14,'Phase 1'!$I$5:$I$237,"Done")</f>
        <v/>
      </c>
      <c r="D14" s="74">
        <f>COUNTIF('Phase 1'!$C$5:$C$237,$A14)</f>
        <v/>
      </c>
      <c r="E14" s="156">
        <f>IF($D14=0,0,$C14/$D14)</f>
        <v/>
      </c>
      <c r="F14" s="74">
        <f>SUMIFS('Phase 1'!$J$5:$J$237,'Phase 1'!$C$5:$C$237,$A14,'Phase 1'!$I$5:$I$237,"&lt;&gt;Done")</f>
        <v/>
      </c>
      <c r="G14" s="74">
        <f>COUNTIFS('Phase 1'!$C$5:$C$237,$A14,'Phase 1'!$I$5:$I$237,"In progress")+COUNTIFS('Phase 1'!$C$5:$C$237,$A14,'Phase 1'!$I$5:$I$237,"Code review")</f>
        <v/>
      </c>
      <c r="H14" s="74">
        <f>COUNTIFS('Phase 1'!$C$5:$C$237,$A14,'Phase 1'!$I$5:$I$237,"Blocked")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t="n">
        <v>23</v>
      </c>
      <c r="C21" t="n">
        <v>21</v>
      </c>
      <c r="D21" t="n">
        <v>18</v>
      </c>
      <c r="E21" t="n">
        <v>16</v>
      </c>
      <c r="F21" t="n">
        <v>8</v>
      </c>
      <c r="G21" t="n">
        <v>3</v>
      </c>
      <c r="H21" t="n">
        <v>0</v>
      </c>
      <c r="I21" t="n">
        <v>0</v>
      </c>
      <c r="J21" t="n">
        <v>0</v>
      </c>
      <c r="K21" t="n">
        <v>0</v>
      </c>
      <c r="L21" t="n">
        <v>89</v>
      </c>
      <c r="M21" t="n">
        <v>432</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249 tasks · 601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In progress</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In progress</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Ready</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Ready</t>
        </is>
      </c>
      <c r="J86" s="108" t="n">
        <v>1</v>
      </c>
      <c r="K86" s="109" t="n"/>
      <c r="L86" s="109" t="n"/>
      <c r="M86" s="110" t="n"/>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Ready</t>
        </is>
      </c>
      <c r="J88" s="108" t="n">
        <v>3</v>
      </c>
      <c r="K88" s="109" t="n"/>
      <c r="L88" s="109" t="n"/>
      <c r="M88" s="110" t="n"/>
      <c r="N88" s="85" t="n"/>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Ready</t>
        </is>
      </c>
      <c r="J89" s="108" t="n">
        <v>3</v>
      </c>
      <c r="K89" s="109" t="n"/>
      <c r="L89" s="109" t="n"/>
      <c r="M89" s="110" t="n"/>
      <c r="N89" s="81" t="n"/>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Ready</t>
        </is>
      </c>
      <c r="J90" s="108" t="n">
        <v>1</v>
      </c>
      <c r="K90" s="109" t="n"/>
      <c r="L90" s="109" t="n"/>
      <c r="M90" s="110" t="n"/>
      <c r="N90" s="85" t="n"/>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Ready</t>
        </is>
      </c>
      <c r="J91" s="108" t="n">
        <v>1</v>
      </c>
      <c r="K91" s="109" t="n"/>
      <c r="L91" s="109" t="n"/>
      <c r="M91" s="110" t="n"/>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Ready</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Ready</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Ready</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Ready</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Ready</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Ready</t>
        </is>
      </c>
      <c r="J109" s="108" t="n">
        <v>3</v>
      </c>
      <c r="K109" s="109" t="n"/>
      <c r="L109" s="109" t="n"/>
      <c r="M109" s="110" t="n"/>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Ready</t>
        </is>
      </c>
      <c r="J112" s="108" t="n">
        <v>3</v>
      </c>
      <c r="K112" s="109" t="n"/>
      <c r="L112" s="109" t="n"/>
      <c r="M112" s="110" t="n"/>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Ready</t>
        </is>
      </c>
      <c r="J119" s="108" t="n">
        <v>3</v>
      </c>
      <c r="K119" s="109" t="n"/>
      <c r="L119" s="109" t="n"/>
      <c r="M119" s="110" t="n"/>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Ready</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Ready</t>
        </is>
      </c>
      <c r="J128" s="108" t="n">
        <v>3</v>
      </c>
      <c r="K128" s="109" t="n"/>
      <c r="L128" s="109" t="n"/>
      <c r="M128" s="110" t="n"/>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Ready</t>
        </is>
      </c>
      <c r="J152" s="108" t="n">
        <v>3</v>
      </c>
      <c r="K152" s="109" t="n"/>
      <c r="L152" s="109" t="n"/>
      <c r="M152" s="110" t="n"/>
      <c r="N152" s="85" t="n"/>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Ready</t>
        </is>
      </c>
      <c r="J164" s="108" t="n">
        <v>5</v>
      </c>
      <c r="K164" s="109" t="n"/>
      <c r="L164" s="109" t="n"/>
      <c r="M164" s="110" t="n"/>
      <c r="N164" s="85" t="n">
        <v>4</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1</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1</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Blocked</t>
        </is>
      </c>
      <c r="J198" s="108" t="n">
        <v>1</v>
      </c>
      <c r="K198" s="109" t="n"/>
      <c r="L198" s="109" t="n"/>
      <c r="M198" s="110" t="n"/>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Blocked</t>
        </is>
      </c>
      <c r="J199" s="108" t="n">
        <v>1</v>
      </c>
      <c r="K199" s="109" t="n"/>
      <c r="L199" s="109" t="n"/>
      <c r="M199" s="110" t="n"/>
      <c r="N199" s="81" t="n"/>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Ready</t>
        </is>
      </c>
      <c r="J206" s="108" t="n">
        <v>2</v>
      </c>
      <c r="K206" s="109" t="n"/>
      <c r="L206" s="109" t="n"/>
      <c r="M206" s="110" t="n"/>
      <c r="N206" s="81" t="n">
        <v>2</v>
      </c>
      <c r="O206" s="80" t="n"/>
      <c r="P206" s="80" t="inlineStr">
        <is>
          <t>Slot prices and the four-way split signed off as numbers, not ranges; the back cover and presenting sponsor recorded as quantity one</t>
        </is>
      </c>
      <c r="Q206" s="82" t="inlineStr">
        <is>
          <t>Spec §5.2, §5.3, §12</t>
        </is>
      </c>
      <c r="R206" s="111" t="n"/>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Ready</t>
        </is>
      </c>
      <c r="J207" s="108" t="n">
        <v>3</v>
      </c>
      <c r="K207" s="109" t="n"/>
      <c r="L207" s="109" t="n"/>
      <c r="M207" s="110" t="n"/>
      <c r="N207" s="81" t="n">
        <v>1</v>
      </c>
      <c r="O207" s="80" t="n"/>
      <c r="P207" s="80" t="inlineStr">
        <is>
          <t>A school can sign one document and start; editorial approval authority named explicitly</t>
        </is>
      </c>
      <c r="Q207" s="82" t="inlineStr">
        <is>
          <t>Spec §7, §12</t>
        </is>
      </c>
      <c r="R207" s="111" t="n"/>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Blocked</t>
        </is>
      </c>
      <c r="J208" s="108" t="n">
        <v>2</v>
      </c>
      <c r="K208" s="109" t="n"/>
      <c r="L208" s="109" t="n"/>
      <c r="M208" s="110" t="n"/>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CORRECTED 2026-09-22 against spec v2.0. Previously said 'NIL jobs in lineItems' - that followed from v1.0's wrong reading that the package contains four SX-02 NIL jobs. It does not.</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Blocked</t>
        </is>
      </c>
      <c r="J209" s="108" t="n">
        <v>1</v>
      </c>
      <c r="K209" s="109" t="n"/>
      <c r="L209" s="109" t="n"/>
      <c r="M209" s="110" t="n"/>
      <c r="N209" s="81" t="n">
        <v>1</v>
      </c>
      <c r="O209" s="80" t="inlineStr">
        <is>
          <t>P9-PMO-02</t>
        </is>
      </c>
      <c r="P209" s="80" t="inlineStr">
        <is>
          <t>The pilot school exists as a Property, its advisor has a login, and it appears in the property portal</t>
        </is>
      </c>
      <c r="Q209" s="82" t="inlineStr">
        <is>
          <t>Spec §3</t>
        </is>
      </c>
      <c r="R209" s="111" t="n"/>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n"/>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Blocked</t>
        </is>
      </c>
      <c r="J212" s="108" t="n">
        <v>3</v>
      </c>
      <c r="K212" s="109" t="n"/>
      <c r="L212" s="109" t="n"/>
      <c r="M212" s="110" t="n"/>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n"/>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Blocked</t>
        </is>
      </c>
      <c r="J213" s="108" t="n">
        <v>5</v>
      </c>
      <c r="K213" s="109" t="n"/>
      <c r="L213" s="109" t="n"/>
      <c r="M213" s="110" t="n"/>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n"/>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Blocked</t>
        </is>
      </c>
      <c r="J214" s="108" t="n">
        <v>5</v>
      </c>
      <c r="K214" s="109" t="n"/>
      <c r="L214" s="109" t="n"/>
      <c r="M214" s="110" t="n"/>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n"/>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Blocked</t>
        </is>
      </c>
      <c r="J215" s="108" t="n">
        <v>3</v>
      </c>
      <c r="K215" s="109" t="n"/>
      <c r="L215" s="109" t="n"/>
      <c r="M215" s="110" t="n"/>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The cell-by-cell policy is written: RBAC Matrix §15, added 2026-09-22 and marked provisional — this task transcribes it into authz-policy.ts and the matrix then becomes authoritative like every other resource. TWO CONCRETE PREREQUISITES: User.propertyId already exists so ADVISOR's own-property has a column, but User has NO studentId — add it, or every student-scoped row falls through to matching nothing and the portal renders empty rather than erroring. Also add STUDENT and ADVISOR to the athleteRate.amount and revenueSplit.amount denials, and move the matrix digest in authz.matrix.test.ts deliberately.</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Blocked</t>
        </is>
      </c>
      <c r="J216" s="108" t="n">
        <v>3</v>
      </c>
      <c r="K216" s="109" t="n"/>
      <c r="L216" s="109" t="n"/>
      <c r="M216" s="110" t="n"/>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n"/>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Blocked</t>
        </is>
      </c>
      <c r="J217" s="108" t="n">
        <v>3</v>
      </c>
      <c r="K217" s="109" t="n"/>
      <c r="L217" s="109" t="n"/>
      <c r="M217" s="110" t="n"/>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n"/>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Blocked</t>
        </is>
      </c>
      <c r="J219" s="108" t="n">
        <v>3</v>
      </c>
      <c r="K219" s="109" t="n"/>
      <c r="L219" s="109" t="n"/>
      <c r="M219" s="110" t="n"/>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Was an OPEN QUESTION under spec v1.0; answered by V3's definition of a Campaign as a real object. Resolved 2026-09-22. The Phase 1 campaign state machine was built 2026-09-22 (P4-BE-06) with DRAFT -&gt; STAFFING -&gt; APPROVAL and no DRAFT -&gt; APPROVAL edge, because Phase 1 campaigns always have athletes to staff. v2.0 settled that a NEXT sale IS an ordinary Campaign carrying no CampaignOrder, so it must skip STAFFING — this task adds that edge and the guard deciding when it applies. The edge was deliberately NOT added in advance: Stage 9 is gated and bending a shipped machine for unbuilt work is how a state table stops meaning anything.</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Ready</t>
        </is>
      </c>
      <c r="J221" s="108" t="n">
        <v>2</v>
      </c>
      <c r="K221" s="109" t="n"/>
      <c r="L221" s="109" t="n"/>
      <c r="M221" s="110" t="n"/>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Blocked</t>
        </is>
      </c>
      <c r="J222" s="108" t="n">
        <v>5</v>
      </c>
      <c r="K222" s="109" t="n"/>
      <c r="L222" s="109" t="n"/>
      <c r="M222" s="110" t="n"/>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Blocked</t>
        </is>
      </c>
      <c r="J223" s="108" t="n">
        <v>3</v>
      </c>
      <c r="K223" s="109" t="n"/>
      <c r="L223" s="109" t="n"/>
      <c r="M223" s="110" t="n"/>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Blocked</t>
        </is>
      </c>
      <c r="J224" s="108" t="n">
        <v>5</v>
      </c>
      <c r="K224" s="109" t="n"/>
      <c r="L224" s="109" t="n"/>
      <c r="M224" s="110" t="n"/>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Blocked</t>
        </is>
      </c>
      <c r="J225" s="108" t="n">
        <v>3</v>
      </c>
      <c r="K225" s="109" t="n"/>
      <c r="L225" s="109" t="n"/>
      <c r="M225" s="110" t="n"/>
      <c r="N225" s="81" t="n">
        <v>1</v>
      </c>
      <c r="O225" s="80" t="inlineStr">
        <is>
          <t>P1-FE-18</t>
        </is>
      </c>
      <c r="P225" s="80" t="inlineStr">
        <is>
          <t>Every slot's state and buyer readable in one list; filter-kit reused rather than rebuilt</t>
        </is>
      </c>
      <c r="Q225" s="82" t="inlineStr">
        <is>
          <t>Spec §8</t>
        </is>
      </c>
      <c r="R225" s="111" t="n"/>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Blocked</t>
        </is>
      </c>
      <c r="J226" s="108" t="n">
        <v>3</v>
      </c>
      <c r="K226" s="109" t="n"/>
      <c r="L226" s="109" t="n"/>
      <c r="M226" s="110" t="n"/>
      <c r="N226" s="81" t="n">
        <v>1</v>
      </c>
      <c r="O226" s="80" t="inlineStr">
        <is>
          <t>P1-FE-18</t>
        </is>
      </c>
      <c r="P226" s="80" t="inlineStr">
        <is>
          <t>A split reads per edition and is visibly distinct from the athlete earnings surface</t>
        </is>
      </c>
      <c r="Q226" s="82" t="inlineStr">
        <is>
          <t>Spec §5.3, §8</t>
        </is>
      </c>
      <c r="R226" s="111" t="n"/>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Blocked</t>
        </is>
      </c>
      <c r="J236" s="108" t="n">
        <v>3</v>
      </c>
      <c r="K236" s="109" t="n"/>
      <c r="L236" s="109" t="n"/>
      <c r="M236" s="110" t="n"/>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n"/>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Blocked</t>
        </is>
      </c>
      <c r="J238" s="108" t="n">
        <v>4</v>
      </c>
      <c r="K238" s="109" t="n"/>
      <c r="L238" s="109" t="n"/>
      <c r="M238" s="110" t="n"/>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RAISED 2026-09-22 with spec v2.0. ENGINEERING DECISION §6.1: this diverges from the concept's V3, which wanted BTG kept separate from student rights and athlete consent. The capture differs; the record must not.</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Blocked</t>
        </is>
      </c>
      <c r="J239" s="108" t="n">
        <v>4</v>
      </c>
      <c r="K239" s="109" t="n"/>
      <c r="L239" s="109" t="n"/>
      <c r="M239" s="110" t="n"/>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RAISED 2026-09-22. ALSO BLOCKED BY A THING THAT DOES NOT EXIST: claim verification runs on school roster match, and there is no roster - Athlete.school is free text. A school handing a private company a list of its minors is its own data-sharing question. Spec §14 gate 1. Legal dependency removed 2026-09-22: consent and minors' compensation are tracked on the Legal sheet and gate no build row. The three-part consent model is DECIDED in spec v2.0 §5.4 and is buildable today; what counsel answers is the payout, not the record.</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Blocked</t>
        </is>
      </c>
      <c r="J240" s="108" t="n">
        <v>2</v>
      </c>
      <c r="K240" s="109" t="n"/>
      <c r="L240" s="109" t="n"/>
      <c r="M240" s="110" t="n"/>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RAISED 2026-09-22. ENGINEERING DECISION §6.4.</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Blocked</t>
        </is>
      </c>
      <c r="J241" s="108" t="n">
        <v>3</v>
      </c>
      <c r="K241" s="109" t="n"/>
      <c r="L241" s="109" t="n"/>
      <c r="M241" s="110" t="n"/>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RAISED 2026-09-22. The no-loss-of-credit rule is a requirement, not a courtesy: if a student develops a prospect for three weeks and SponsorX refuses it over an exclusivity they could not have known about, the rejection must not cost them standing.</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Blocked</t>
        </is>
      </c>
      <c r="J242" s="108" t="n">
        <v>2</v>
      </c>
      <c r="K242" s="109" t="n"/>
      <c r="L242" s="109" t="n"/>
      <c r="M242" s="110" t="n"/>
      <c r="N242" s="81" t="n"/>
      <c r="O242" s="80" t="inlineStr">
        <is>
          <t>P9-BE-06, P9-BE-13</t>
        </is>
      </c>
      <c r="P242" s="80" t="inlineStr">
        <is>
          <t>A DMV edition draws from several schools and both pools resolve by formula with no manual adjudication</t>
        </is>
      </c>
      <c r="Q242" s="82" t="inlineStr">
        <is>
          <t>Spec v2.0 §5.7</t>
        </is>
      </c>
      <c r="R242" s="111" t="inlineStr">
        <is>
          <t>RAISED 2026-09-22.</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Blocked</t>
        </is>
      </c>
      <c r="J243" s="108" t="n">
        <v>3</v>
      </c>
      <c r="K243" s="109" t="n"/>
      <c r="L243" s="109" t="n"/>
      <c r="M243" s="110" t="n"/>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n"/>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Blocked</t>
        </is>
      </c>
      <c r="J244" s="108" t="n">
        <v>5</v>
      </c>
      <c r="K244" s="109" t="n"/>
      <c r="L244" s="109" t="n"/>
      <c r="M244" s="110" t="n"/>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Blocked</t>
        </is>
      </c>
      <c r="J246" s="108" t="n">
        <v>5</v>
      </c>
      <c r="K246" s="109" t="n"/>
      <c r="L246" s="109" t="n"/>
      <c r="M246" s="110" t="n"/>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n"/>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Blocked</t>
        </is>
      </c>
      <c r="J247" s="108" t="n">
        <v>3</v>
      </c>
      <c r="K247" s="109" t="n"/>
      <c r="L247" s="109" t="n"/>
      <c r="M247" s="110" t="n"/>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sheetData>
  <autoFilter ref="A4:R253"/>
  <mergeCells count="2">
    <mergeCell ref="A2:R2"/>
    <mergeCell ref="A1:R1"/>
  </mergeCells>
  <conditionalFormatting sqref="I5:I23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7">
    <cfRule type="expression" rank="0" priority="7" equalAverage="0" aboveAverage="0" dxfId="32" text="" percent="0" bottom="0">
      <formula>$I5="Done"</formula>
    </cfRule>
  </conditionalFormatting>
  <conditionalFormatting sqref="N5:N237">
    <cfRule type="cellIs" rank="0" priority="8" equalAverage="0" operator="greaterThanOrEqual" aboveAverage="0" dxfId="33" text="" percent="0" bottom="0">
      <formula>50</formula>
    </cfRule>
  </conditionalFormatting>
  <dataValidations count="1">
    <dataValidation sqref="I5:I237"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2026-09-23T03:30:38Z</dcterms:modified>
  <cp:revision>0</cp:revision>
</cp:coreProperties>
</file>