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1'!$A$4:$R$304</definedName>
    <definedName name="_xlnm._FilterDatabase" localSheetId="4" hidden="1">'Phase 2'!$A$4:$R$144</definedName>
    <definedName name="_xlnm._FilterDatabase" localSheetId="5" hidden="1">'Phase 3'!$A$4:$R$66</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2'!$F$5:$F$144,"Document")</f>
        <v/>
      </c>
      <c r="D13" s="81">
        <f>COUNTIF('Phase 3'!$F$5:$F$66,"Document")</f>
        <v/>
      </c>
      <c r="E13" s="81">
        <f>COUNTIF('Phase 4'!$F$5:$F$55,"Document")</f>
        <v/>
      </c>
      <c r="F13" s="81">
        <f>SUM(B13:E13)</f>
        <v/>
      </c>
    </row>
    <row r="14" ht="15" customHeight="1" s="75">
      <c r="A14" s="98" t="inlineStr">
        <is>
          <t>Zoho dashboard</t>
        </is>
      </c>
      <c r="B14" s="81">
        <f>COUNTIF('Phase 1'!$F$5:$F$400,"Zoho dashboard")</f>
        <v/>
      </c>
      <c r="C14" s="81">
        <f>COUNTIF('Phase 2'!$F$5:$F$144,"Zoho dashboard")</f>
        <v/>
      </c>
      <c r="D14" s="81">
        <f>COUNTIF('Phase 3'!$F$5:$F$66,"Zoho dashboard")</f>
        <v/>
      </c>
      <c r="E14" s="81">
        <f>COUNTIF('Phase 4'!$F$5:$F$55,"Zoho dashboard")</f>
        <v/>
      </c>
      <c r="F14" s="81">
        <f>SUM(B14:E14)</f>
        <v/>
      </c>
    </row>
    <row r="15" ht="15" customHeight="1" s="75">
      <c r="A15" s="99" t="inlineStr">
        <is>
          <t>Vendor console</t>
        </is>
      </c>
      <c r="B15" s="81">
        <f>COUNTIF('Phase 1'!$F$5:$F$400,"Vendor console")</f>
        <v/>
      </c>
      <c r="C15" s="81">
        <f>COUNTIF('Phase 2'!$F$5:$F$144,"Vendor console")</f>
        <v/>
      </c>
      <c r="D15" s="81">
        <f>COUNTIF('Phase 3'!$F$5:$F$66,"Vendor console")</f>
        <v/>
      </c>
      <c r="E15" s="81">
        <f>COUNTIF('Phase 4'!$F$5:$F$55,"Vendor console")</f>
        <v/>
      </c>
      <c r="F15" s="81">
        <f>SUM(B15:E15)</f>
        <v/>
      </c>
    </row>
    <row r="16" ht="15" customHeight="1" s="75">
      <c r="A16" s="100" t="inlineStr">
        <is>
          <t>Code</t>
        </is>
      </c>
      <c r="B16" s="81">
        <f>COUNTIF('Phase 1'!$F$5:$F$400,"Code")</f>
        <v/>
      </c>
      <c r="C16" s="81">
        <f>COUNTIF('Phase 2'!$F$5:$F$144,"Code")</f>
        <v/>
      </c>
      <c r="D16" s="81">
        <f>COUNTIF('Phase 3'!$F$5:$F$66,"Code")</f>
        <v/>
      </c>
      <c r="E16" s="81">
        <f>COUNTIF('Phase 4'!$F$5:$F$55,"Code")</f>
        <v/>
      </c>
      <c r="F16" s="81">
        <f>SUM(B16:E16)</f>
        <v/>
      </c>
    </row>
    <row r="17" ht="15" customHeight="1" s="75">
      <c r="A17" s="99" t="inlineStr">
        <is>
          <t>Code + console</t>
        </is>
      </c>
      <c r="B17" s="81">
        <f>COUNTIF('Phase 1'!$F$5:$F$400,"Code + console")</f>
        <v/>
      </c>
      <c r="C17" s="81">
        <f>COUNTIF('Phase 2'!$F$5:$F$144,"Code + console")</f>
        <v/>
      </c>
      <c r="D17" s="81">
        <f>COUNTIF('Phase 3'!$F$5:$F$66,"Code + console")</f>
        <v/>
      </c>
      <c r="E17" s="81">
        <f>COUNTIF('Phase 4'!$F$5:$F$55,"Code + console")</f>
        <v/>
      </c>
      <c r="F17" s="81">
        <f>SUM(B17:E17)</f>
        <v/>
      </c>
    </row>
    <row r="18" ht="15" customHeight="1" s="75">
      <c r="A18" s="101" t="inlineStr">
        <is>
          <t>Design tool</t>
        </is>
      </c>
      <c r="B18" s="81">
        <f>COUNTIF('Phase 1'!$F$5:$F$400,"Design tool")</f>
        <v/>
      </c>
      <c r="C18" s="81">
        <f>COUNTIF('Phase 2'!$F$5:$F$144,"Design tool")</f>
        <v/>
      </c>
      <c r="D18" s="81">
        <f>COUNTIF('Phase 3'!$F$5:$F$66,"Design tool")</f>
        <v/>
      </c>
      <c r="E18" s="81">
        <f>COUNTIF('Phase 4'!$F$5:$F$55,"Design tool")</f>
        <v/>
      </c>
      <c r="F18" s="81">
        <f>SUM(B18:E18)</f>
        <v/>
      </c>
    </row>
    <row r="19" ht="15" customHeight="1" s="75">
      <c r="A19" s="97" t="inlineStr">
        <is>
          <t>Document + code</t>
        </is>
      </c>
      <c r="B19" s="81">
        <f>COUNTIF('Phase 1'!$F$5:$F$400,"Document + code")</f>
        <v/>
      </c>
      <c r="C19" s="81">
        <f>COUNTIF('Phase 2'!$F$5:$F$144,"Document + code")</f>
        <v/>
      </c>
      <c r="D19" s="81">
        <f>COUNTIF('Phase 3'!$F$5:$F$66,"Document + code")</f>
        <v/>
      </c>
      <c r="E19" s="81">
        <f>COUNTIF('Phase 4'!$F$5:$F$55,"Document + code")</f>
        <v/>
      </c>
      <c r="F19" s="81">
        <f>SUM(B19:E19)</f>
        <v/>
      </c>
    </row>
    <row r="20" ht="15" customHeight="1" s="75">
      <c r="A20" s="102" t="inlineStr">
        <is>
          <t>External · counsel</t>
        </is>
      </c>
      <c r="B20" s="81">
        <f>COUNTIF('Phase 1'!$F$5:$F$400,"External · counsel")</f>
        <v/>
      </c>
      <c r="C20" s="81">
        <f>COUNTIF('Phase 2'!$F$5:$F$144,"External · counsel")</f>
        <v/>
      </c>
      <c r="D20" s="81">
        <f>COUNTIF('Phase 3'!$F$5:$F$66,"External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5"/>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0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inlineStr">
        <is>
          <t>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Code review</t>
        </is>
      </c>
      <c r="J299" s="108" t="n">
        <v>2</v>
      </c>
      <c r="K299" s="109" t="n">
        <v>46306</v>
      </c>
      <c r="L299" s="109" t="n"/>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Code review</t>
        </is>
      </c>
      <c r="J300" s="108" t="n">
        <v>3</v>
      </c>
      <c r="K300" s="109" t="n">
        <v>46306</v>
      </c>
      <c r="L300" s="109" t="n"/>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Code review</t>
        </is>
      </c>
      <c r="J301" s="108" t="n">
        <v>1</v>
      </c>
      <c r="K301" s="109" t="n">
        <v>46307</v>
      </c>
      <c r="L301" s="109" t="n"/>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Code review</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sheetData>
  <autoFilter ref="A4:R304"/>
  <mergeCells count="2">
    <mergeCell ref="A2:R2"/>
    <mergeCell ref="A1:R1"/>
  </mergeCells>
  <conditionalFormatting sqref="I5:I30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4">
    <cfRule type="expression" rank="0" priority="7" equalAverage="0" aboveAverage="0" dxfId="32" text="" percent="0" bottom="0">
      <formula>$I5="Done"</formula>
    </cfRule>
  </conditionalFormatting>
  <conditionalFormatting sqref="N5:N304">
    <cfRule type="cellIs" rank="0" priority="8" equalAverage="0" operator="greaterThanOrEqual" aboveAverage="0" dxfId="33" text="" percent="0" bottom="0">
      <formula>50</formula>
    </cfRule>
  </conditionalFormatting>
  <dataValidations count="1">
    <dataValidation sqref="I5:I30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Ready</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inlineStr">
        <is>
          <t>Ready — its only prerequisite, Phase 2 complete, was met when 2S8-PMO-01 was signed off on 2026-10-09.</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Code review</t>
        </is>
      </c>
      <c r="J6" s="108" t="n">
        <v>3</v>
      </c>
      <c r="K6" s="109" t="n">
        <v>46310</v>
      </c>
      <c r="L6" s="109" t="n"/>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Code review</t>
        </is>
      </c>
      <c r="J36" s="108" t="n">
        <v>5</v>
      </c>
      <c r="K36" s="109" t="n">
        <v>46310</v>
      </c>
      <c r="L36" s="109" t="n"/>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Code review</t>
        </is>
      </c>
      <c r="J38" s="108" t="n">
        <v>3</v>
      </c>
      <c r="K38" s="109" t="n">
        <v>46310</v>
      </c>
      <c r="L38" s="109" t="n"/>
      <c r="M38" s="110" t="inlineStr">
        <is>
          <t>rcfworks</t>
        </is>
      </c>
      <c r="N38" s="81" t="n">
        <v>0</v>
      </c>
      <c r="O38" s="80" t="inlineStr">
        <is>
          <t>3S7-FE-01</t>
        </is>
      </c>
      <c r="P38" s="80" t="inlineStr">
        <is>
          <t>Zoho shows renewal score and recommended next action on the sponsor record</t>
        </is>
      </c>
      <c r="Q38" s="82" t="inlineStr">
        <is>
          <t>Spec §20</t>
        </is>
      </c>
      <c r="R38" s="111" t="inlineStr">
        <is>
          <t>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Code review</t>
        </is>
      </c>
      <c r="J39" s="108" t="n">
        <v>5</v>
      </c>
      <c r="K39" s="109" t="n">
        <v>46310</v>
      </c>
      <c r="L39" s="109" t="n"/>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Code review</t>
        </is>
      </c>
      <c r="J41" s="108" t="n">
        <v>5</v>
      </c>
      <c r="K41" s="109" t="n">
        <v>46310</v>
      </c>
      <c r="L41" s="109" t="n"/>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Code review</t>
        </is>
      </c>
      <c r="J43" s="108" t="n">
        <v>3</v>
      </c>
      <c r="K43" s="109" t="n">
        <v>46310</v>
      </c>
      <c r="L43" s="109" t="n"/>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Code review</t>
        </is>
      </c>
      <c r="J56" s="108" t="n">
        <v>3</v>
      </c>
      <c r="K56" s="109" t="n">
        <v>46310</v>
      </c>
      <c r="L56" s="109" t="n"/>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Blocked</t>
        </is>
      </c>
      <c r="J60" s="108" t="n">
        <v>1</v>
      </c>
      <c r="K60" s="109" t="n"/>
      <c r="L60" s="109" t="n"/>
      <c r="M60" s="110" t="n"/>
      <c r="N60" s="85" t="n">
        <v>0</v>
      </c>
      <c r="O60" s="84" t="inlineStr">
        <is>
          <t>3S1-OPS-04</t>
        </is>
      </c>
      <c r="P60" s="84" t="inlineStr">
        <is>
          <t>No warehouse service, setting or code remains; analysis reads the summaries; the design docs say so</t>
        </is>
      </c>
      <c r="Q60" s="86" t="inlineStr">
        <is>
          <t>Spec §19, §21, §22</t>
        </is>
      </c>
      <c r="R60" s="111" t="inlineStr">
        <is>
          <t>On hold (user, 2026-10-14): leave the warehouse and its databases alone while in development; nothing reads them. Status stays Blocked (the list has no On hold).</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2026-10-15T07:40:45Z</dcterms:modified>
  <cp:revision>0</cp:revision>
</cp:coreProperties>
</file>