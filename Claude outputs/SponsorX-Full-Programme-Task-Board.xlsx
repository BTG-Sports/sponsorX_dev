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Phase 5" sheetId="8" state="visible" r:id="rId8"/>
    <sheet name="Legal" sheetId="9" state="visible" r:id="rId9"/>
    <sheet name="Legend" sheetId="10" state="visible" r:id="rId10"/>
  </sheets>
  <definedNames>
    <definedName name="_xlnm._FilterDatabase" localSheetId="3" hidden="1">'Phase 1'!$A$4:$R$311</definedName>
    <definedName name="_xlnm._FilterDatabase" localSheetId="4" hidden="1">'Phase 2'!$A$4:$R$144</definedName>
    <definedName name="_xlnm._FilterDatabase" localSheetId="5" hidden="1">'Phase 3'!$A$4:$R$66</definedName>
    <definedName name="_xlnm._FilterDatabase" localSheetId="6" hidden="1">'Phase 4'!$A$4:$R$23</definedName>
    <definedName name="_xlnm._FilterDatabase" localSheetId="7" hidden="1">'Phase 5'!$A$4:$R$54</definedName>
    <definedName name="_xlnm._FilterDatabase" localSheetId="8"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Five phases (the blueprint's four, with the INFINEX game split out as Phase 5 on 2026-10-16),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SponsorX's side as built (all Done). Every open task moved to Phase 5 on 2026-10-20: the game is parked</t>
        </is>
      </c>
      <c r="C8" s="85" t="n">
        <v>19</v>
      </c>
      <c r="D8" s="85" t="n">
        <v>62</v>
      </c>
      <c r="E8" s="86" t="inlineStr">
        <is>
          <t>18–22 weeks</t>
        </is>
      </c>
      <c r="F8" s="86" t="inlineStr">
        <is>
          <t>$90K–$150K</t>
        </is>
      </c>
      <c r="G8" s="84" t="inlineStr">
        <is>
          <t>Stable SponsorX APIs, campaign/reward engine, identity/session model, metrics pipeline</t>
        </is>
      </c>
    </row>
    <row r="9" ht="15" customHeight="1" s="75">
      <c r="A9" s="88" t="inlineStr">
        <is>
          <t>Phase 5</t>
        </is>
      </c>
      <c r="B9" s="84" t="inlineStr">
        <is>
          <t>INFINEX game integration: the in-game connector, the staging world test, the pilot world, calibrated virtual pricing, and player accounts (email, Google, Apple, authenticator) with a live connection</t>
        </is>
      </c>
      <c r="C9" s="85" t="n">
        <v>50</v>
      </c>
      <c r="D9" s="85" t="n">
        <v>198</v>
      </c>
      <c r="E9" s="86" t="inlineStr">
        <is>
          <t>after the game's staging world exists</t>
        </is>
      </c>
      <c r="F9" s="86" t="inlineStr">
        <is>
          <t>—</t>
        </is>
      </c>
      <c r="G9" s="84" t="inlineStr">
        <is>
          <t>The INFINEX game (not started 2026-10-16), Phase 4's endpoints</t>
        </is>
      </c>
    </row>
    <row r="10">
      <c r="A10" s="89" t="inlineStr">
        <is>
          <t>TOTAL</t>
        </is>
      </c>
      <c r="B10" s="89" t="inlineStr">
        <is>
          <t>Full SponsorX platform</t>
        </is>
      </c>
      <c r="C10" s="89">
        <f>SUM(C5:C9)</f>
        <v/>
      </c>
      <c r="D10" s="89">
        <f>SUM(D5:D9)</f>
        <v/>
      </c>
      <c r="E10" s="89" t="inlineStr">
        <is>
          <t>66–82 weeks</t>
        </is>
      </c>
      <c r="F10" s="89" t="inlineStr">
        <is>
          <t>$350K–$535K</t>
        </is>
      </c>
      <c r="G10"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1–5, identical 18 columns, so they behave the same way.</t>
        </is>
      </c>
    </row>
    <row r="25" ht="27.75" customHeight="1" s="75">
      <c r="A25" s="91" t="inlineStr">
        <is>
          <t>Task IDs</t>
        </is>
      </c>
      <c r="B25" s="92" t="inlineStr">
        <is>
          <t>Phase 1: P{stage}-{CAT}-{nn}, e.g. P4-BE-03. Phases 2–5: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 Phase 5 waits for the INFINEX game.</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 (Phase 5, 5S2-QA-01).</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five phase sheets. Update Status on a phase sheet and this follows. Counts cover the 556 delivery tasks only — the 9 legal/counsel tasks moved to the Legal sheet on 2026-09-15 and are tracked there (565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4'!$I$5:$I$51,"Ready")</f>
        <v/>
      </c>
      <c r="C8" s="85">
        <f>COUNTIF('Phase 4'!$I$5:$I$51,"In progress")</f>
        <v/>
      </c>
      <c r="D8" s="85">
        <f>COUNTIF('Phase 4'!$I$5:$I$51,"Code review")</f>
        <v/>
      </c>
      <c r="E8" s="85">
        <f>COUNTIF('Phase 4'!$I$5:$I$51,"Blocked")</f>
        <v/>
      </c>
      <c r="F8" s="85">
        <f>COUNTIF('Phase 4'!$I$5:$I$51,"Done")</f>
        <v/>
      </c>
      <c r="G8" s="85">
        <f>COUNTA('Phase 4'!$B$5:$B$51)</f>
        <v/>
      </c>
      <c r="H8" s="85">
        <f>SUMIF('Phase 4'!$I$5:$I$51,"&lt;&gt;Done",'Phase 4'!$J$5:$J$51)</f>
        <v/>
      </c>
    </row>
    <row r="9" ht="15" customHeight="1" s="75">
      <c r="A9" s="96" t="inlineStr">
        <is>
          <t>Phase 5</t>
        </is>
      </c>
      <c r="B9" s="85">
        <f>COUNTIF('Phase 5'!$I$5:$I$100,"Ready")</f>
        <v/>
      </c>
      <c r="C9" s="85">
        <f>COUNTIF('Phase 5'!$I$5:$I$100,"In progress")</f>
        <v/>
      </c>
      <c r="D9" s="85">
        <f>COUNTIF('Phase 5'!$I$5:$I$100,"Code review")</f>
        <v/>
      </c>
      <c r="E9" s="85">
        <f>COUNTIF('Phase 5'!$I$5:$I$100,"Blocked")</f>
        <v/>
      </c>
      <c r="F9" s="85">
        <f>COUNTIF('Phase 5'!$I$5:$I$100,"Done")</f>
        <v/>
      </c>
      <c r="G9" s="85">
        <f>COUNTA('Phase 5'!$B$5:$B$100)</f>
        <v/>
      </c>
      <c r="H9" s="85">
        <f>SUMIF('Phase 5'!$I$5:$I$100,"&lt;&gt;Done",'Phase 5'!$J$5:$J$100)</f>
        <v/>
      </c>
    </row>
    <row r="10">
      <c r="A10" s="89" t="inlineStr">
        <is>
          <t>TOTAL</t>
        </is>
      </c>
      <c r="B10" s="89">
        <f>SUM(B5:B9)</f>
        <v/>
      </c>
      <c r="C10" s="89">
        <f>SUM(C5:C9)</f>
        <v/>
      </c>
      <c r="D10" s="89">
        <f>SUM(D5:D9)</f>
        <v/>
      </c>
      <c r="E10" s="89">
        <f>SUM(E5:E9)</f>
        <v/>
      </c>
      <c r="F10" s="89">
        <f>SUM(F5:F9)</f>
        <v/>
      </c>
      <c r="G10" s="89">
        <f>SUM(G5:G9)</f>
        <v/>
      </c>
      <c r="H10" s="89">
        <f>SUM(H5:H9)</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Phase 5</t>
        </is>
      </c>
      <c r="G12" s="78" t="inlineStr">
        <is>
          <t>Total</t>
        </is>
      </c>
    </row>
    <row r="13" ht="15" customHeight="1" s="75">
      <c r="A13" s="97" t="inlineStr">
        <is>
          <t>Document</t>
        </is>
      </c>
      <c r="B13" s="81">
        <f>COUNTIF('Phase 1'!$F$5:$F$400,"Document")</f>
        <v/>
      </c>
      <c r="C13" s="81">
        <f>COUNTIF('Phase 2'!$F$5:$F$144,"Document")</f>
        <v/>
      </c>
      <c r="D13" s="81">
        <f>COUNTIF('Phase 3'!$F$5:$F$66,"Document")</f>
        <v/>
      </c>
      <c r="E13" s="81">
        <f>COUNTIF('Phase 4'!$F$5:$F$51,"Document")</f>
        <v/>
      </c>
      <c r="F13" s="81">
        <f>COUNTIF('Phase 5'!$F$5:$F$100,"Document")</f>
        <v/>
      </c>
      <c r="G13" s="81">
        <f>SUM(B13:F13)</f>
        <v/>
      </c>
    </row>
    <row r="14" ht="15" customHeight="1" s="75">
      <c r="A14" s="98" t="inlineStr">
        <is>
          <t>Zoho dashboard</t>
        </is>
      </c>
      <c r="B14" s="81">
        <f>COUNTIF('Phase 1'!$F$5:$F$400,"Zoho dashboard")</f>
        <v/>
      </c>
      <c r="C14" s="81">
        <f>COUNTIF('Phase 2'!$F$5:$F$144,"Zoho dashboard")</f>
        <v/>
      </c>
      <c r="D14" s="81">
        <f>COUNTIF('Phase 3'!$F$5:$F$66,"Zoho dashboard")</f>
        <v/>
      </c>
      <c r="E14" s="81">
        <f>COUNTIF('Phase 4'!$F$5:$F$51,"Zoho dashboard")</f>
        <v/>
      </c>
      <c r="F14" s="81">
        <f>COUNTIF('Phase 5'!$F$5:$F$100,"Zoho dashboard")</f>
        <v/>
      </c>
      <c r="G14" s="81">
        <f>SUM(B14:F14)</f>
        <v/>
      </c>
    </row>
    <row r="15" ht="15" customHeight="1" s="75">
      <c r="A15" s="99" t="inlineStr">
        <is>
          <t>Vendor console</t>
        </is>
      </c>
      <c r="B15" s="81">
        <f>COUNTIF('Phase 1'!$F$5:$F$400,"Vendor console")</f>
        <v/>
      </c>
      <c r="C15" s="81">
        <f>COUNTIF('Phase 2'!$F$5:$F$144,"Vendor console")</f>
        <v/>
      </c>
      <c r="D15" s="81">
        <f>COUNTIF('Phase 3'!$F$5:$F$66,"Vendor console")</f>
        <v/>
      </c>
      <c r="E15" s="81">
        <f>COUNTIF('Phase 4'!$F$5:$F$51,"Vendor console")</f>
        <v/>
      </c>
      <c r="F15" s="81">
        <f>COUNTIF('Phase 5'!$F$5:$F$100,"Vendor console")</f>
        <v/>
      </c>
      <c r="G15" s="81">
        <f>SUM(B15:F15)</f>
        <v/>
      </c>
    </row>
    <row r="16" ht="15" customHeight="1" s="75">
      <c r="A16" s="100" t="inlineStr">
        <is>
          <t>Code</t>
        </is>
      </c>
      <c r="B16" s="81">
        <f>COUNTIF('Phase 1'!$F$5:$F$400,"Code")</f>
        <v/>
      </c>
      <c r="C16" s="81">
        <f>COUNTIF('Phase 2'!$F$5:$F$144,"Code")</f>
        <v/>
      </c>
      <c r="D16" s="81">
        <f>COUNTIF('Phase 3'!$F$5:$F$66,"Code")</f>
        <v/>
      </c>
      <c r="E16" s="81">
        <f>COUNTIF('Phase 4'!$F$5:$F$51,"Code")</f>
        <v/>
      </c>
      <c r="F16" s="81">
        <f>COUNTIF('Phase 5'!$F$5:$F$100,"Code")</f>
        <v/>
      </c>
      <c r="G16" s="81">
        <f>SUM(B16:F16)</f>
        <v/>
      </c>
    </row>
    <row r="17" ht="15" customHeight="1" s="75">
      <c r="A17" s="99" t="inlineStr">
        <is>
          <t>Code + console</t>
        </is>
      </c>
      <c r="B17" s="81">
        <f>COUNTIF('Phase 1'!$F$5:$F$400,"Code + console")</f>
        <v/>
      </c>
      <c r="C17" s="81">
        <f>COUNTIF('Phase 2'!$F$5:$F$144,"Code + console")</f>
        <v/>
      </c>
      <c r="D17" s="81">
        <f>COUNTIF('Phase 3'!$F$5:$F$66,"Code + console")</f>
        <v/>
      </c>
      <c r="E17" s="81">
        <f>COUNTIF('Phase 4'!$F$5:$F$51,"Code + console")</f>
        <v/>
      </c>
      <c r="F17" s="81">
        <f>COUNTIF('Phase 5'!$F$5:$F$100,"Code + console")</f>
        <v/>
      </c>
      <c r="G17" s="81">
        <f>SUM(B17:F17)</f>
        <v/>
      </c>
    </row>
    <row r="18" ht="15" customHeight="1" s="75">
      <c r="A18" s="101" t="inlineStr">
        <is>
          <t>Design tool</t>
        </is>
      </c>
      <c r="B18" s="81">
        <f>COUNTIF('Phase 1'!$F$5:$F$400,"Design tool")</f>
        <v/>
      </c>
      <c r="C18" s="81">
        <f>COUNTIF('Phase 2'!$F$5:$F$144,"Design tool")</f>
        <v/>
      </c>
      <c r="D18" s="81">
        <f>COUNTIF('Phase 3'!$F$5:$F$66,"Design tool")</f>
        <v/>
      </c>
      <c r="E18" s="81">
        <f>COUNTIF('Phase 4'!$F$5:$F$51,"Design tool")</f>
        <v/>
      </c>
      <c r="F18" s="81">
        <f>COUNTIF('Phase 5'!$F$5:$F$100,"Design tool")</f>
        <v/>
      </c>
      <c r="G18" s="81">
        <f>SUM(B18:F18)</f>
        <v/>
      </c>
    </row>
    <row r="19" ht="15" customHeight="1" s="75">
      <c r="A19" s="97" t="inlineStr">
        <is>
          <t>Document + code</t>
        </is>
      </c>
      <c r="B19" s="81">
        <f>COUNTIF('Phase 1'!$F$5:$F$400,"Document + code")</f>
        <v/>
      </c>
      <c r="C19" s="81">
        <f>COUNTIF('Phase 2'!$F$5:$F$144,"Document + code")</f>
        <v/>
      </c>
      <c r="D19" s="81">
        <f>COUNTIF('Phase 3'!$F$5:$F$66,"Document + code")</f>
        <v/>
      </c>
      <c r="E19" s="81">
        <f>COUNTIF('Phase 4'!$F$5:$F$51,"Document + code")</f>
        <v/>
      </c>
      <c r="F19" s="81">
        <f>COUNTIF('Phase 5'!$F$5:$F$100,"Document + code")</f>
        <v/>
      </c>
      <c r="G19" s="81">
        <f>SUM(B19:F19)</f>
        <v/>
      </c>
    </row>
    <row r="20" ht="15" customHeight="1" s="75">
      <c r="A20" s="102" t="inlineStr">
        <is>
          <t>External · counsel</t>
        </is>
      </c>
      <c r="B20" s="81">
        <f>COUNTIF('Phase 1'!$F$5:$F$400,"External · counsel")</f>
        <v/>
      </c>
      <c r="C20" s="81">
        <f>COUNTIF('Phase 2'!$F$5:$F$144,"External · counsel")</f>
        <v/>
      </c>
      <c r="D20" s="81">
        <f>COUNTIF('Phase 3'!$F$5:$F$66,"External · counsel")</f>
        <v/>
      </c>
      <c r="E20" s="81">
        <f>COUNTIF('Phase 4'!$F$5:$F$51,"External · counsel")</f>
        <v/>
      </c>
      <c r="F20" s="81">
        <f>COUNTIF('Phase 5'!$F$5:$F$100,"External · counsel")</f>
        <v/>
      </c>
      <c r="G20" s="81">
        <f>SUM(B20:F20)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37"/>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row r="36">
      <c r="A36" s="74" t="inlineStr">
        <is>
          <t>2026-10-15</t>
        </is>
      </c>
      <c r="B36" s="74" t="n">
        <v>27</v>
      </c>
      <c r="C36" s="74" t="n">
        <v>62</v>
      </c>
      <c r="D36" s="74" t="n">
        <v>25</v>
      </c>
      <c r="E36" s="74" t="n">
        <v>29</v>
      </c>
      <c r="F36" s="74" t="n">
        <v>27</v>
      </c>
      <c r="G36" s="74" t="n">
        <v>19</v>
      </c>
      <c r="H36" s="74" t="n">
        <v>20</v>
      </c>
      <c r="I36" s="74" t="n">
        <v>20</v>
      </c>
      <c r="J36" s="74" t="n">
        <v>20</v>
      </c>
      <c r="K36" s="74" t="n">
        <v>37</v>
      </c>
      <c r="L36" s="74" t="n">
        <v>286</v>
      </c>
      <c r="M36" s="74" t="n">
        <v>40</v>
      </c>
    </row>
    <row r="37">
      <c r="A37" s="74" t="inlineStr">
        <is>
          <t>2026-10-19</t>
        </is>
      </c>
      <c r="B37" s="74" t="n">
        <v>28</v>
      </c>
      <c r="C37" s="74" t="n">
        <v>62</v>
      </c>
      <c r="D37" s="74" t="n">
        <v>25</v>
      </c>
      <c r="E37" s="74" t="n">
        <v>29</v>
      </c>
      <c r="F37" s="74" t="n">
        <v>27</v>
      </c>
      <c r="G37" s="74" t="n">
        <v>19</v>
      </c>
      <c r="H37" s="74" t="n">
        <v>20</v>
      </c>
      <c r="I37" s="74" t="n">
        <v>20</v>
      </c>
      <c r="J37" s="74" t="n">
        <v>24</v>
      </c>
      <c r="K37" s="74" t="n">
        <v>38</v>
      </c>
      <c r="L37" s="74" t="n">
        <v>292</v>
      </c>
      <c r="M37" s="74" t="n">
        <v>16</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311"/>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262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Done</t>
        </is>
      </c>
      <c r="J15" s="108" t="n">
        <v>1</v>
      </c>
      <c r="K15" s="109" t="inlineStr">
        <is>
          <t>2026-09-14</t>
        </is>
      </c>
      <c r="L15" s="109" t="n">
        <v>46311</v>
      </c>
      <c r="M15" s="110" t="inlineStr">
        <is>
          <t>rcfworks</t>
        </is>
      </c>
      <c r="N15" s="85" t="n">
        <v>2</v>
      </c>
      <c r="O15" s="84" t="n"/>
      <c r="P15" s="84" t="inlineStr">
        <is>
          <t>Both instances exist (amended 2026-10-16 by the user: the MFA half is P2-INT-02's, closed when Clerk Pro is bought at launch)</t>
        </is>
      </c>
      <c r="Q15" s="86" t="inlineStr">
        <is>
          <t>Addendum A4, §26</t>
        </is>
      </c>
      <c r="R15" s="111" t="inlineStr">
        <is>
          <t>2026-10-16 DONE (rcfworks, the user's decision): both instances exist and production signs in on clerk.sponsorx.net; the MFA half of the old Done-when moved to P2-INT-02, which says the same thing. | 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2026-10-16: now also carries the MFA half of P0-OPS-03 (closed). | 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 | 2026-10-15: WHEN production's Zoho keys are set at go-live, also run `railway ssh --environment production --service api -- npm run zoho:intel-fields -w @sponsorx/backend -- --create --confirm-production` (3S7-INT-01's two Account fields; owner OK'd 2026-10-15). Tried 2026-10-15: stopped with 'Zoho is not configured' — nothing changed.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Dropped</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 | 2026-10-15 DROPPED by the user ("its not worth doing"): every PR already runs the full suite, browser tests included, on its own fresh database in CI; the team is two people who merge every PR; a running app and database per open PR costs Railway money for little gain.</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Done</t>
        </is>
      </c>
      <c r="J166" s="108" t="n">
        <v>5</v>
      </c>
      <c r="K166" s="109" t="n">
        <v>46311</v>
      </c>
      <c r="L166" s="109" t="n">
        <v>46311</v>
      </c>
      <c r="M166" s="110" t="inlineStr">
        <is>
          <t>rcfworks</t>
        </is>
      </c>
      <c r="N166" s="85" t="n">
        <v>2</v>
      </c>
      <c r="O166" s="84" t="inlineStr">
        <is>
          <t>all phases</t>
        </is>
      </c>
      <c r="P166" s="84" t="inlineStr">
        <is>
          <t>All fourteen §30 criteria demonstrated and recorded</t>
        </is>
      </c>
      <c r="Q166" s="86" t="inlineStr">
        <is>
          <t>§30</t>
        </is>
      </c>
      <c r="R166" s="111" t="inlineStr">
        <is>
          <t>2026-10-16 DONE (rcfworks, signed off by the user): SponsorX-Phase1-Acceptance.md — all 14 §30 criteria demonstrated: 1,048/1,048 backend tests in 39 files + new phase1-acceptance.test.ts (3/3); Phase 1 e2e loops green on main (CI 38857461531); Zoho live in the sandbox (2026-10-09 run). #2 SX jobs = configured by reviewed code change (user's decision). | 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Done</t>
        </is>
      </c>
      <c r="J171" s="108" t="n">
        <v>5</v>
      </c>
      <c r="K171" s="109" t="n">
        <v>46311</v>
      </c>
      <c r="L171" s="109" t="n">
        <v>46311</v>
      </c>
      <c r="M171" s="110" t="inlineStr">
        <is>
          <t>rcfworks</t>
        </is>
      </c>
      <c r="N171" s="81" t="n">
        <v>1</v>
      </c>
      <c r="O171" s="80" t="inlineStr">
        <is>
          <t>P8-QA-01</t>
        </is>
      </c>
      <c r="P171" s="80" t="inlineStr">
        <is>
          <t>Scripts exist for athlete, sponsor, admin and fan journeys; run with real pilot users on staging</t>
        </is>
      </c>
      <c r="Q171" s="82" t="inlineStr">
        <is>
          <t>§29 Sprint 7, §38</t>
        </is>
      </c>
      <c r="R171" s="111" t="inlineStr">
        <is>
          <t>2026-10-16 DONE (rcfworks, the user's decision): scripts in SponsorX-Phase1-UAT-Scripts.md (28 steps, mapped to §30). The run is met by Phase 2's simulated-user run on staging (2026-10-09: sign-up, Zoho, cross-tenant) plus the daily e2e loops in CI (application, matching, delivery, QR reward, earnings and report). Scripts stay ready for BTG's real pilot.</t>
        </is>
      </c>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In progress</t>
        </is>
      </c>
      <c r="J184" s="108" t="n">
        <v>1</v>
      </c>
      <c r="K184" s="163" t="n">
        <v>46315</v>
      </c>
      <c r="L184" s="109" t="n"/>
      <c r="M184" s="110" t="inlineStr">
        <is>
          <t>rcfworks</t>
        </is>
      </c>
      <c r="N184" s="85" t="n">
        <v>1</v>
      </c>
      <c r="O184" s="84" t="inlineStr">
        <is>
          <t>P8-QA-02, P8-OPS-01</t>
        </is>
      </c>
      <c r="P184" s="84" t="inlineStr">
        <is>
          <t>§37's pre-pilot and pre-sponsor-pilot gates formally signed off</t>
        </is>
      </c>
      <c r="Q184" s="86" t="inlineStr">
        <is>
          <t>§37</t>
        </is>
      </c>
      <c r="R184" s="111" t="inlineStr">
        <is>
          <t>2026-10-20 (rcfworks): DRAFT, decision pending — documentation/SponsorX-Go-No-Go-Review.md. Software ready (Phases 1–4 signed off). Athlete-pilot and sponsor-pilot gates wait on counsel (P0-LEG-01…06, 2S0-LEG-01/02, 3S0-LEG-01); owner's production switches listed (Stripe live, Zoho keys, Clerk Pro MFA, edge key, GeoLite, email domain). Recommendation: no-go for real outside users until counsel answers; production readiness + BTG-internal dry run meanwhile. | 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Done</t>
        </is>
      </c>
      <c r="J185" s="108" t="n">
        <v>3</v>
      </c>
      <c r="K185" s="109" t="inlineStr">
        <is>
          <t>2026-10-02</t>
        </is>
      </c>
      <c r="L185" s="109" t="n">
        <v>46311</v>
      </c>
      <c r="M185" s="110" t="inlineStr">
        <is>
          <t>HeckerCreatives</t>
        </is>
      </c>
      <c r="N185" s="81" t="n"/>
      <c r="O185" s="80" t="inlineStr">
        <is>
          <t>P8-QA-01</t>
        </is>
      </c>
      <c r="P185" s="80" t="inlineStr">
        <is>
          <t>Every E2E test from Phases 3–7 runs green in one suite in CI</t>
        </is>
      </c>
      <c r="Q185" s="82" t="inlineStr">
        <is>
          <t>§38</t>
        </is>
      </c>
      <c r="R185" s="111" t="inlineStr">
        <is>
          <t>2026-10-16 DONE (verified by rcfworks at the user's instruction): main's CI run 38857461531 — Playwright 70 passed, 0 failed in one suite; stages 3-7 loops all green (loop-p3-application incl. the minor loop red on 10-02, loop-p4-matching, loop-p5-delivery, redeem-flow, loop-p7-earnings-report); skips are other-project or Phase 2 seed-only. 'Phases 3-7' = Phase 1 stages 3-7. | 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Done</t>
        </is>
      </c>
      <c r="J237" s="108" t="n">
        <v>3</v>
      </c>
      <c r="K237" s="109" t="inlineStr">
        <is>
          <t>2026-10-02</t>
        </is>
      </c>
      <c r="L237" s="109" t="n">
        <v>46311</v>
      </c>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2026-10-16 DONE (verified by rcfworks at the user's instruction): next-edition-e2e.test.ts 7/7 green, one test per clause; clause 4 (approval board + ContentRight) covered since P9-BE-16 (Done 2026-10-05). | 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Done</t>
        </is>
      </c>
      <c r="J299" s="108" t="n">
        <v>2</v>
      </c>
      <c r="K299" s="109" t="n">
        <v>46306</v>
      </c>
      <c r="L299" s="109" t="n">
        <v>46310</v>
      </c>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 Done 2026-10-15 (owner's call); P1-ART-22's QA fixes of 10-11 committed and pushed 2026-10-15.</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Done</t>
        </is>
      </c>
      <c r="J300" s="108" t="n">
        <v>3</v>
      </c>
      <c r="K300" s="109" t="n">
        <v>46306</v>
      </c>
      <c r="L300" s="109" t="n">
        <v>46310</v>
      </c>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 Done 2026-10-15 (owner's call); P1-ART-22's QA fixes of 10-11 committed and pushed 2026-10-15.</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Done</t>
        </is>
      </c>
      <c r="J301" s="108" t="n">
        <v>1</v>
      </c>
      <c r="K301" s="109" t="n">
        <v>46307</v>
      </c>
      <c r="L301" s="109" t="n">
        <v>46310</v>
      </c>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 Done 2026-10-15 (owner's call); P1-ART-22's QA fixes of 10-11 committed and pushed 2026-10-15.</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Done</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 Done 2026-10-15 (owner's call); P1-ART-22's QA fixes of 10-11 committed and pushed 2026-10-15.</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row r="305" s="75">
      <c r="A305" s="104" t="n">
        <v>157.5</v>
      </c>
      <c r="B305" s="105" t="inlineStr">
        <is>
          <t>P8-BE-01</t>
        </is>
      </c>
      <c r="C305" s="81" t="n">
        <v>8</v>
      </c>
      <c r="D305" s="82" t="inlineStr">
        <is>
          <t>Integration, Hardening &amp; Launch</t>
        </is>
      </c>
      <c r="E305" s="139" t="inlineStr">
        <is>
          <t>BE</t>
        </is>
      </c>
      <c r="F305" s="120" t="inlineStr">
        <is>
          <t>Code</t>
        </is>
      </c>
      <c r="G305" s="80" t="inlineStr">
        <is>
          <t>A NIL job catalogue per tenant</t>
        </is>
      </c>
      <c r="H305" s="107" t="inlineStr">
        <is>
          <t>Raised by P8-QA-01's finding: a job's ID (SX-02) was unique across the whole database, so only one tenant could hold the SX catalogue.</t>
        </is>
      </c>
      <c r="I305" s="108" t="inlineStr">
        <is>
          <t>Done</t>
        </is>
      </c>
      <c r="J305" s="108" t="n">
        <v>1</v>
      </c>
      <c r="K305" s="163" t="n">
        <v>46314</v>
      </c>
      <c r="L305" s="163" t="n">
        <v>46314</v>
      </c>
      <c r="M305" s="110" t="inlineStr">
        <is>
          <t>rcfworks</t>
        </is>
      </c>
      <c r="N305" s="81" t="n">
        <v>0</v>
      </c>
      <c r="O305" s="80" t="inlineStr">
        <is>
          <t>P8-QA-01</t>
        </is>
      </c>
      <c r="P305" s="80" t="inlineStr">
        <is>
          <t>A second tenant can hold and price its own SX jobs, and no record can point at another tenant's job</t>
        </is>
      </c>
      <c r="Q305" s="82" t="inlineStr">
        <is>
          <t>§30</t>
        </is>
      </c>
      <c r="R305" s="111" t="inlineStr">
        <is>
          <t>2026-10-19 DONE (rcfworks): merged in #255, acceptance met (tests green on CI). | 2026-10-19 (rcfworks): NilJob keyed by (tenantId, id); AthleteRate/CampaignInvite/CampaignOrder/Offer reference it by (tenantId, jobId), so the database refuses a link to another tenant's job. Migration 20261019100000_nil_job_per_tenant pre-checks for cross-tenant links and stops with the list. Catalogue loader, campaign desk and invitation email read the record's own tenant's job; the pricing engine prefers it. tests/nil-job-per-tenant.test.ts; phase1-acceptance.test.ts now holds its own catalogue (ends its race over SX-04/SX-05).</t>
        </is>
      </c>
    </row>
    <row r="306" s="75">
      <c r="A306" s="104" t="n">
        <v>157.6</v>
      </c>
      <c r="B306" s="105" t="inlineStr">
        <is>
          <t>P8-BE-02</t>
        </is>
      </c>
      <c r="C306" s="81" t="n">
        <v>8</v>
      </c>
      <c r="D306" s="82" t="inlineStr">
        <is>
          <t>Integration, Hardening &amp; Launch</t>
        </is>
      </c>
      <c r="E306" s="139" t="inlineStr">
        <is>
          <t>BE</t>
        </is>
      </c>
      <c r="F306" s="120" t="inlineStr">
        <is>
          <t>Code</t>
        </is>
      </c>
      <c r="G306" s="80" t="inlineStr">
        <is>
          <t>The athlete's own rules are their responsibility</t>
        </is>
      </c>
      <c r="H306" s="107" t="inlineStr">
        <is>
          <t>Raised by P0-LEG-06's redefinition (2026-10-20). SponsorX does not research every school's, league's or country's rules: the athlete confirms they follow their own (for a minor, the guardian). Built-in limits stay for everyone.</t>
        </is>
      </c>
      <c r="I306" s="108" t="inlineStr">
        <is>
          <t>Code review</t>
        </is>
      </c>
      <c r="J306" s="108" t="n">
        <v>1</v>
      </c>
      <c r="K306" s="163" t="n">
        <v>46315</v>
      </c>
      <c r="L306" s="163" t="n"/>
      <c r="M306" s="110" t="inlineStr">
        <is>
          <t>rcfworks</t>
        </is>
      </c>
      <c r="N306" s="81" t="n">
        <v>3</v>
      </c>
      <c r="O306" s="80" t="n"/>
      <c r="P306" s="80" t="inlineStr">
        <is>
          <t>The wording is served with its version; an adult confirms on the application or from their login, a minor's guardian on their page or acting for them (a minor's own tick doesn't count, their own login is refused); a stale wording is refused; with BTG's per-tenant switch on, accepting a deal or listing an item waits on a confirmation that counts, and with it off nothing changes</t>
        </is>
      </c>
      <c r="Q306" s="82" t="inlineStr">
        <is>
          <t>§4, §26</t>
        </is>
      </c>
      <c r="R306" s="111" t="inlineStr">
        <is>
          <t>2026-10-20 (rcfworks): rules-attestation.ts (wording v2026-10-20, GET /public/rules-attestation); recorded on the application, the guardian's agreement step and GET/POST /me/rules-attestation; Tenant.requireRulesAttestation in /signup-rules/settings, enforced in assertMayCommit. tests/deal-disputes.test.ts. Frontend: the tick on /join and the guardian page, the portal prompt — the switch stays off until they ship.</t>
        </is>
      </c>
    </row>
    <row r="307" s="75">
      <c r="A307" s="104" t="n">
        <v>157.7</v>
      </c>
      <c r="B307" s="105" t="inlineStr">
        <is>
          <t>P8-BE-03</t>
        </is>
      </c>
      <c r="C307" s="81" t="n">
        <v>8</v>
      </c>
      <c r="D307" s="82" t="inlineStr">
        <is>
          <t>Integration, Hardening &amp; Launch</t>
        </is>
      </c>
      <c r="E307" s="139" t="inlineStr">
        <is>
          <t>BE</t>
        </is>
      </c>
      <c r="F307" s="120" t="inlineStr">
        <is>
          <t>Code</t>
        </is>
      </c>
      <c r="G307" s="80" t="inlineStr">
        <is>
          <t>A concern raised about a deal pauses it</t>
        </is>
      </c>
      <c r="H307" s="107" t="inlineStr">
        <is>
          <t>Raised by P0-LEG-06's redefinition (2026-10-20): "if there are disputes, that's the time we should be strict with forms". BTG pauses the deal and asks the athlete for documents; then resumes or cancels it.</t>
        </is>
      </c>
      <c r="I307" s="108" t="inlineStr">
        <is>
          <t>Code review</t>
        </is>
      </c>
      <c r="J307" s="108" t="n">
        <v>2</v>
      </c>
      <c r="K307" s="163" t="n">
        <v>46315</v>
      </c>
      <c r="L307" s="163" t="n"/>
      <c r="M307" s="110" t="inlineStr">
        <is>
          <t>rcfworks</t>
        </is>
      </c>
      <c r="N307" s="81" t="n">
        <v>2</v>
      </c>
      <c r="O307" s="80" t="inlineStr">
        <is>
          <t>P8-BE-02</t>
        </is>
      </c>
      <c r="P307" s="80" t="inlineStr">
        <is>
          <t>BTG opens a dispute on a sent, accepted or active order; while open no deliverable moves, the order can only be cancelled and the earning is held; the athlete (the guardian, for a minor) is emailed what was raised and what to send, sends documents through the private upload, and BTG's admins are emailed; BTG opens them through audited links and resumes (earning back) or cancels (order cancelled, earning left held); sponsors see none of it</t>
        </is>
      </c>
      <c r="Q307" s="82" t="inlineStr">
        <is>
          <t>§4, §21, §26</t>
        </is>
      </c>
      <c r="R307" s="111" t="inlineStr">
        <is>
          <t>2026-10-20 (rcfworks): DealDispute + DealDisputeDocument (migration 20261020120000), deal-disputes.ts, deal-pause.ts called from order, deliverable and earning moves; /orders/{id}/disputes and /deal-disputes…; RBAC §39 (resource dealDispute). tests/deal-disputes.test.ts + tenant-isolation sweep. Frontend: BTG's dispute desk, the athlete's order banner and upload.</t>
        </is>
      </c>
    </row>
    <row r="308" s="75">
      <c r="A308" s="104" t="n">
        <v>157.8</v>
      </c>
      <c r="B308" s="105" t="inlineStr">
        <is>
          <t>P8-FE-03</t>
        </is>
      </c>
      <c r="C308" s="81" t="n">
        <v>8</v>
      </c>
      <c r="D308" s="82" t="inlineStr">
        <is>
          <t>Integration, Hardening &amp; Launch</t>
        </is>
      </c>
      <c r="E308" s="139" t="inlineStr">
        <is>
          <t>FE</t>
        </is>
      </c>
      <c r="F308" s="120" t="inlineStr">
        <is>
          <t>Code</t>
        </is>
      </c>
      <c r="G308" s="80" t="inlineStr">
        <is>
          <t>The rules tick on the sign-up page and the guardian's page</t>
        </is>
      </c>
      <c r="H308" s="107" t="inlineStr">
        <is>
          <t>Raised with P8-BE-02 (2026-10-20). Show the rules wording from GET /public/rules-attestation as a tick box on /join and on the guardian's set-up page, and send its version with the application (rulesAttestationVersion) and with the guardian agreement acceptance. Once this ships, BTG can switch on 'athletes confirm their own rules' in sign-up settings.</t>
        </is>
      </c>
      <c r="I308" s="108" t="inlineStr">
        <is>
          <t>Ready</t>
        </is>
      </c>
      <c r="J308" s="108" t="n">
        <v>1</v>
      </c>
      <c r="K308" s="163" t="n"/>
      <c r="L308" s="163" t="n"/>
      <c r="M308" s="110" t="n"/>
      <c r="N308" s="81" t="n">
        <v>0</v>
      </c>
      <c r="O308" s="80" t="inlineStr">
        <is>
          <t>P8-BE-02</t>
        </is>
      </c>
      <c r="P308" s="80" t="inlineStr">
        <is>
          <t>/join and /guardian/setup show the wording and send its version when ticked; a 422 rules_attestation_stale reloads the wording and asks again; for a minor, the guardian's page asks, not the minor's application</t>
        </is>
      </c>
      <c r="Q308" s="82" t="inlineStr">
        <is>
          <t>§4, §26</t>
        </is>
      </c>
      <c r="R308" s="111" t="inlineStr">
        <is>
          <t>2026-10-20 (rcfworks): raised with P8-BE-02/03 (PR #273) — frontend, for HeckerCreatives.</t>
        </is>
      </c>
    </row>
    <row r="309" s="75">
      <c r="A309" s="104" t="n">
        <v>157.9</v>
      </c>
      <c r="B309" s="105" t="inlineStr">
        <is>
          <t>P8-FE-04</t>
        </is>
      </c>
      <c r="C309" s="81" t="n">
        <v>8</v>
      </c>
      <c r="D309" s="82" t="inlineStr">
        <is>
          <t>Integration, Hardening &amp; Launch</t>
        </is>
      </c>
      <c r="E309" s="139" t="inlineStr">
        <is>
          <t>FE</t>
        </is>
      </c>
      <c r="F309" s="120" t="inlineStr">
        <is>
          <t>Code</t>
        </is>
      </c>
      <c r="G309" s="80" t="inlineStr">
        <is>
          <t>The rules prompt in the athlete portal</t>
        </is>
      </c>
      <c r="H309" s="107" t="inlineStr">
        <is>
          <t>Raised with P8-BE-02. Existing athletes (and guardians acting for a minor) confirm from their login: GET/POST /me/rules-attestation. Show a prompt when it isn't current, and turn a 409 rules_attestation_required on accepting a deal into that prompt. Add the switch to BTG's sign-up settings screen (requireRulesAttestation).</t>
        </is>
      </c>
      <c r="I309" s="108" t="inlineStr">
        <is>
          <t>Ready</t>
        </is>
      </c>
      <c r="J309" s="108" t="n">
        <v>1</v>
      </c>
      <c r="K309" s="163" t="n"/>
      <c r="L309" s="163" t="n"/>
      <c r="M309" s="110" t="n"/>
      <c r="N309" s="81" t="n">
        <v>0</v>
      </c>
      <c r="O309" s="80" t="inlineStr">
        <is>
          <t>P8-BE-02</t>
        </is>
      </c>
      <c r="P309" s="80" t="inlineStr">
        <is>
          <t>The portal shows the prompt when current is false, confirms with the version, and a refused accept leads to it; a minor's own login sees that the guardian confirms; BTG's sign-up settings show both switches</t>
        </is>
      </c>
      <c r="Q309" s="82" t="inlineStr">
        <is>
          <t>§4, §26</t>
        </is>
      </c>
      <c r="R309" s="111" t="inlineStr">
        <is>
          <t>2026-10-20 (rcfworks): raised with P8-BE-02/03 (PR #273) — frontend, for HeckerCreatives.</t>
        </is>
      </c>
    </row>
    <row r="310" s="75">
      <c r="A310" s="104" t="n">
        <v>157.91</v>
      </c>
      <c r="B310" s="105" t="inlineStr">
        <is>
          <t>P8-FE-05</t>
        </is>
      </c>
      <c r="C310" s="81" t="n">
        <v>8</v>
      </c>
      <c r="D310" s="82" t="inlineStr">
        <is>
          <t>Integration, Hardening &amp; Launch</t>
        </is>
      </c>
      <c r="E310" s="139" t="inlineStr">
        <is>
          <t>FE</t>
        </is>
      </c>
      <c r="F310" s="120" t="inlineStr">
        <is>
          <t>Code</t>
        </is>
      </c>
      <c r="G310" s="80" t="inlineStr">
        <is>
          <t>BTG's deal dispute desk</t>
        </is>
      </c>
      <c r="H310" s="107" t="inlineStr">
        <is>
          <t>Raised with P8-BE-03. BTG admin opens a dispute from an order (POST /orders/{id}/disputes: who raised it, the concern, what to send), lists and opens disputes (GET /deal-disputes, /deal-disputes/{id}), opens documents through the audited link, and resumes or cancels with a note (POST /deal-disputes/{id}/resolve).</t>
        </is>
      </c>
      <c r="I310" s="108" t="inlineStr">
        <is>
          <t>Ready</t>
        </is>
      </c>
      <c r="J310" s="108" t="n">
        <v>2</v>
      </c>
      <c r="K310" s="163" t="n"/>
      <c r="L310" s="163" t="n"/>
      <c r="M310" s="110" t="n"/>
      <c r="N310" s="81" t="n">
        <v>0</v>
      </c>
      <c r="O310" s="80" t="inlineStr">
        <is>
          <t>P8-BE-03</t>
        </is>
      </c>
      <c r="P310" s="80" t="inlineStr">
        <is>
          <t>BTG can open, list, read, view documents and resolve a dispute from the admin workspace; campaign managers and Finance see it read-only; paused orders and held earnings show why</t>
        </is>
      </c>
      <c r="Q310" s="82" t="inlineStr">
        <is>
          <t>§4, §26</t>
        </is>
      </c>
      <c r="R310" s="111" t="inlineStr">
        <is>
          <t>2026-10-20 (rcfworks): raised with P8-BE-02/03 (PR #273) — frontend, for HeckerCreatives.</t>
        </is>
      </c>
    </row>
    <row r="311" s="75">
      <c r="A311" s="104" t="n">
        <v>157.92</v>
      </c>
      <c r="B311" s="105" t="inlineStr">
        <is>
          <t>P8-FE-06</t>
        </is>
      </c>
      <c r="C311" s="81" t="n">
        <v>8</v>
      </c>
      <c r="D311" s="82" t="inlineStr">
        <is>
          <t>Integration, Hardening &amp; Launch</t>
        </is>
      </c>
      <c r="E311" s="139" t="inlineStr">
        <is>
          <t>FE</t>
        </is>
      </c>
      <c r="F311" s="120" t="inlineStr">
        <is>
          <t>Code</t>
        </is>
      </c>
      <c r="G311" s="80" t="inlineStr">
        <is>
          <t>The paused-deal banner and upload on the athlete's order</t>
        </is>
      </c>
      <c r="H311" s="107" t="inlineStr">
        <is>
          <t>Raised with P8-BE-03. On the athlete's order page (and the guardian's, acting for a minor), show that the deal is paused, the concern and what BTG asked for, and the documents sent; upload through POST /deal-disputes/{id}/documents then …/confirm. Show the outcome when decided. A 409 deal_paused anywhere on the order explains the pause.</t>
        </is>
      </c>
      <c r="I311" s="108" t="inlineStr">
        <is>
          <t>Ready</t>
        </is>
      </c>
      <c r="J311" s="108" t="n">
        <v>1</v>
      </c>
      <c r="K311" s="163" t="n"/>
      <c r="L311" s="163" t="n"/>
      <c r="M311" s="110" t="n"/>
      <c r="N311" s="81" t="n">
        <v>0</v>
      </c>
      <c r="O311" s="80" t="inlineStr">
        <is>
          <t>P8-BE-03</t>
        </is>
      </c>
      <c r="P311" s="80" t="inlineStr">
        <is>
          <t>The order page shows the pause, the request and the outcome; the athlete or guardian uploads a document (PDF, JPEG, PNG or WebP, at most 10 MB) and sees it listed; actions refused with deal_paused say why</t>
        </is>
      </c>
      <c r="Q311" s="82" t="inlineStr">
        <is>
          <t>§4, §26</t>
        </is>
      </c>
      <c r="R311" s="111" t="inlineStr">
        <is>
          <t>2026-10-20 (rcfworks): raised with P8-BE-02/03 (PR #273) — frontend, for HeckerCreatives.</t>
        </is>
      </c>
    </row>
  </sheetData>
  <autoFilter ref="A4:R311"/>
  <mergeCells count="2">
    <mergeCell ref="A2:R2"/>
    <mergeCell ref="A1:R1"/>
  </mergeCells>
  <conditionalFormatting sqref="I5:I311">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11">
    <cfRule type="expression" rank="0" priority="7" equalAverage="0" aboveAverage="0" dxfId="32" text="" percent="0" bottom="0">
      <formula>$I5="Done"</formula>
    </cfRule>
  </conditionalFormatting>
  <conditionalFormatting sqref="N5:N311">
    <cfRule type="cellIs" rank="0" priority="8" equalAverage="0" operator="greaterThanOrEqual" aboveAverage="0" dxfId="33" text="" percent="0" bottom="0">
      <formula>50</formula>
    </cfRule>
  </conditionalFormatting>
  <dataValidations count="1">
    <dataValidation sqref="I5:I311"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Done</t>
        </is>
      </c>
      <c r="J5" s="108" t="n">
        <v>3</v>
      </c>
      <c r="K5" s="109" t="n">
        <v>46310</v>
      </c>
      <c r="L5" s="109" t="n">
        <v>46310</v>
      </c>
      <c r="M5" s="110" t="inlineStr">
        <is>
          <t>rcfworks</t>
        </is>
      </c>
      <c r="N5" s="81" t="n">
        <v>0</v>
      </c>
      <c r="O5" s="80" t="inlineStr">
        <is>
          <t>Phase 2 complete</t>
        </is>
      </c>
      <c r="P5" s="80" t="inlineStr">
        <is>
          <t>Written definitions for every attribution class, with the reporting language each is allowed to use</t>
        </is>
      </c>
      <c r="Q5" s="82" t="inlineStr">
        <is>
          <t>Spec §17.4, §22</t>
        </is>
      </c>
      <c r="R5" s="111" t="inlineStr">
        <is>
          <t>Drafted 2026-10-15 (rcfworks) for the owner's approval: documentation/SponsorX-Attribution-Claims.md — four classes, evidence, the words each may/never use, never summed, no ROI from modelled/estimated, provenance, zero not a guess. Unblocks 3S6-BE-01; legal review is 3S0-LEG-01. | Done 2026-10-15: merged (#230), acceptance met.</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Done</t>
        </is>
      </c>
      <c r="J6" s="108" t="n">
        <v>3</v>
      </c>
      <c r="K6" s="109" t="n">
        <v>46310</v>
      </c>
      <c r="L6" s="109" t="n">
        <v>46310</v>
      </c>
      <c r="M6" s="110" t="inlineStr">
        <is>
          <t>rcfworks</t>
        </is>
      </c>
      <c r="N6" s="85" t="n">
        <v>0</v>
      </c>
      <c r="O6" s="84" t="inlineStr">
        <is>
          <t>Phase 2 complete</t>
        </is>
      </c>
      <c r="P6" s="84" t="inlineStr">
        <is>
          <t>Governance policy written: versioning, confidence, explanation, override, monitoring and rollback</t>
        </is>
      </c>
      <c r="Q6" s="86" t="inlineStr">
        <is>
          <t>Spec §15</t>
        </is>
      </c>
      <c r="R6" s="111" t="inlineStr">
        <is>
          <t>Drafted 2026-10-15 (rcfworks) for the owner's approval: documentation/SponsorX-Model-Governance.md — versioning per tenant, draft→validated→active→retired, automatic validation inside safe ranges and a second person outside (automation first), confidence/explanation, overrides, rollback and compare without deploy, per-tenant switches, who, monitoring. | Done 2026-10-15: merged to main (#221/#223 via #222), acceptance met, tests green.</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Done</t>
        </is>
      </c>
      <c r="J12" s="108" t="n">
        <v>3</v>
      </c>
      <c r="K12" s="109" t="n">
        <v>46309</v>
      </c>
      <c r="L12" s="109" t="n">
        <v>46310</v>
      </c>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 Acceptance checked and moved to Done 2026-10-15 (rcfworks): criterion met, tests green, live in staging and production.</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Done</t>
        </is>
      </c>
      <c r="J13" s="108" t="n">
        <v>3</v>
      </c>
      <c r="K13" s="109" t="n">
        <v>46308</v>
      </c>
      <c r="L13" s="109" t="n">
        <v>46310</v>
      </c>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 Acceptance checked and moved to Done 2026-10-15 (rcfworks): criterion met, tests green, live in staging and production.</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Done</t>
        </is>
      </c>
      <c r="J14" s="108" t="n">
        <v>5</v>
      </c>
      <c r="K14" s="109" t="n">
        <v>46309</v>
      </c>
      <c r="L14" s="109" t="n">
        <v>46310</v>
      </c>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 Acceptance checked and moved to Done 2026-10-15 (rcfworks): criterion met, tests green, live in staging and production.</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Done</t>
        </is>
      </c>
      <c r="J15" s="108" t="n">
        <v>5</v>
      </c>
      <c r="K15" s="109" t="n">
        <v>46309</v>
      </c>
      <c r="L15" s="109" t="n">
        <v>46310</v>
      </c>
      <c r="M15" s="110" t="inlineStr">
        <is>
          <t>rcfworks</t>
        </is>
      </c>
      <c r="N15" s="85" t="n">
        <v>0</v>
      </c>
      <c r="O15" s="84" t="inlineStr">
        <is>
          <t>3S2-BE-01</t>
        </is>
      </c>
      <c r="P15" s="84" t="inlineStr">
        <is>
          <t>Every recommended price exposes model version, confidence and factor breakdown</t>
        </is>
      </c>
      <c r="Q15" s="86" t="inlineStr">
        <is>
          <t>Spec §17.1, §22</t>
        </is>
      </c>
      <c r="R15" s="111" t="inlineStr">
        <is>
          <t>Acceptance checked and moved to Done 2026-10-15 (rcfworks): criterion met, tests green, live in staging and production.</t>
        </is>
      </c>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Done</t>
        </is>
      </c>
      <c r="J16" s="108" t="n">
        <v>3</v>
      </c>
      <c r="K16" s="109" t="n">
        <v>46309</v>
      </c>
      <c r="L16" s="109" t="n">
        <v>46310</v>
      </c>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inlineStr">
        <is>
          <t>Acceptance checked and moved to Done 2026-10-15 (rcfworks): criterion met, tests green, live in staging and production. QA 2026-10-15 (HeckerCreatives): an override above $10,000 CPM was accepted on the wire — now 400 (OVERRIDE_MAX_CENTS, contract + test); an unknown ?view on the desk is now 400 like an unknown kind/risk (PricingDeskQuery, documented in the spec).</t>
        </is>
      </c>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(3S2-BE-01/02/03); walked live 2026-10-15 as BTG admin + Sales, desktop + phone: 16 priced items, factor breakdown, an override saved as its own record (recommendation unchanged), Sales locked out of the override. Contract as proposed; v1 prices athlete items only.</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Done</t>
        </is>
      </c>
      <c r="J18" s="108" t="n">
        <v>3</v>
      </c>
      <c r="K18" s="109" t="n">
        <v>46309</v>
      </c>
      <c r="L18" s="109" t="n">
        <v>46310</v>
      </c>
      <c r="M18" s="110" t="inlineStr">
        <is>
          <t>rcfworks</t>
        </is>
      </c>
      <c r="N18" s="81" t="n">
        <v>0</v>
      </c>
      <c r="O18" s="80" t="inlineStr">
        <is>
          <t>3S2-BE-01</t>
        </is>
      </c>
      <c r="P18" s="80" t="inlineStr">
        <is>
          <t>A sponsor brief captures all matching inputs including exclusions</t>
        </is>
      </c>
      <c r="Q18" s="82" t="inlineStr">
        <is>
          <t>Spec §19</t>
        </is>
      </c>
      <c r="R18" s="111" t="inlineStr">
        <is>
          <t>Acceptance checked and moved to Done 2026-10-15 (rcfworks): criterion met, tests green, live in staging and production. QA 2026-10-15 (HeckerCreatives): BTG never saw the four new brief fields — now shown as 'Sponsor asks' on the brief desk, the Matching Studio header and above the explorer's ranking (briefAsksLine). Round two: NETWORK_MGR could not use either matching desk (no campaignBrief read while §29 has them saving shortlists) — read granted own-tenant, matrix row corrected, authz digest updated; repeated channels/tiers/exclusions in a brief body now stored as a set.</t>
        </is>
      </c>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Done</t>
        </is>
      </c>
      <c r="J19" s="108" t="n">
        <v>5</v>
      </c>
      <c r="K19" s="109" t="n">
        <v>46309</v>
      </c>
      <c r="L19" s="109" t="n">
        <v>46310</v>
      </c>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inlineStr">
        <is>
          <t>Acceptance checked and moved to Done 2026-10-15 (rcfworks): criterion met, tests green, live in staging and production.</t>
        </is>
      </c>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Done</t>
        </is>
      </c>
      <c r="J20" s="108" t="n">
        <v>3</v>
      </c>
      <c r="K20" s="109" t="n">
        <v>46309</v>
      </c>
      <c r="L20" s="109" t="n">
        <v>46310</v>
      </c>
      <c r="M20" s="110" t="inlineStr">
        <is>
          <t>rcfworks</t>
        </is>
      </c>
      <c r="N20" s="81" t="n">
        <v>0</v>
      </c>
      <c r="O20" s="80" t="inlineStr">
        <is>
          <t>3S3-BE-02</t>
        </is>
      </c>
      <c r="P20" s="80" t="inlineStr">
        <is>
          <t>Match explorer never returns unavailable or category-conflicted inventory</t>
        </is>
      </c>
      <c r="Q20" s="82" t="inlineStr">
        <is>
          <t>Spec §22</t>
        </is>
      </c>
      <c r="R20" s="111" t="inlineStr">
        <is>
          <t>Acceptance checked and moved to Done 2026-10-15 (rcfworks): criterion met, tests green, live in staging and production.</t>
        </is>
      </c>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(3S3-BE-01/02/03); walked live 2026-10-15: ranked athletes/properties/inventory for a real brief, factor drawer, shortlist saved. Change: Sales reads but cannot save (API 403) so the screen offers picks/Save only to BTG admins, campaign and network managers (canSaveShortlist). Sponsor brief drawer now sends excludedCategories, channels, audienceTiers, audienceMinFollowers.</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Done</t>
        </is>
      </c>
      <c r="J22" s="108" t="n">
        <v>3</v>
      </c>
      <c r="K22" s="109" t="n">
        <v>46309</v>
      </c>
      <c r="L22" s="109" t="n">
        <v>46310</v>
      </c>
      <c r="M22" s="110" t="inlineStr">
        <is>
          <t>rcfworks</t>
        </is>
      </c>
      <c r="N22" s="81" t="n">
        <v>0</v>
      </c>
      <c r="O22" s="80" t="inlineStr">
        <is>
          <t>3S1-DATA-02</t>
        </is>
      </c>
      <c r="P22" s="80" t="inlineStr">
        <is>
          <t>Pacing computes nightly for every active campaign</t>
        </is>
      </c>
      <c r="Q22" s="82" t="inlineStr">
        <is>
          <t>Spec §17.3</t>
        </is>
      </c>
      <c r="R22" s="111" t="inlineStr">
        <is>
          <t>Acceptance checked and moved to Done 2026-10-15 (rcfworks): criterion met, tests green, live in staging and production.</t>
        </is>
      </c>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Done</t>
        </is>
      </c>
      <c r="J23" s="108" t="n">
        <v>5</v>
      </c>
      <c r="K23" s="109" t="n">
        <v>46309</v>
      </c>
      <c r="L23" s="109" t="n">
        <v>46310</v>
      </c>
      <c r="M23" s="110" t="inlineStr">
        <is>
          <t>rcfworks</t>
        </is>
      </c>
      <c r="N23" s="85" t="n">
        <v>0</v>
      </c>
      <c r="O23" s="84" t="inlineStr">
        <is>
          <t>3S4-DATA-01</t>
        </is>
      </c>
      <c r="P23" s="84" t="inlineStr">
        <is>
          <t>Forecast refreshes automatically and persists historical forecasts</t>
        </is>
      </c>
      <c r="Q23" s="86" t="inlineStr">
        <is>
          <t>Spec §17.3, §22</t>
        </is>
      </c>
      <c r="R23" s="111" t="inlineStr">
        <is>
          <t>Acceptance checked and moved to Done 2026-10-15 (rcfworks): criterion met, tests green, live in staging and production. QA 2026-10-15 (HeckerCreatives): a guarantee could be set on a campaign past its end date (still ACTIVE, never forecast) — now 422 'ended on …' (setGuarantee, test fo_Z).</t>
        </is>
      </c>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Done</t>
        </is>
      </c>
      <c r="J24" s="108" t="n">
        <v>3</v>
      </c>
      <c r="K24" s="109" t="n">
        <v>46309</v>
      </c>
      <c r="L24" s="109" t="n">
        <v>46310</v>
      </c>
      <c r="M24" s="110" t="inlineStr">
        <is>
          <t>rcfworks</t>
        </is>
      </c>
      <c r="N24" s="81" t="n">
        <v>0</v>
      </c>
      <c r="O24" s="80" t="inlineStr">
        <is>
          <t>3S4-BE-01</t>
        </is>
      </c>
      <c r="P24" s="80" t="inlineStr">
        <is>
          <t>At-risk campaigns generate actionable alerts before campaign end, not after</t>
        </is>
      </c>
      <c r="Q24" s="82" t="inlineStr">
        <is>
          <t>Spec §17.3, §22</t>
        </is>
      </c>
      <c r="R24" s="111" t="inlineStr">
        <is>
          <t>Acceptance checked and moved to Done 2026-10-15 (rcfworks): criterion met, tests green, live in staging and production.</t>
        </is>
      </c>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(3S4-DATA-01, 3S4-BE-01/02); walked live 2026-10-15: 2 active campaigns forecast, at-risk alert, pacing chart. Added the engine's one write the proposal lacked: the guarantee control on the detail page (PUT …/guarantee, BTG admins + campaign managers; Sales locked; applies from tonight's forecast).
QA round three 2026-10-19: the detail now renders the API's makeGoods as a Make-goods card (status, substitute, decider, run window) instead of only linking to the centre.</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Done</t>
        </is>
      </c>
      <c r="J26" s="108" t="n">
        <v>5</v>
      </c>
      <c r="K26" s="109" t="n">
        <v>46310</v>
      </c>
      <c r="L26" s="109" t="n">
        <v>46310</v>
      </c>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 Acceptance checked and moved to Done 2026-10-15 (rcfworks): criterion met, tests green, live in staging and production.</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Done</t>
        </is>
      </c>
      <c r="J27" s="108" t="n">
        <v>3</v>
      </c>
      <c r="K27" s="109" t="n">
        <v>46310</v>
      </c>
      <c r="L27" s="109" t="n">
        <v>46310</v>
      </c>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 Note: the verified-estimate and 80%-of-flight conditions were proposed in the build and approved by the user 2026-10-15; they bind only the automatic approval (a person can approve any passing substitute at any time). Acceptance checked and moved to Done 2026-10-15 (rcfworks): criterion met, tests green, live in staging and production.</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3S5-BE-01/02's shape (status, automatic.heldBecause, decision.automatic/runsFrom/runsUntil, the API's note rule) and walked live.
QA round two 2026-10-19: held shortfall walked through the drawer (3 reasons, 3 substitutes, a person's approval, 409 after). Fixed: the shared count-up tile (ops-fx OpsCount) kept the previous number when a figure fell to 0 after a server-action refresh.</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Done</t>
        </is>
      </c>
      <c r="J29" s="108" t="n">
        <v>5</v>
      </c>
      <c r="K29" s="109" t="n">
        <v>46310</v>
      </c>
      <c r="L29" s="109" t="n">
        <v>46310</v>
      </c>
      <c r="M29" s="110" t="inlineStr">
        <is>
          <t>rcfworks</t>
        </is>
      </c>
      <c r="N29" s="85" t="n">
        <v>0</v>
      </c>
      <c r="O29" s="84" t="inlineStr">
        <is>
          <t>3S0-PMO-01</t>
        </is>
      </c>
      <c r="P29" s="84" t="inlineStr">
        <is>
          <t>A new attribution partner can be added as an adapter without changing the engine</t>
        </is>
      </c>
      <c r="Q29" s="86" t="inlineStr">
        <is>
          <t>Spec §17.4</t>
        </is>
      </c>
      <c r="R29" s="111" t="inlineStr">
        <is>
          <t>Built 2026-10-15 (rcfworks): adapter interface + registry (deterministic first, lookback, exact keys), generic-webhook-v1, partners with a once-shown token, public Bearer-token intake, every delivery kept with events and problems; a second adapter registered in the test with no engine change. Permission attribution (RBAC §36). documentation/SponsorX-Attribution-Framework.md. | Done 2026-10-15: merged (#234); a second adapter added in the test with no engine change.</t>
        </is>
      </c>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Done</t>
        </is>
      </c>
      <c r="J30" s="108" t="n">
        <v>5</v>
      </c>
      <c r="K30" s="109" t="n">
        <v>46311</v>
      </c>
      <c r="L30" s="109" t="n">
        <v>46311</v>
      </c>
      <c r="M30" s="110" t="inlineStr">
        <is>
          <t>rcfworks</t>
        </is>
      </c>
      <c r="N30" s="81" t="n">
        <v>0</v>
      </c>
      <c r="O30" s="80" t="inlineStr">
        <is>
          <t>3S6-BE-01</t>
        </is>
      </c>
      <c r="P30" s="80" t="inlineStr">
        <is>
          <t>Attribution events identify source, method and confidence; modelled revenue is never labelled verified</t>
        </is>
      </c>
      <c r="Q30" s="82" t="inlineStr">
        <is>
          <t>Spec §19, §22</t>
        </is>
      </c>
      <c r="R30" s="111" t="inlineStr">
        <is>
          <t>Built 2026-10-16 (rcfworks): PartnerSaleAttribution: source, method, key, window, confidence, model version; DB refuses a modelled sale labelled verified. SponsorX-Attribution-Matching.md §1.</t>
        </is>
      </c>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Done</t>
        </is>
      </c>
      <c r="J31" s="108" t="n">
        <v>5</v>
      </c>
      <c r="K31" s="109" t="n">
        <v>46311</v>
      </c>
      <c r="L31" s="109" t="n">
        <v>46311</v>
      </c>
      <c r="M31" s="110" t="inlineStr">
        <is>
          <t>rcfworks</t>
        </is>
      </c>
      <c r="N31" s="85" t="n">
        <v>0</v>
      </c>
      <c r="O31" s="84" t="inlineStr">
        <is>
          <t>3S6-BE-02</t>
        </is>
      </c>
      <c r="P31" s="84" t="inlineStr">
        <is>
          <t>Deterministic matches are attempted first; probabilistic matches carry an explicit method and confidence</t>
        </is>
      </c>
      <c r="Q31" s="86" t="inlineStr">
        <is>
          <t>Spec §17.4</t>
        </is>
      </c>
      <c r="R31" s="111" t="inlineStr">
        <is>
          <t>Built 2026-10-16 (rcfworks): Exact first (token, click id, order id) inside the window; modelled fallback attr-geo-time@0.1.0 only when no key matched and the adapter declares it. Sponsor hub reads it. SponsorX-Attribution-Matching.md §2.</t>
        </is>
      </c>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Done</t>
        </is>
      </c>
      <c r="J32" s="108" t="n">
        <v>3</v>
      </c>
      <c r="K32" s="109" t="n">
        <v>46311</v>
      </c>
      <c r="L32" s="109" t="n">
        <v>46311</v>
      </c>
      <c r="M32" s="110" t="inlineStr">
        <is>
          <t>rcfworks</t>
        </is>
      </c>
      <c r="N32" s="81" t="n">
        <v>0</v>
      </c>
      <c r="O32" s="80" t="inlineStr">
        <is>
          <t>3S6-BE-03</t>
        </is>
      </c>
      <c r="P32" s="80" t="inlineStr">
        <is>
          <t>Unmatched and ambiguous events remain in a reviewable queue</t>
        </is>
      </c>
      <c r="Q32" s="82" t="inlineStr">
        <is>
          <t>Spec §17.4</t>
        </is>
      </c>
      <c r="R32" s="111" t="inlineStr">
        <is>
          <t>Built 2026-10-16 (rcfworks): Queue with reasons (no_match, ambiguous, outside_window, unknown_token); nightly retry; BTG dismiss with reason, audited, stays visible. GET /intelligence/attribution. SponsorX-Attribution-Matching.md §3.
QA 2026-10-19 (HeckerCreatives, with the screen): dismissed.by resolved through peopleWords; dismissing a dismissed/matched sale is 409 attribution_decided, unknown id stays 404; test updated.
QA round three 2026-10-19 (HeckerCreatives): a dismissal that loses the race answers 409 attribution_decided, not 404.</t>
        </is>
      </c>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3S6-BE-02/03/04 (refund rows, keysGiven, dismissed entries, unknown-campaign 404) and walked live; Dismiss write added for BTG admins.
QA 2026-10-19: dismissed.by is words (email (Role) / a former user), second dismiss is 409 attribution_decided; switched-off reads say 'Switched off'.</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(null EMV, zero cost-per-result, renewals.ended, AD_SLOT, empty segments) and walked live as the sponsor.</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(listed-price opportunity, items not units, roster-only rates, 'Not a fit' reasons) and walked live as the property.</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Done</t>
        </is>
      </c>
      <c r="J36" s="108" t="n">
        <v>5</v>
      </c>
      <c r="K36" s="109" t="n">
        <v>46310</v>
      </c>
      <c r="L36" s="109" t="n">
        <v>46310</v>
      </c>
      <c r="M36" s="110" t="inlineStr">
        <is>
          <t>rcfworks</t>
        </is>
      </c>
      <c r="N36" s="81" t="n">
        <v>0</v>
      </c>
      <c r="O36" s="80" t="inlineStr">
        <is>
          <t>3S4-BE-01</t>
        </is>
      </c>
      <c r="P36" s="80" t="inlineStr">
        <is>
          <t>A scenario can be created, calculated and compared against another</t>
        </is>
      </c>
      <c r="Q36" s="82" t="inlineStr">
        <is>
          <t>Spec §18</t>
        </is>
      </c>
      <c r="R36" s="111" t="inlineStr">
        <is>
          <t>Built 2026-10-15 (rcfworks): GET /intelligence/scenarios, POST …/calculate (stores nothing), POST /intelligence/scenarios (saved with stamp, to compare). Posts bought at the booked/catalogue price × the audience's verified views per post (p25/median/p75); chance of delivering what the CPM sells; expected revenue = budget reduced when delivery falls short (user, 2026-10-15). Permission scenario (RBAC §33). documentation/SponsorX-Scenarios.md; tests/scenarios.test.ts. | Done 2026-10-15: merged to main (#221/#223 via #222), acceptance met, tests green.
QA 2026-10-19 (HeckerCreatives): ScenarioInputs floor 0 not 1 for budgetCents/cpmCents so a zero reaches inputProblems' 422 sentence; ceilings unchanged.</t>
        </is>
      </c>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3S7-BE-01 (savedBy, age-band labels, 422 words verbatim, integer bounds, name 120) and walked live incl. the scenarios flag off -&gt; pending.
QA 2026-10-19: switched-off state renders 'Switched off' (not 'not built yet'); budget 0 now answered in the engine's words.</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Done</t>
        </is>
      </c>
      <c r="J38" s="108" t="n">
        <v>3</v>
      </c>
      <c r="K38" s="109" t="n">
        <v>46310</v>
      </c>
      <c r="L38" s="163" t="n">
        <v>46314</v>
      </c>
      <c r="M38" s="110" t="inlineStr">
        <is>
          <t>rcfworks</t>
        </is>
      </c>
      <c r="N38" s="81" t="n">
        <v>0</v>
      </c>
      <c r="O38" s="80" t="inlineStr">
        <is>
          <t>3S7-FE-01</t>
        </is>
      </c>
      <c r="P38" s="80" t="inlineStr">
        <is>
          <t>Zoho shows renewal score and recommended next action on the sponsor record</t>
        </is>
      </c>
      <c r="Q38" s="82" t="inlineStr">
        <is>
          <t>Spec §20</t>
        </is>
      </c>
      <c r="R38" s="111" t="inlineStr">
        <is>
          <t>2026-10-19 DONE (rcfworks): shown in the Zoho sandbox — a simulated campaign ending soon on staging (UAT 2610090617 Harborview Bakery) made the worker push SponsorX_Renewal_Score 86 and SponsorX_Next_Action 'Renew: … 86%' onto its Account; the other 22 Accounts carry their next action. Production fields follow P2-OPS-04's Zoho keys. | Built 2026-10-15 (rcfworks): SponsorX_Renewal_Score (0–100) and SponsorX_Next_Action on each sponsor's Zoho Account, from the hub's renewal advice; queued nightly (zoho.pushIntelligence) only for sponsors in Zoho whose values changed. Fields via npm run zoho:intel-fields -- --create: sandbox first, production with the owner's OK — still to run after deploy. Field mapping §12.3; tests/zoho-intelligence.test.ts. | Stays Code review 2026-10-15: 'Zoho shows renewal score and next action on the sponsor record' needs the two Account fields created (sandbox, then production with the owner's OK) and a push to land. | 2026-10-15: sandbox fields created and confirmed; production waits for go-live's Zoho keys (P2-OPS-04 note). Done when tonight's staging run lands the score and next action on a sandbox sponsor's Account.</t>
        </is>
      </c>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Done</t>
        </is>
      </c>
      <c r="J39" s="108" t="n">
        <v>5</v>
      </c>
      <c r="K39" s="109" t="n">
        <v>46310</v>
      </c>
      <c r="L39" s="109" t="n">
        <v>46310</v>
      </c>
      <c r="M39" s="110" t="inlineStr">
        <is>
          <t>rcfworks</t>
        </is>
      </c>
      <c r="N39" s="85" t="n">
        <v>0</v>
      </c>
      <c r="O39" s="84" t="inlineStr">
        <is>
          <t>3S1-DATA-02</t>
        </is>
      </c>
      <c r="P39" s="84" t="inlineStr">
        <is>
          <t>Anomaly console identifies seeded duplicate, bot and redemption test patterns</t>
        </is>
      </c>
      <c r="Q39" s="86" t="inlineStr">
        <is>
          <t>Spec §15, §22</t>
        </is>
      </c>
      <c r="R39" s="111" t="inlineStr">
        <is>
          <t>Built 2026-10-15 (rcfworks): seven nightly rules over 30 days (spike, duplicate post, bot clicks, redemption burst, repeat fan, manual 3× API, engagements &gt; views); flags kept once with rule/version/evidence; duplicate post excluded from reporting automatically (automation first), the rest held for a person; dispositions with a note, audited. Permission anomaly (RBAC §34). documentation/SponsorX-Anomalies.md; tests/anomalies.test.ts. | Done 2026-10-15: merged to main (#221/#223 via #222), acceptance met, tests green.</t>
        </is>
      </c>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3S8-DATA-01 (rule stamp, epoch asOf, disposition.automatic, real rule ids) and walked live with a person's final decision.</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Done</t>
        </is>
      </c>
      <c r="J41" s="108" t="n">
        <v>5</v>
      </c>
      <c r="K41" s="109" t="n">
        <v>46310</v>
      </c>
      <c r="L41" s="109" t="n">
        <v>46310</v>
      </c>
      <c r="M41" s="110" t="inlineStr">
        <is>
          <t>rcfworks</t>
        </is>
      </c>
      <c r="N41" s="85" t="n">
        <v>0</v>
      </c>
      <c r="O41" s="84" t="inlineStr">
        <is>
          <t>3S0-PMO-02</t>
        </is>
      </c>
      <c r="P41" s="84" t="inlineStr">
        <is>
          <t>A model version can be activated, rolled back and compared without deploying code</t>
        </is>
      </c>
      <c r="Q41" s="86" t="inlineStr">
        <is>
          <t>Spec §22</t>
        </is>
      </c>
      <c r="R41" s="111" t="inlineStr">
        <is>
          <t>Built 2026-10-15 (rcfworks): five engines' settings versioned per tenant with safe ranges; a change inside them goes live automatically, outside is held for a second person; activate / roll back / compare without a deploy; engines read the active settings each run and stamp outputs with the version. Permission modelRegistry (RBAC §35). tests/model-registry.test.ts. | Done 2026-10-15: merged to main (#221/#223 via #222), acceptance met, tests green.
QA 2026-10-19 (HeckerCreatives): GET /intelligence/models thresholds carry `integer` so the screen can refuse a fraction before the API does.
QA round three 2026-10-19 (HeckerCreatives): changeSettings idempotent under a double submit — live values are 422 'Nothing changed', a draft's values return that draft; test added.</t>
        </is>
      </c>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3S8-BE-01/OPS-01 + 3S9-QA-01/02 (settings, backtests, benchmarkValidation, held drafts, Validate button, 10 flags, reasons 10-500) and walked live.
QA 2026-10-19: editor refuses a fraction for whole-number settings with the API's sentence; benchmark verdicts joined on the API's label; held-draft -&gt; second-person validate -&gt; activate -&gt; rollback walked end to end.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Done</t>
        </is>
      </c>
      <c r="J43" s="108" t="n">
        <v>3</v>
      </c>
      <c r="K43" s="109" t="n">
        <v>46310</v>
      </c>
      <c r="L43" s="109" t="n">
        <v>46310</v>
      </c>
      <c r="M43" s="110" t="inlineStr">
        <is>
          <t>rcfworks</t>
        </is>
      </c>
      <c r="N43" s="85" t="n">
        <v>0</v>
      </c>
      <c r="O43" s="84" t="inlineStr">
        <is>
          <t>3S8-BE-01</t>
        </is>
      </c>
      <c r="P43" s="84" t="inlineStr">
        <is>
          <t>All intelligence features can be disabled per tenant through feature flags</t>
        </is>
      </c>
      <c r="Q43" s="86" t="inlineStr">
        <is>
          <t>Spec §22</t>
        </is>
      </c>
      <c r="R43" s="111" t="inlineStr">
        <is>
          <t>Built 2026-10-15 (rcfworks): nine intelligence features switchable per tenant (pricing, matching, forecast, makegood, anomalies, scenarios, sponsorHub, propertyHub, zohoIntelligence); off = nightly run skips the tenant and reads/writes answer 403 feature_off; PATCH /intelligence/flags with a reason, audited. | Done 2026-10-15: merged to main (#221/#223 via #222), acceptance met, tests green.</t>
        </is>
      </c>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Done</t>
        </is>
      </c>
      <c r="J44" s="108" t="n">
        <v>5</v>
      </c>
      <c r="K44" s="109" t="n">
        <v>46310</v>
      </c>
      <c r="L44" s="109" t="n">
        <v>46310</v>
      </c>
      <c r="M44" s="110" t="inlineStr">
        <is>
          <t>rcfworks</t>
        </is>
      </c>
      <c r="N44" s="81" t="n">
        <v>0</v>
      </c>
      <c r="O44" s="80" t="inlineStr">
        <is>
          <t>3S8-BE-01</t>
        </is>
      </c>
      <c r="P44" s="80" t="inlineStr">
        <is>
          <t>Backtest results documented with accuracy and confidence calibration per model</t>
        </is>
      </c>
      <c r="Q44" s="82" t="inlineStr">
        <is>
          <t>Spec §21</t>
        </is>
      </c>
      <c r="R44" s="111" t="inlineStr">
        <is>
          <t>Built 2026-10-15 (rcfworks): forecast and pricing backtests per version, nightly, kept as BacktestRun, on the models screen. No real history yet; simulated forecast history (300 campaigns): good projection (4.7% error at 3/4), probability overconfident early (95%→74% at 1/4). Recommendations in documentation/SponsorX-Backtest.md for the owner. | Done 2026-10-15: merged (#230), acceptance met. | Follow-up 2026-10-15 (owner-approved): forecast-rules@2.0.0, paceUncertainty 0.6 — early overconfidence gone, Brier 0.108→0.096.</t>
        </is>
      </c>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Done</t>
        </is>
      </c>
      <c r="J45" s="108" t="n">
        <v>3</v>
      </c>
      <c r="K45" s="109" t="n">
        <v>46310</v>
      </c>
      <c r="L45" s="109" t="n">
        <v>46310</v>
      </c>
      <c r="M45" s="110" t="inlineStr">
        <is>
          <t>rcfworks</t>
        </is>
      </c>
      <c r="N45" s="85" t="n">
        <v>0</v>
      </c>
      <c r="O45" s="84" t="inlineStr">
        <is>
          <t>3S1-DATA-03</t>
        </is>
      </c>
      <c r="P45" s="84" t="inlineStr">
        <is>
          <t>Benchmarks validated for sample size; reconciliation within tolerance</t>
        </is>
      </c>
      <c r="Q45" s="86" t="inlineStr">
        <is>
          <t>Spec §22</t>
        </is>
      </c>
      <c r="R45" s="111" t="inlineStr">
        <is>
          <t>Built 2026-10-15 (rcfworks): benchmarks validated (ordered, fresh ≤2 days, ≥10 orders, spread ≤4×) with reasons; reconciliation = nightly fact check, exact tolerance, ≤2 days old. Models screen + nightly log + npm run benchmarks:validate. | Done 2026-10-15: merged (#230), acceptance met.
QA 2026-10-19 (HeckerCreatives): each benchmarkValidation check carries `label` (the row's segment label) so screens join by data, not rebuilt prose.</t>
        </is>
      </c>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Done</t>
        </is>
      </c>
      <c r="J46" s="108" t="n">
        <v>5</v>
      </c>
      <c r="K46" s="109" t="n">
        <v>46311</v>
      </c>
      <c r="L46" s="109" t="n">
        <v>46311</v>
      </c>
      <c r="M46" s="110" t="inlineStr">
        <is>
          <t>rcfworks</t>
        </is>
      </c>
      <c r="N46" s="81" t="n">
        <v>0</v>
      </c>
      <c r="O46" s="80" t="inlineStr">
        <is>
          <t>3S9-QA-01</t>
        </is>
      </c>
      <c r="P46" s="80" t="inlineStr">
        <is>
          <t>All 12 Phase 3 acceptance criteria demonstrated and signed off</t>
        </is>
      </c>
      <c r="Q46" s="82" t="inlineStr">
        <is>
          <t>Spec §22</t>
        </is>
      </c>
      <c r="R46" s="111" t="inlineStr">
        <is>
          <t>Written 2026-10-16 (rcfworks): SponsorX-Phase3-UAT.md, all 12 criteria with their proof (196/196 tests on release 11d0a316), criterion 12 test for all ten flags, staged rollout plan. Signed off by the user 2026-10-16.</t>
        </is>
      </c>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Done</t>
        </is>
      </c>
      <c r="J47" s="108" t="n">
        <v>3</v>
      </c>
      <c r="K47" s="109" t="n">
        <v>46310</v>
      </c>
      <c r="L47" s="109" t="n">
        <v>46310</v>
      </c>
      <c r="M47" s="110" t="inlineStr">
        <is>
          <t>rcfworks</t>
        </is>
      </c>
      <c r="N47" s="85" t="n">
        <v>0</v>
      </c>
      <c r="O47" s="84" t="inlineStr">
        <is>
          <t>3S9-QA-01</t>
        </is>
      </c>
      <c r="P47" s="84" t="inlineStr">
        <is>
          <t>Monitoring and alerting live for every scheduled job and model service</t>
        </is>
      </c>
      <c r="Q47" s="86" t="inlineStr">
        <is>
          <t>Spec §20, §38</t>
        </is>
      </c>
      <c r="R47" s="111" t="inlineStr">
        <is>
          <t>Built 2026-10-15 (rcfworks): every nightly step recorded (PipelineRun); /health/full pipeline check fails on a failed step, 26 h without success, stale forecasts with active campaigns, or backtest drift; the existing uptime monitor alerts. documentation/SponsorX-Pipeline-Monitoring.md. | Done 2026-10-15: live on staging and production (release 1122a37); /health/full shows pipeline ok, configured.</t>
        </is>
      </c>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Done</t>
        </is>
      </c>
      <c r="J55" s="108" t="n">
        <v>2</v>
      </c>
      <c r="K55" s="109" t="n">
        <v>46308</v>
      </c>
      <c r="L55" s="109" t="n">
        <v>46310</v>
      </c>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 Acceptance checked and moved to Done 2026-10-15 (rcfworks): criterion met, tests green, live in staging and production.</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Done</t>
        </is>
      </c>
      <c r="J56" s="108" t="n">
        <v>3</v>
      </c>
      <c r="K56" s="109" t="n">
        <v>46310</v>
      </c>
      <c r="L56" s="109" t="n">
        <v>46310</v>
      </c>
      <c r="M56" s="110" t="inlineStr">
        <is>
          <t>rcfworks</t>
        </is>
      </c>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 Built 2026-10-15 (rcfworks): GET /intelligence/sponsor (four attribution classes kept apart; transactions and modelled 0 until 3S6; media value = verified views × benchmark, an estimate; formats, partners, renewal advice at 80%/50%; no unsourced segments) and GET /intelligence/property (roster's suggested prices, opportunity, sell-through, category fit, quality). Permissions sponsorIntelligence / propertyIntelligence (RBAC §32), scoped by the caller. documentation/SponsorX-Hub-Intelligence.md; tests/hub-intelligence.test.ts. | Done 2026-10-15: merged to main (#221/#223 via #222), acceptance met, tests green.</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Done</t>
        </is>
      </c>
      <c r="J57" s="108" t="n">
        <v>2</v>
      </c>
      <c r="K57" s="109" t="n">
        <v>46308</v>
      </c>
      <c r="L57" s="109" t="n">
        <v>46310</v>
      </c>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 Acceptance checked and moved to Done 2026-10-15 (rcfworks): criterion met, tests green, live in staging and production.</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Done</t>
        </is>
      </c>
      <c r="J58" s="108" t="n">
        <v>1</v>
      </c>
      <c r="K58" s="109" t="n">
        <v>46308</v>
      </c>
      <c r="L58" s="109" t="n">
        <v>46310</v>
      </c>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 Acceptance checked and moved to Done 2026-10-15 (rcfworks): criterion met, tests green, live in staging and production.</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Done</t>
        </is>
      </c>
      <c r="J59" s="108" t="n">
        <v>0.5</v>
      </c>
      <c r="K59" s="109" t="n">
        <v>46308</v>
      </c>
      <c r="L59" s="109" t="n">
        <v>46310</v>
      </c>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 Acceptance checked and moved to Done 2026-10-15 (rcfworks): criterion met, tests green, live in staging and production.</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Done</t>
        </is>
      </c>
      <c r="J60" s="108" t="n">
        <v>1</v>
      </c>
      <c r="K60" s="109" t="n">
        <v>46311</v>
      </c>
      <c r="L60" s="109" t="n">
        <v>46311</v>
      </c>
      <c r="M60" s="110" t="inlineStr">
        <is>
          <t>rcfworks</t>
        </is>
      </c>
      <c r="N60" s="85" t="n">
        <v>0</v>
      </c>
      <c r="O60" s="84" t="inlineStr">
        <is>
          <t>3S1-OPS-04</t>
        </is>
      </c>
      <c r="P60" s="84" t="inlineStr">
        <is>
          <t>No warehouse service, setting or code remains; analysis reads the summaries; the design docs say so</t>
        </is>
      </c>
      <c r="Q60" s="86" t="inlineStr">
        <is>
          <t>Spec §19, §21, §22</t>
        </is>
      </c>
      <c r="R60" s="111" t="inlineStr">
        <is>
          <t>Done 2026-10-16 (rcfworks, on the user's instruction): hourly copy, backend/worker/warehouse/, its tests and the warehouse:reader script removed. The databases Postgres-warehouse and Postgres-warehouse-production stay on Railway, unused, by the user's decision; noted in stack-decision.md D4.</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Done</t>
        </is>
      </c>
      <c r="J61" s="108" t="n">
        <v>1</v>
      </c>
      <c r="K61" s="109" t="n">
        <v>46309</v>
      </c>
      <c r="L61" s="109" t="n">
        <v>46310</v>
      </c>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inlineStr">
        <is>
          <t>Acceptance checked and moved to Done 2026-10-15 (rcfworks): criterion met, tests green, live in staging and production.</t>
        </is>
      </c>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Done</t>
        </is>
      </c>
      <c r="J62" s="108" t="n">
        <v>0.5</v>
      </c>
      <c r="K62" s="109" t="n">
        <v>46308</v>
      </c>
      <c r="L62" s="109" t="n">
        <v>46310</v>
      </c>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 Acceptance checked and moved to Done 2026-10-15 (rcfworks): criterion met, tests green, live in staging and production.</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Done</t>
        </is>
      </c>
      <c r="J63" s="108" t="n">
        <v>0.5</v>
      </c>
      <c r="K63" s="109" t="n">
        <v>46308</v>
      </c>
      <c r="L63" s="109" t="n">
        <v>46310</v>
      </c>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 Acceptance checked and moved to Done 2026-10-15 (rcfworks): criterion met, tests green, live in staging and production.</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Done</t>
        </is>
      </c>
      <c r="J64" s="108" t="n">
        <v>0.5</v>
      </c>
      <c r="K64" s="109" t="n">
        <v>46308</v>
      </c>
      <c r="L64" s="109" t="n">
        <v>46310</v>
      </c>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 Acceptance checked and moved to Done 2026-10-15 (rcfworks): criterion met, tests green, live in staging and production.</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Done</t>
        </is>
      </c>
      <c r="J65" s="108" t="n">
        <v>0.5</v>
      </c>
      <c r="K65" s="109" t="n">
        <v>46308</v>
      </c>
      <c r="L65" s="109" t="n">
        <v>46310</v>
      </c>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 Acceptance checked and moved to Done 2026-10-15 (rcfworks): criterion met, tests green, live in staging and production.</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2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19 tasks, all Done and signed off as built (4S9-PMO-03) · SponsorX's side of virtual sponsorship as built: the world and placement registry, bookings, creative and the manifest, pause and rollback, machine login, client endpoints and settings, the telemetry intake, the cross-channel campaign model. Every open task moved to Phase 5 on 2026-10-20 (the game is parked).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Define the world contract: runtime, environments and identity</t>
        </is>
      </c>
      <c r="H5" s="107" t="inlineStr">
        <is>
          <t>The rules any world must follow to work with SponsorX, written before the game exists so the game is built to them: engine-neutral (recorded per world), staging and production environments, stable world/zone/placement IDs never reused, sessions and players only as anonymous references.</t>
        </is>
      </c>
      <c r="I5" s="108" t="inlineStr">
        <is>
          <t>Done</t>
        </is>
      </c>
      <c r="J5" s="108" t="n">
        <v>3</v>
      </c>
      <c r="K5" s="109" t="n">
        <v>46311</v>
      </c>
      <c r="L5" s="109" t="n">
        <v>46311</v>
      </c>
      <c r="M5" s="110" t="inlineStr">
        <is>
          <t>rcfworks</t>
        </is>
      </c>
      <c r="N5" s="81" t="n">
        <v>0</v>
      </c>
      <c r="O5" s="80" t="inlineStr">
        <is>
          <t>Phase 3 complete</t>
        </is>
      </c>
      <c r="P5" s="80" t="inlineStr">
        <is>
          <t>Runtime-neutral contract, environment versioning and identity/session model written and approved</t>
        </is>
      </c>
      <c r="Q5" s="82" t="inlineStr">
        <is>
          <t>Spec §33</t>
        </is>
      </c>
      <c r="R5" s="111" t="inlineStr">
        <is>
          <t>Done 2026-10-16 (rcfworks): SponsorX-INFINEX-World-Contract.md — any engine, STAGING/PRODUCTION, stable IDs never reused, anonymous sessionRef/subjectRef, two callers. Approved by the user.</t>
        </is>
      </c>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Done</t>
        </is>
      </c>
      <c r="J6" s="108" t="n">
        <v>3</v>
      </c>
      <c r="K6" s="109" t="n">
        <v>46311</v>
      </c>
      <c r="L6" s="109" t="n">
        <v>46311</v>
      </c>
      <c r="M6" s="110" t="inlineStr">
        <is>
          <t>rcfworks</t>
        </is>
      </c>
      <c r="N6" s="85" t="n">
        <v>0</v>
      </c>
      <c r="O6" s="84" t="inlineStr">
        <is>
          <t>4S0-PMO-01</t>
        </is>
      </c>
      <c r="P6" s="84" t="inlineStr">
        <is>
          <t>Taxonomy documented and mapped to SponsorX entities</t>
        </is>
      </c>
      <c r="Q6" s="86" t="inlineStr">
        <is>
          <t>Spec §25, §27.1</t>
        </is>
      </c>
      <c r="R6" s="111" t="inlineStr">
        <is>
          <t>Done 2026-10-16 (rcfworks): SponsorX-Virtual-Taxonomy.md — five levels in three tables (VirtualWorld, VirtualZone, VirtualPlacement), seven placement kinds, mapped to Property VIRTUAL and InventoryItem VIRTUAL_PLACEMENT. Approved by the user.</t>
        </is>
      </c>
    </row>
    <row r="7" ht="23.85" customHeight="1" s="75">
      <c r="A7" s="104" t="n">
        <v>5</v>
      </c>
      <c r="B7" s="105" t="inlineStr">
        <is>
          <t>4S0-SEC-01</t>
        </is>
      </c>
      <c r="C7" s="81" t="n">
        <v>0</v>
      </c>
      <c r="D7" s="82" t="inlineStr">
        <is>
          <t>Sprint 0 · Contract &amp; taxonomy</t>
        </is>
      </c>
      <c r="E7" s="140" t="inlineStr">
        <is>
          <t>SEC</t>
        </is>
      </c>
      <c r="F7" s="120" t="inlineStr">
        <is>
          <t>Code</t>
        </is>
      </c>
      <c r="G7" s="80" t="inlineStr">
        <is>
          <t>Trusted client authentication design</t>
        </is>
      </c>
      <c r="H7" s="107" t="inlineStr">
        <is>
          <t>The INFINEX client sends telemetry that becomes sponsor billing data. Its authentication has to be strong enough that fabricated events are not possible.</t>
        </is>
      </c>
      <c r="I7" s="108" t="inlineStr">
        <is>
          <t>Done</t>
        </is>
      </c>
      <c r="J7" s="108" t="n">
        <v>3</v>
      </c>
      <c r="K7" s="163" t="n">
        <v>46314</v>
      </c>
      <c r="L7" s="163" t="n">
        <v>46314</v>
      </c>
      <c r="M7" s="110" t="inlineStr">
        <is>
          <t>rcfworks</t>
        </is>
      </c>
      <c r="N7" s="81" t="n">
        <v>0</v>
      </c>
      <c r="O7" s="80" t="inlineStr">
        <is>
          <t>4S0-PMO-01</t>
        </is>
      </c>
      <c r="P7" s="80" t="inlineStr">
        <is>
          <t>Client authentication and event signing design reviewed and approved</t>
        </is>
      </c>
      <c r="Q7" s="82" t="inlineStr">
        <is>
          <t>Spec §29, §31</t>
        </is>
      </c>
      <c r="R7" s="111" t="inlineStr">
        <is>
          <t>2026-10-19 DONE (rcfworks): merged in #259, acceptance met (tests green on CI). | 2026-10-19 (rcfworks): design approved by the user as the plan; API spec §6.2. Built: InfinexCredential (secret shown once, SHA-256 stored, own service user) → POST /infinex/token 15-min sxm_ token; POST /infinex/clients/{id}/sessions → game session token pinned to its world + signing key derived from INFINEX_SIGNING_SECRET (never stored); raw-body HMAC verifier (±300 s). Roles INFINEX_SERVICE/INFINEX_CLIENT (RBAC §38, digest b1f1e50851c850e3), scopes narrow only, all protected fields denied. Checked every call. Migration 20261019180000_infinex_machine_auth. tests/infinex-auth.test.ts (11).</t>
        </is>
      </c>
    </row>
    <row r="8" ht="32.8" customHeight="1" s="75">
      <c r="A8" s="112" t="n">
        <v>6</v>
      </c>
      <c r="B8" s="113" t="inlineStr">
        <is>
          <t>4S1-BE-01</t>
        </is>
      </c>
      <c r="C8" s="85" t="n">
        <v>1</v>
      </c>
      <c r="D8" s="86" t="inlineStr">
        <is>
          <t>Sprint 1 · World &amp; placement registry</t>
        </is>
      </c>
      <c r="E8" s="137" t="inlineStr">
        <is>
          <t>BE</t>
        </is>
      </c>
      <c r="F8" s="122" t="inlineStr">
        <is>
          <t>Code</t>
        </is>
      </c>
      <c r="G8" s="84" t="inlineStr">
        <is>
          <t>World and zone registry</t>
        </is>
      </c>
      <c r="H8" s="116" t="inlineStr">
        <is>
          <t>Register INFINEX worlds and their districts, venues and zones against stable external IDs.</t>
        </is>
      </c>
      <c r="I8" s="108" t="inlineStr">
        <is>
          <t>Done</t>
        </is>
      </c>
      <c r="J8" s="108" t="n">
        <v>3</v>
      </c>
      <c r="K8" s="109" t="n">
        <v>46311</v>
      </c>
      <c r="L8" s="109" t="n">
        <v>46311</v>
      </c>
      <c r="M8" s="110" t="inlineStr">
        <is>
          <t>rcfworks</t>
        </is>
      </c>
      <c r="N8" s="85" t="n">
        <v>0</v>
      </c>
      <c r="O8" s="84" t="inlineStr">
        <is>
          <t>4S0-PMO-02</t>
        </is>
      </c>
      <c r="P8" s="84" t="inlineStr">
        <is>
          <t>SponsorX can register a world and its zones against stable external IDs</t>
        </is>
      </c>
      <c r="Q8" s="86" t="inlineStr">
        <is>
          <t>Spec §28, §30</t>
        </is>
      </c>
      <c r="R8" s="111" t="inlineStr">
        <is>
          <t>Done 2026-10-16 (merged #243) (rcfworks): worlds per environment under the owner's external ID; zones upserted by external ID, all or nothing; IDs fixed by a DB trigger. SponsorX-Virtual-Registry.md §1.</t>
        </is>
      </c>
    </row>
    <row r="9" ht="32.8" customHeight="1" s="75">
      <c r="A9" s="104" t="n">
        <v>7</v>
      </c>
      <c r="B9" s="105" t="inlineStr">
        <is>
          <t>4S1-BE-02</t>
        </is>
      </c>
      <c r="C9" s="81" t="n">
        <v>1</v>
      </c>
      <c r="D9" s="82" t="inlineStr">
        <is>
          <t>Sprint 1 · World &amp; placement registry</t>
        </is>
      </c>
      <c r="E9" s="139" t="inlineStr">
        <is>
          <t>BE</t>
        </is>
      </c>
      <c r="F9" s="120" t="inlineStr">
        <is>
          <t>Code</t>
        </is>
      </c>
      <c r="G9" s="80" t="inlineStr">
        <is>
          <t>Virtual placement model</t>
        </is>
      </c>
      <c r="H9" s="107" t="inlineStr">
        <is>
          <t>Billboards, LED surfaces, naming rights, branded rooms, courts, tunnels, kiosks. Each with technical creative constraints, a viewability rule and capacity.</t>
        </is>
      </c>
      <c r="I9" s="108" t="inlineStr">
        <is>
          <t>Done</t>
        </is>
      </c>
      <c r="J9" s="108" t="n">
        <v>5</v>
      </c>
      <c r="K9" s="109" t="n">
        <v>46311</v>
      </c>
      <c r="L9" s="109" t="n">
        <v>46311</v>
      </c>
      <c r="M9" s="110" t="inlineStr">
        <is>
          <t>rcfworks</t>
        </is>
      </c>
      <c r="N9" s="81" t="n">
        <v>0</v>
      </c>
      <c r="O9" s="80" t="inlineStr">
        <is>
          <t>4S1-BE-01</t>
        </is>
      </c>
      <c r="P9" s="80" t="inlineStr">
        <is>
          <t>A placement can be registered with specs, viewability rule and availability</t>
        </is>
      </c>
      <c r="Q9" s="82" t="inlineStr">
        <is>
          <t>Spec §30</t>
        </is>
      </c>
      <c r="R9" s="111" t="inlineStr">
        <is>
          <t>Done 2026-10-16 (merged #243) (rcfworks): placements with kind, specs, creative types, limits, capacity, viewability rule, price, dates; draft until on sale; specs fixed on sale. §2.</t>
        </is>
      </c>
    </row>
    <row r="10" ht="23.85" customHeight="1" s="75">
      <c r="A10" s="112" t="n">
        <v>8</v>
      </c>
      <c r="B10" s="113" t="inlineStr">
        <is>
          <t>4S1-BE-03</t>
        </is>
      </c>
      <c r="C10" s="85" t="n">
        <v>1</v>
      </c>
      <c r="D10" s="86" t="inlineStr">
        <is>
          <t>Sprint 1 · World &amp; placement registry</t>
        </is>
      </c>
      <c r="E10" s="137" t="inlineStr">
        <is>
          <t>BE</t>
        </is>
      </c>
      <c r="F10" s="122" t="inlineStr">
        <is>
          <t>Code</t>
        </is>
      </c>
      <c r="G10" s="84" t="inlineStr">
        <is>
          <t>Map placements to sellable inventory</t>
        </is>
      </c>
      <c r="H10" s="116" t="inlineStr">
        <is>
          <t>The join that makes virtual surfaces purchasable through the same campaign system as everything else.</t>
        </is>
      </c>
      <c r="I10" s="108" t="inlineStr">
        <is>
          <t>Done</t>
        </is>
      </c>
      <c r="J10" s="108" t="n">
        <v>3</v>
      </c>
      <c r="K10" s="109" t="n">
        <v>46311</v>
      </c>
      <c r="L10" s="109" t="n">
        <v>46311</v>
      </c>
      <c r="M10" s="110" t="inlineStr">
        <is>
          <t>rcfworks</t>
        </is>
      </c>
      <c r="N10" s="85" t="n">
        <v>0</v>
      </c>
      <c r="O10" s="84" t="inlineStr">
        <is>
          <t>4S1-BE-02</t>
        </is>
      </c>
      <c r="P10" s="84" t="inlineStr">
        <is>
          <t>A virtual placement maps to a sellable SponsorX inventory record</t>
        </is>
      </c>
      <c r="Q10" s="86" t="inlineStr">
        <is>
          <t>Spec §27.1</t>
        </is>
      </c>
      <c r="R10" s="111" t="inlineStr">
        <is>
          <t>Done 2026-10-16 (merged #243) (rcfworks): on sale = one InventoryItem VIRTUAL_PLACEMENT owned by the world's property, kept in step; owner cannot edit or list it. §3.</t>
        </is>
      </c>
    </row>
    <row r="11" ht="32.8" customHeight="1" s="75">
      <c r="A11" s="104" t="n">
        <v>9</v>
      </c>
      <c r="B11" s="105" t="inlineStr">
        <is>
          <t>4S1-BE-04</t>
        </is>
      </c>
      <c r="C11" s="81" t="n">
        <v>1</v>
      </c>
      <c r="D11" s="82" t="inlineStr">
        <is>
          <t>Sprint 1 · World &amp; placement registry</t>
        </is>
      </c>
      <c r="E11" s="139" t="inlineStr">
        <is>
          <t>BE</t>
        </is>
      </c>
      <c r="F11" s="120" t="inlineStr">
        <is>
          <t>Code</t>
        </is>
      </c>
      <c r="G11" s="80" t="inlineStr">
        <is>
          <t>Placement availability windows</t>
        </is>
      </c>
      <c r="H11" s="107" t="inlineStr">
        <is>
          <t>Sellable time windows with capacity, so two sponsors cannot buy the same billboard for the same week.</t>
        </is>
      </c>
      <c r="I11" s="108" t="inlineStr">
        <is>
          <t>Done</t>
        </is>
      </c>
      <c r="J11" s="108" t="n">
        <v>3</v>
      </c>
      <c r="K11" s="109" t="n">
        <v>46311</v>
      </c>
      <c r="L11" s="109" t="n">
        <v>46311</v>
      </c>
      <c r="M11" s="110" t="inlineStr">
        <is>
          <t>rcfworks</t>
        </is>
      </c>
      <c r="N11" s="81" t="n">
        <v>0</v>
      </c>
      <c r="O11" s="80" t="inlineStr">
        <is>
          <t>4S1-BE-02</t>
        </is>
      </c>
      <c r="P11" s="80" t="inlineStr">
        <is>
          <t>Overlapping purchases of the same placement are rejected</t>
        </is>
      </c>
      <c r="Q11" s="82" t="inlineStr">
        <is>
          <t>Spec §30</t>
        </is>
      </c>
      <c r="R11" s="111" t="inlineStr">
        <is>
          <t>Done 2026-10-16 (merged #244) (rcfworks): PlacementWindow books whole days inside a draft campaign at the weekly price pro rata; DB exclusion constraint refuses overlaps per placement and slot; released on campaign cancel; no retire with bookings ahead. SponsorX-Virtual-Registry.md §4.</t>
        </is>
      </c>
    </row>
    <row r="12" ht="23.85" customHeight="1" s="75">
      <c r="A12" s="104" t="n">
        <v>13</v>
      </c>
      <c r="B12" s="105" t="inlineStr">
        <is>
          <t>4S2-BE-01</t>
        </is>
      </c>
      <c r="C12" s="81" t="n">
        <v>2</v>
      </c>
      <c r="D12" s="82" t="inlineStr">
        <is>
          <t>Sprint 2 · Manifest &amp; creative deployment</t>
        </is>
      </c>
      <c r="E12" s="139" t="inlineStr">
        <is>
          <t>BE</t>
        </is>
      </c>
      <c r="F12" s="120" t="inlineStr">
        <is>
          <t>Code</t>
        </is>
      </c>
      <c r="G12" s="80" t="inlineStr">
        <is>
          <t>Creative deployment model</t>
        </is>
      </c>
      <c r="H12" s="107" t="inlineStr">
        <is>
          <t>Associate approved sponsor assets with placements, versioned, with start and end times.</t>
        </is>
      </c>
      <c r="I12" s="108" t="inlineStr">
        <is>
          <t>Done</t>
        </is>
      </c>
      <c r="J12" s="108" t="n">
        <v>5</v>
      </c>
      <c r="K12" s="109" t="n">
        <v>46311</v>
      </c>
      <c r="L12" s="109" t="n">
        <v>46311</v>
      </c>
      <c r="M12" s="110" t="inlineStr">
        <is>
          <t>rcfworks</t>
        </is>
      </c>
      <c r="N12" s="81" t="n">
        <v>0</v>
      </c>
      <c r="O12" s="80" t="inlineStr">
        <is>
          <t>4S1-BE-03</t>
        </is>
      </c>
      <c r="P12" s="80" t="inlineStr">
        <is>
          <t>A deployment record ties campaign, placement, asset version and schedule</t>
        </is>
      </c>
      <c r="Q12" s="82" t="inlineStr">
        <is>
          <t>Spec §27.2, §30</t>
        </is>
      </c>
      <c r="R12" s="111" t="inlineStr">
        <is>
          <t>Done 2026-10-16 (merged #250) (rcfworks): CreativeDeployment ties window (campaign, placement), validated creative version and dates inside the window; DRAFT→APPROVED→ENDED; DB refuses overlapping approved deployments; bumps sequence and world manifestVersion. Registry doc §6.</t>
        </is>
      </c>
    </row>
    <row r="13" ht="23.85" customHeight="1" s="75">
      <c r="A13" s="112" t="n">
        <v>14</v>
      </c>
      <c r="B13" s="113" t="inlineStr">
        <is>
          <t>4S2-BE-02</t>
        </is>
      </c>
      <c r="C13" s="85" t="n">
        <v>2</v>
      </c>
      <c r="D13" s="86" t="inlineStr">
        <is>
          <t>Sprint 2 · Manifest &amp; creative deployment</t>
        </is>
      </c>
      <c r="E13" s="137" t="inlineStr">
        <is>
          <t>BE</t>
        </is>
      </c>
      <c r="F13" s="122" t="inlineStr">
        <is>
          <t>Code</t>
        </is>
      </c>
      <c r="G13" s="84" t="inlineStr">
        <is>
          <t>Creative validation against placement specs</t>
        </is>
      </c>
      <c r="H13" s="116" t="inlineStr">
        <is>
          <t>Reject assets that do not fit the surface before they reach the world, not after a sponsor complains.</t>
        </is>
      </c>
      <c r="I13" s="108" t="inlineStr">
        <is>
          <t>Done</t>
        </is>
      </c>
      <c r="J13" s="108" t="n">
        <v>3</v>
      </c>
      <c r="K13" s="109" t="n">
        <v>46311</v>
      </c>
      <c r="L13" s="109" t="n">
        <v>46311</v>
      </c>
      <c r="M13" s="110" t="inlineStr">
        <is>
          <t>rcfworks</t>
        </is>
      </c>
      <c r="N13" s="85" t="n">
        <v>0</v>
      </c>
      <c r="O13" s="84" t="inlineStr">
        <is>
          <t>4S2-BE-01</t>
        </is>
      </c>
      <c r="P13" s="84" t="inlineStr">
        <is>
          <t>An asset failing the placement's technical constraints is rejected at upload</t>
        </is>
      </c>
      <c r="Q13" s="86" t="inlineStr">
        <is>
          <t>Spec §27.2</t>
        </is>
      </c>
      <c r="R13" s="111" t="inlineStr">
        <is>
          <t>Done 2026-10-16 (merged #250) (rcfworks): creative uploaded direct to the private bucket and checked on register against the placement (type, exact pixels, size, video length) from the stored file (size, checksum, image pixels and format via sharp); failing = REJECTED with reasons, file deleted. §5.</t>
        </is>
      </c>
    </row>
    <row r="14" ht="15" customHeight="1" s="75">
      <c r="A14" s="104" t="n">
        <v>15</v>
      </c>
      <c r="B14" s="105" t="inlineStr">
        <is>
          <t>4S2-BE-03</t>
        </is>
      </c>
      <c r="C14" s="81" t="n">
        <v>2</v>
      </c>
      <c r="D14" s="82" t="inlineStr">
        <is>
          <t>Sprint 2 · Manifest &amp; creative deployment</t>
        </is>
      </c>
      <c r="E14" s="139" t="inlineStr">
        <is>
          <t>BE</t>
        </is>
      </c>
      <c r="F14" s="120" t="inlineStr">
        <is>
          <t>Code</t>
        </is>
      </c>
      <c r="G14" s="80" t="inlineStr">
        <is>
          <t>Active manifest service</t>
        </is>
      </c>
      <c r="H14" s="107" t="inlineStr">
        <is>
          <t>The endpoint INFINEX calls to ask what is live right now. Must return only approved, in-window deployments for the requested world and time.</t>
        </is>
      </c>
      <c r="I14" s="108" t="inlineStr">
        <is>
          <t>Done</t>
        </is>
      </c>
      <c r="J14" s="108" t="n">
        <v>5</v>
      </c>
      <c r="K14" s="109" t="n">
        <v>46311</v>
      </c>
      <c r="L14" s="109" t="n">
        <v>46311</v>
      </c>
      <c r="M14" s="110" t="inlineStr">
        <is>
          <t>rcfworks</t>
        </is>
      </c>
      <c r="N14" s="81" t="n">
        <v>0</v>
      </c>
      <c r="O14" s="80" t="inlineStr">
        <is>
          <t>4S2-BE-01</t>
        </is>
      </c>
      <c r="P14" s="80" t="inlineStr">
        <is>
          <t>Manifest returns only approved, in-window deployments for the requested world and time</t>
        </is>
      </c>
      <c r="Q14" s="82" t="inlineStr">
        <is>
          <t>Spec §28, §34</t>
        </is>
      </c>
      <c r="R14" s="111" t="inlineStr">
        <is>
          <t>Done 2026-10-16 (merged #250) (rcfworks): GET /virtual/worlds/{id}/manifest?at= — only approved, in-date deployments on booked windows, on-sale placements, validated creative, active world; manifestVersion + ETag/304. Download links 4S2-BE-04; game login 4S0-SEC-01. §7.</t>
        </is>
      </c>
    </row>
    <row r="15" ht="22.35" customHeight="1" s="75">
      <c r="A15" s="112" t="n">
        <v>16</v>
      </c>
      <c r="B15" s="113" t="inlineStr">
        <is>
          <t>4S2-BE-04</t>
        </is>
      </c>
      <c r="C15" s="85" t="n">
        <v>2</v>
      </c>
      <c r="D15" s="86" t="inlineStr">
        <is>
          <t>Sprint 2 · Manifest &amp; creative deployment</t>
        </is>
      </c>
      <c r="E15" s="137" t="inlineStr">
        <is>
          <t>BE</t>
        </is>
      </c>
      <c r="F15" s="122" t="inlineStr">
        <is>
          <t>Code</t>
        </is>
      </c>
      <c r="G15" s="84" t="inlineStr">
        <is>
          <t>Signed asset delivery through the CDN</t>
        </is>
      </c>
      <c r="H15" s="116" t="inlineStr">
        <is>
          <t>Creative is served fast and signed, so assets cannot be lifted from the URL.</t>
        </is>
      </c>
      <c r="I15" s="108" t="inlineStr">
        <is>
          <t>Done</t>
        </is>
      </c>
      <c r="J15" s="108" t="n">
        <v>3</v>
      </c>
      <c r="K15" s="163" t="n">
        <v>46314</v>
      </c>
      <c r="L15" s="163" t="n">
        <v>46314</v>
      </c>
      <c r="M15" s="110" t="inlineStr">
        <is>
          <t>rcfworks</t>
        </is>
      </c>
      <c r="N15" s="85" t="n">
        <v>0</v>
      </c>
      <c r="O15" s="84" t="inlineStr">
        <is>
          <t>4S2-BE-03</t>
        </is>
      </c>
      <c r="P15" s="84" t="inlineStr">
        <is>
          <t>Creative is delivered through signed, short-lived CDN URLs</t>
        </is>
      </c>
      <c r="Q15" s="86" t="inlineStr">
        <is>
          <t>Spec §31</t>
        </is>
      </c>
      <c r="R15" s="111" t="inlineStr">
        <is>
          <t>2026-10-19 DONE (rcfworks): merged in #255, acceptance met (tests green on CI). | 2026-10-19 (rcfworks): each manifest file carries url (signed GET to the private R2 bucket, 15-min life) and urlExpiresAt. Signed at the start of each 5-min step, so every link handed out is good &gt;=10 min and a poll inside one step gets 304 with nothing signed. One virtual.creativeLinksGrant audit row per grant (keys, never links). Not edge-cached: a caching layer only if 4S8-OPS-01 needs one. tests/virtual-creative.test.ts (14).</t>
        </is>
      </c>
    </row>
    <row r="16" ht="23.85" customHeight="1" s="75">
      <c r="A16" s="104" t="n">
        <v>17</v>
      </c>
      <c r="B16" s="105" t="inlineStr">
        <is>
          <t>4S2-BE-05</t>
        </is>
      </c>
      <c r="C16" s="81" t="n">
        <v>2</v>
      </c>
      <c r="D16" s="82" t="inlineStr">
        <is>
          <t>Sprint 2 · Manifest &amp; creative deployment</t>
        </is>
      </c>
      <c r="E16" s="139" t="inlineStr">
        <is>
          <t>BE</t>
        </is>
      </c>
      <c r="F16" s="120" t="inlineStr">
        <is>
          <t>Code</t>
        </is>
      </c>
      <c r="G16" s="80" t="inlineStr">
        <is>
          <t>Deployment pause and rollback</t>
        </is>
      </c>
      <c r="H16" s="107" t="inlineStr">
        <is>
          <t>A sponsor needs their creative down in minutes, not at the next release. Pausing invalidates the manifest and the prior asset state.</t>
        </is>
      </c>
      <c r="I16" s="108" t="inlineStr">
        <is>
          <t>Done</t>
        </is>
      </c>
      <c r="J16" s="108" t="n">
        <v>3</v>
      </c>
      <c r="K16" s="163" t="n">
        <v>46314</v>
      </c>
      <c r="L16" s="163" t="n">
        <v>46314</v>
      </c>
      <c r="M16" s="110" t="inlineStr">
        <is>
          <t>rcfworks</t>
        </is>
      </c>
      <c r="N16" s="81" t="n">
        <v>0</v>
      </c>
      <c r="O16" s="80" t="inlineStr">
        <is>
          <t>4S2-BE-03</t>
        </is>
      </c>
      <c r="P16" s="80" t="inlineStr">
        <is>
          <t>Creative can be paused or rolled back from SponsorX without redeploying the INFINEX application</t>
        </is>
      </c>
      <c r="Q16" s="82" t="inlineStr">
        <is>
          <t>Spec §27.2, §34</t>
        </is>
      </c>
      <c r="R16" s="111" t="inlineStr">
        <is>
          <t>2026-10-19 DONE (rcfworks): merged in #257, acceptance met (tests green on CI). | 2026-10-19 (rcfworks): POST /virtual/deployments/{id}/pause and /resume, POST /virtual/windows/{id}/rollback. Pause takes it off the manifest on the next poll (manifestVersion + ETag change); resume re-checks like approval (and the one-at-a-time rule); rollback puts the previous (or named) validated version on from now to the old end in one transaction. No new links for a paused deployment; issued ones lapse within 15 min. Audited; pausedAt/rolledBackAt/stateReason/replacedById held by a CHECK. Migration 20261019150000_deployment_pause_rollback. tests/virtual-deployment-control.test.ts (6).</t>
        </is>
      </c>
    </row>
    <row r="17" ht="23.85" customHeight="1" s="75">
      <c r="A17" s="112" t="n">
        <v>20</v>
      </c>
      <c r="B17" s="113" t="inlineStr">
        <is>
          <t>4S3-INT-02</t>
        </is>
      </c>
      <c r="C17" s="85" t="n">
        <v>3</v>
      </c>
      <c r="D17" s="86" t="inlineStr">
        <is>
          <t>Sprint 3 · INFINEX client endpoints</t>
        </is>
      </c>
      <c r="E17" s="141" t="inlineStr">
        <is>
          <t>INT</t>
        </is>
      </c>
      <c r="F17" s="122" t="inlineStr">
        <is>
          <t>Code</t>
        </is>
      </c>
      <c r="G17" s="84" t="inlineStr">
        <is>
          <t>Client registry and heartbeat endpoint</t>
        </is>
      </c>
      <c r="H17" s="116" t="inlineStr">
        <is>
          <t>SponsorX's side: the client registry, the heartbeat endpoint and the missing-heartbeat alert, proven with the stand-in world. The game sending it is 5S1-INT-02.</t>
        </is>
      </c>
      <c r="I17" s="108" t="inlineStr">
        <is>
          <t>Done</t>
        </is>
      </c>
      <c r="J17" s="108" t="n">
        <v>2</v>
      </c>
      <c r="K17" s="163" t="n">
        <v>46314</v>
      </c>
      <c r="L17" s="163" t="n">
        <v>46314</v>
      </c>
      <c r="M17" s="110" t="inlineStr">
        <is>
          <t>rcfworks</t>
        </is>
      </c>
      <c r="N17" s="85" t="n">
        <v>0</v>
      </c>
      <c r="O17" s="84" t="inlineStr">
        <is>
          <t>4S2-BE-03</t>
        </is>
      </c>
      <c r="P17" s="84" t="inlineStr">
        <is>
          <t>A registered client's heartbeat is recorded and a missing heartbeat raises an alert (proven with the stand-in world)</t>
        </is>
      </c>
      <c r="Q17" s="86" t="inlineStr">
        <is>
          <t>Spec §28, §30</t>
        </is>
      </c>
      <c r="R17" s="111" t="inlineStr">
        <is>
          <t>2026-10-19 DONE (rcfworks): merged in #262, acceptance met (stand-in world drives it end to end; CI green). | 2026-10-19 (rcfworks): client = one game build per world (unique), registered/revoked by BTG or the world's server (/infinex/clients). POST /infinex/heartbeat from a game session (client/world from the token), latest beat + count on the row. Worker minute sweep marks a build quiet 5 min (after it has reported) missing: audit infinex.heartbeatMissing + Integrations screen (integrationHealth.infinex); next beat recovers (audited). Stand-in world: npm run infinex:standin (server token → session → manifest → heartbeats), driven end to end by tests/infinex-clients.test.ts (5). Sessions now start without INFINEX_SIGNING_SECRET (signingKey null). RBAC §38 INFINEX_CLIENT own client; digest 6c2dbfecd20f5311. Migration 20261019200000_infinex_client_heartbeat. | Split 2026-10-16 (user): the game half moved to Phase 5 as 5S1-INT-02.</t>
        </is>
      </c>
    </row>
    <row r="18" ht="23.85" customHeight="1" s="75">
      <c r="A18" s="104" t="n">
        <v>21</v>
      </c>
      <c r="B18" s="105" t="inlineStr">
        <is>
          <t>4S3-INT-03</t>
        </is>
      </c>
      <c r="C18" s="81" t="n">
        <v>3</v>
      </c>
      <c r="D18" s="82" t="inlineStr">
        <is>
          <t>Sprint 3 · INFINEX client endpoints</t>
        </is>
      </c>
      <c r="E18" s="138" t="inlineStr">
        <is>
          <t>INT</t>
        </is>
      </c>
      <c r="F18" s="120" t="inlineStr">
        <is>
          <t>Code</t>
        </is>
      </c>
      <c r="G18" s="80" t="inlineStr">
        <is>
          <t>Client configuration endpoint</t>
        </is>
      </c>
      <c r="H18" s="107" t="inlineStr">
        <is>
          <t>SponsorX's side: feature flags, telemetry limits and schema versions served per client, so behaviour changes without a client release. The game honouring them is 5S1-INT-03.</t>
        </is>
      </c>
      <c r="I18" s="108" t="inlineStr">
        <is>
          <t>Done</t>
        </is>
      </c>
      <c r="J18" s="108" t="n">
        <v>1</v>
      </c>
      <c r="K18" s="163" t="n">
        <v>46314</v>
      </c>
      <c r="L18" s="163" t="n">
        <v>46314</v>
      </c>
      <c r="M18" s="110" t="inlineStr">
        <is>
          <t>rcfworks</t>
        </is>
      </c>
      <c r="N18" s="81" t="n">
        <v>0</v>
      </c>
      <c r="O18" s="80" t="inlineStr">
        <is>
          <t>4S2-BE-03</t>
        </is>
      </c>
      <c r="P18" s="80" t="inlineStr">
        <is>
          <t>Config is served per client with its telemetry limits, and the stand-in world honours them</t>
        </is>
      </c>
      <c r="Q18" s="82" t="inlineStr">
        <is>
          <t>Spec §28</t>
        </is>
      </c>
      <c r="R18" s="111" t="inlineStr">
        <is>
          <t>2026-10-19 DONE (rcfworks): merged in #263, acceptance met (stand-in honours the config; CI green). | 2026-10-19 (rcfworks): GET /infinex/config (game session, own build, ETag/304): reviewed defaults infinex-config@1.0.0 + BTG's per-build override within LIMITS (GET/PATCH /infinex/clients/{id}/config; 422 with every reason; machines 403; audited). Heartbeat interval × 5 = missing threshold (sweep per build). Stand-in reads config first and honours it (heartbeat/poll intervals, limits reported). Migration 20261019220000_infinex_client_config. tests/infinex-config.test.ts (7). | Split 2026-10-16 (user): the game half moved to Phase 5 as 5S1-INT-03.</t>
        </is>
      </c>
    </row>
    <row r="19" ht="23.85" customHeight="1" s="75">
      <c r="A19" s="104" t="n">
        <v>23</v>
      </c>
      <c r="B19" s="105" t="inlineStr">
        <is>
          <t>4S4-BE-01</t>
        </is>
      </c>
      <c r="C19" s="81" t="n">
        <v>4</v>
      </c>
      <c r="D19" s="82" t="inlineStr">
        <is>
          <t>Sprint 4 · Telemetry ingestion</t>
        </is>
      </c>
      <c r="E19" s="139" t="inlineStr">
        <is>
          <t>BE</t>
        </is>
      </c>
      <c r="F19" s="120" t="inlineStr">
        <is>
          <t>Code</t>
        </is>
      </c>
      <c r="G19" s="80" t="inlineStr">
        <is>
          <t>Telemetry batch ingestion endpoint</t>
        </is>
      </c>
      <c r="H19" s="107" t="inlineStr">
        <is>
          <t>Batched events with service authentication. Validates schema, timestamp, placement-campaign relationship, signature and replay indicators.</t>
        </is>
      </c>
      <c r="I19" s="108" t="inlineStr">
        <is>
          <t>Done</t>
        </is>
      </c>
      <c r="J19" s="108" t="n">
        <v>5</v>
      </c>
      <c r="K19" s="163" t="n">
        <v>46314</v>
      </c>
      <c r="L19" s="163" t="n">
        <v>46314</v>
      </c>
      <c r="M19" s="110" t="inlineStr">
        <is>
          <t>rcfworks</t>
        </is>
      </c>
      <c r="N19" s="81" t="n">
        <v>0</v>
      </c>
      <c r="O19" s="80" t="inlineStr">
        <is>
          <t>4S0-SEC-01</t>
        </is>
      </c>
      <c r="P19" s="80" t="inlineStr">
        <is>
          <t>Batch endpoint supports idempotent event IDs and rejects malformed or unauthorised events</t>
        </is>
      </c>
      <c r="Q19" s="82" t="inlineStr">
        <is>
          <t>Spec §28, §34</t>
        </is>
      </c>
      <c r="R19" s="111" t="inlineStr">
        <is>
          <t>2026-10-19 DONE (rcfworks): merged in #265, acceptance met (CI green). | 2026-10-19 (rcfworks): POST /infinex/telemetry — game session, signed over raw bytes, build's maxBatch/maxBytes (413) and telemetry flag (409); per-event checks with named problems; stored once per (client, eventId) via createManyAndReturn skipDuplicates (resend = duplicate); &gt;72 h quarantined. Path is /infinex/telemetry (the spec's :batch clashes with Express params). Stand-in sends a signed batch. New resource virtualEvent (RBAC §38, digest e42f713e01538f23). tests/infinex-telemetry.test.ts (6).</t>
        </is>
      </c>
    </row>
    <row r="20" ht="23.85" customHeight="1" s="75">
      <c r="A20" s="112" t="n">
        <v>24</v>
      </c>
      <c r="B20" s="113" t="inlineStr">
        <is>
          <t>4S4-BE-02</t>
        </is>
      </c>
      <c r="C20" s="85" t="n">
        <v>4</v>
      </c>
      <c r="D20" s="86" t="inlineStr">
        <is>
          <t>Sprint 4 · Telemetry ingestion</t>
        </is>
      </c>
      <c r="E20" s="137" t="inlineStr">
        <is>
          <t>BE</t>
        </is>
      </c>
      <c r="F20" s="122" t="inlineStr">
        <is>
          <t>Code</t>
        </is>
      </c>
      <c r="G20" s="84" t="inlineStr">
        <is>
          <t>Event schema and versioning</t>
        </is>
      </c>
      <c r="H20" s="116" t="inlineStr">
        <is>
          <t>The shared contract: event_id, schema_version, event_type, occurred_at, world/zone/placement, session, dwell, interaction type. Versioned so client and server can evolve apart.</t>
        </is>
      </c>
      <c r="I20" s="108" t="inlineStr">
        <is>
          <t>Done</t>
        </is>
      </c>
      <c r="J20" s="108" t="n">
        <v>3</v>
      </c>
      <c r="K20" s="163" t="n">
        <v>46314</v>
      </c>
      <c r="L20" s="163" t="n">
        <v>46314</v>
      </c>
      <c r="M20" s="110" t="inlineStr">
        <is>
          <t>rcfworks</t>
        </is>
      </c>
      <c r="N20" s="85" t="n">
        <v>0</v>
      </c>
      <c r="O20" s="84" t="inlineStr">
        <is>
          <t>4S4-BE-01</t>
        </is>
      </c>
      <c r="P20" s="84" t="inlineStr">
        <is>
          <t>Schema is versioned and a mismatched version is rejected with a clear error</t>
        </is>
      </c>
      <c r="Q20" s="86" t="inlineStr">
        <is>
          <t>Spec §29</t>
        </is>
      </c>
      <c r="R20" s="111" t="inlineStr">
        <is>
          <t>2026-10-19 DONE (rcfworks): merged in #265, acceptance met (CI green). | 2026-10-19 (rcfworks), with 4S4-BE-01: envelope + v1 data shapes per event type (SCHEMAS[1]); supported versions from the build's config; mismatched version refused 'unsupported-schema-version' naming the supported ones.</t>
        </is>
      </c>
    </row>
    <row r="21" ht="23.85" customHeight="1" s="75">
      <c r="A21" s="104" t="n">
        <v>27</v>
      </c>
      <c r="B21" s="105" t="inlineStr">
        <is>
          <t>4S4-DATA-01</t>
        </is>
      </c>
      <c r="C21" s="81" t="n">
        <v>4</v>
      </c>
      <c r="D21" s="82" t="inlineStr">
        <is>
          <t>Sprint 4 · Telemetry ingestion</t>
        </is>
      </c>
      <c r="E21" s="143" t="inlineStr">
        <is>
          <t>DATA</t>
        </is>
      </c>
      <c r="F21" s="120" t="inlineStr">
        <is>
          <t>Code</t>
        </is>
      </c>
      <c r="G21" s="80" t="inlineStr">
        <is>
          <t>Raw event storage</t>
        </is>
      </c>
      <c r="H21" s="107" t="inlineStr">
        <is>
          <t>Durable raw telemetry, kept separate from aggregates, so any number can be recomputed from source.</t>
        </is>
      </c>
      <c r="I21" s="108" t="inlineStr">
        <is>
          <t>Done</t>
        </is>
      </c>
      <c r="J21" s="108" t="n">
        <v>3</v>
      </c>
      <c r="K21" s="163" t="n">
        <v>46314</v>
      </c>
      <c r="L21" s="163" t="n">
        <v>46314</v>
      </c>
      <c r="M21" s="110" t="inlineStr">
        <is>
          <t>rcfworks</t>
        </is>
      </c>
      <c r="N21" s="81" t="n">
        <v>0</v>
      </c>
      <c r="O21" s="80" t="inlineStr">
        <is>
          <t>4S4-BE-01</t>
        </is>
      </c>
      <c r="P21" s="80" t="inlineStr">
        <is>
          <t>Raw events are durably stored and aggregates are reproducible from them</t>
        </is>
      </c>
      <c r="Q21" s="82" t="inlineStr">
        <is>
          <t>Spec §30</t>
        </is>
      </c>
      <c r="R21" s="111" t="inlineStr">
        <is>
          <t>2026-10-19 DONE (rcfworks): merged in #265, acceptance met (CI green). | 2026-10-19 (rcfworks), with 4S4-BE-01: VirtualEventRaw keyed (clientId, eventId), append-only trigger virtual_event_append_only, separate from aggregates (4S5-DATA-01 computes from it). Migration 20261019230000_virtual_event_raw.</t>
        </is>
      </c>
    </row>
    <row r="22" ht="23.85" customHeight="1" s="75">
      <c r="A22" s="112" t="n">
        <v>38</v>
      </c>
      <c r="B22" s="113" t="inlineStr">
        <is>
          <t>4S7-BE-01</t>
        </is>
      </c>
      <c r="C22" s="85" t="n">
        <v>7</v>
      </c>
      <c r="D22" s="86" t="inlineStr">
        <is>
          <t>Sprint 7 · Cross-channel reporting</t>
        </is>
      </c>
      <c r="E22" s="137" t="inlineStr">
        <is>
          <t>BE</t>
        </is>
      </c>
      <c r="F22" s="122" t="inlineStr">
        <is>
          <t>Code</t>
        </is>
      </c>
      <c r="G22" s="84" t="inlineStr">
        <is>
          <t>Cross-channel campaign model extension</t>
        </is>
      </c>
      <c r="H22" s="116" t="inlineStr">
        <is>
          <t>One campaign holding real-world, social, athlete, reward and INFINEX inventory together.</t>
        </is>
      </c>
      <c r="I22" s="108" t="inlineStr">
        <is>
          <t>Done</t>
        </is>
      </c>
      <c r="J22" s="108" t="n">
        <v>5</v>
      </c>
      <c r="K22" s="163" t="n">
        <v>46314</v>
      </c>
      <c r="L22" s="163" t="n">
        <v>46314</v>
      </c>
      <c r="M22" s="110" t="inlineStr">
        <is>
          <t>rcfworks</t>
        </is>
      </c>
      <c r="N22" s="85" t="n">
        <v>0</v>
      </c>
      <c r="O22" s="84" t="inlineStr">
        <is>
          <t>4S1-BE-03</t>
        </is>
      </c>
      <c r="P22" s="84" t="inlineStr">
        <is>
          <t>A single campaign can contain virtual and non-virtual inventory</t>
        </is>
      </c>
      <c r="Q22" s="86" t="inlineStr">
        <is>
          <t>Spec §25</t>
        </is>
      </c>
      <c r="R22" s="111" t="inlineStr">
        <is>
          <t>2026-10-19 DONE (rcfworks): merged in #255, acceptance met (tests green on CI). | 2026-10-19 (rcfworks): one campaign holds athlete orders, NEXT ad slots and INFINEX placement windows (PlacementWindow.campaignId is now a foreign key). A booking is a PLACEMENT_WINDOW_BOOKED fact (channel INFINEX, measure virtual_booked_cents, CampaignDaySummary.virtualBookedCents), reversed on release; counted once in figures, the nightly fact check, sponsor spend and the sponsor report (virtualPlacements). A campaign with only INFINEX placements skips STAFFING like an ad-only one. Migration 20261019120000_virtual_booked_fact. tests/cross-channel-campaign.test.ts.</t>
        </is>
      </c>
    </row>
    <row r="23" ht="23.85" customHeight="1" s="75">
      <c r="A23" s="112" t="n">
        <v>52</v>
      </c>
      <c r="B23" s="113" t="inlineStr">
        <is>
          <t>4S9-PMO-03</t>
        </is>
      </c>
      <c r="C23" s="85" t="n">
        <v>9</v>
      </c>
      <c r="D23" s="86" t="inlineStr">
        <is>
          <t>Sprint 9 · Sign-off</t>
        </is>
      </c>
      <c r="E23" s="137" t="inlineStr">
        <is>
          <t>PMO</t>
        </is>
      </c>
      <c r="F23" s="122" t="inlineStr">
        <is>
          <t>Document</t>
        </is>
      </c>
      <c r="G23" s="84" t="inlineStr">
        <is>
          <t>Phase 4 acceptance record, as built</t>
        </is>
      </c>
      <c r="H23" s="116" t="inlineStr">
        <is>
          <t>Raised 2026-10-20 when the game was parked and every open Phase 4 task moved to Phase 5 (the former UAT is 5S8-PMO-01). Records criteria 1–4 with the tasks, PRs and tests that prove them.</t>
        </is>
      </c>
      <c r="I23" s="108" t="inlineStr">
        <is>
          <t>Done</t>
        </is>
      </c>
      <c r="J23" s="108" t="n">
        <v>1</v>
      </c>
      <c r="K23" s="163" t="n">
        <v>46315</v>
      </c>
      <c r="L23" s="163" t="n">
        <v>46315</v>
      </c>
      <c r="M23" s="110" t="inlineStr">
        <is>
          <t>rcfworks</t>
        </is>
      </c>
      <c r="N23" s="85" t="n">
        <v>0</v>
      </c>
      <c r="O23" s="84" t="inlineStr">
        <is>
          <t>4S1-BE-04, 4S2-BE-03, 4S2-BE-05, 4S4-BE-01</t>
        </is>
      </c>
      <c r="P23" s="84" t="inlineStr">
        <is>
          <t>Phase 4's acceptance criteria 1–4 demonstrated and signed off</t>
        </is>
      </c>
      <c r="Q23" s="86" t="inlineStr">
        <is>
          <t>Spec §34</t>
        </is>
      </c>
      <c r="R23" s="111" t="inlineStr">
        <is>
          <t>2026-10-20 DONE (rcfworks, signed off with Rodney's delegated authority): documentation/SponsorX-Phase4-Acceptance-Signoff.md — 75/75 Phase 4 tests pass against 08f10a6b (stand-in world end to end); release 1b198d4b checked on staging.</t>
        </is>
      </c>
    </row>
    <row r="24" ht="23.85" customHeight="1" s="75"/>
    <row r="25" ht="23.85"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23"/>
  <mergeCells count="2">
    <mergeCell ref="A2:R2"/>
    <mergeCell ref="A1:R1"/>
  </mergeCells>
  <conditionalFormatting sqref="I5:I2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3">
    <cfRule type="expression" rank="0" priority="7" equalAverage="0" aboveAverage="0" dxfId="32" text="" percent="0" bottom="0">
      <formula>$I5="Done"</formula>
    </cfRule>
  </conditionalFormatting>
  <conditionalFormatting sqref="N5:N23">
    <cfRule type="cellIs" rank="0" priority="8" equalAverage="0" operator="greaterThanOrEqual" aboveAverage="0" dxfId="33" text="" percent="0" bottom="0">
      <formula>50</formula>
    </cfRule>
  </conditionalFormatting>
  <dataValidations count="1">
    <dataValidation sqref="I5:I2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54"/>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5 · INFINEX Game Integration</t>
        </is>
      </c>
    </row>
    <row r="2" ht="15" customHeight="1" s="75">
      <c r="A2" s="77" t="inlineStr">
        <is>
          <t>50 tasks across 8 sprints · the game and everything that serves it: the in-game connector, the staging world test, the pilot world, player accounts with a live connection, and (moved from Phase 4 on 2026-10-20, the game being parked) telemetry at scale, viewability and metrics, in-world activations, game reporting and operations, and the virtual-inventory screens, emergency pause, UAT and rollout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5S1-INT-01</t>
        </is>
      </c>
      <c r="C5" s="81" t="n">
        <v>1</v>
      </c>
      <c r="D5" s="82" t="inlineStr">
        <is>
          <t>Sprint 1 · Game connector</t>
        </is>
      </c>
      <c r="E5" s="138" t="inlineStr">
        <is>
          <t>INT</t>
        </is>
      </c>
      <c r="F5" s="120" t="inlineStr">
        <is>
          <t>Code</t>
        </is>
      </c>
      <c r="G5" s="80" t="inlineStr">
        <is>
          <t>INFINEX client manifest consumption</t>
        </is>
      </c>
      <c r="H5" s="107" t="inlineStr">
        <is>
          <t>Game-engine side: fetch the manifest, cache it sensibly, and render the right asset version.</t>
        </is>
      </c>
      <c r="I5" s="108" t="inlineStr">
        <is>
          <t>Blocked</t>
        </is>
      </c>
      <c r="J5" s="108" t="n">
        <v>5</v>
      </c>
      <c r="K5" s="109" t="n"/>
      <c r="L5" s="109" t="n"/>
      <c r="M5" s="110" t="n"/>
      <c r="N5" s="81" t="n">
        <v>0</v>
      </c>
      <c r="O5" s="80" t="inlineStr">
        <is>
          <t>4S2-BE-03</t>
        </is>
      </c>
      <c r="P5" s="80" t="inlineStr">
        <is>
          <t>The INFINEX client renders a sponsored placement using the correct asset version</t>
        </is>
      </c>
      <c r="Q5" s="82" t="inlineStr">
        <is>
          <t>Spec §34</t>
        </is>
      </c>
      <c r="R5" s="111" t="inlineStr">
        <is>
          <t>Formerly 4S3-INT-01 (moved 2026-10-16). Work inside the INFINEX game.</t>
        </is>
      </c>
    </row>
    <row r="6" ht="32.8" customHeight="1" s="75">
      <c r="A6" s="104" t="n">
        <v>2</v>
      </c>
      <c r="B6" s="105" t="inlineStr">
        <is>
          <t>5S1-INT-02</t>
        </is>
      </c>
      <c r="C6" s="81" t="n">
        <v>1</v>
      </c>
      <c r="D6" s="82" t="inlineStr">
        <is>
          <t>Sprint 1 · Game connector</t>
        </is>
      </c>
      <c r="E6" s="138" t="inlineStr">
        <is>
          <t>INT</t>
        </is>
      </c>
      <c r="F6" s="120" t="inlineStr">
        <is>
          <t>Code</t>
        </is>
      </c>
      <c r="G6" s="80" t="inlineStr">
        <is>
          <t>Game heartbeat</t>
        </is>
      </c>
      <c r="H6" s="107" t="inlineStr">
        <is>
          <t>The game half of the client heartbeat: the game registers with its key and reports health to SponsorX's heartbeat endpoint (4S3-INT-02).</t>
        </is>
      </c>
      <c r="I6" s="108" t="inlineStr">
        <is>
          <t>Blocked</t>
        </is>
      </c>
      <c r="J6" s="108" t="n">
        <v>1</v>
      </c>
      <c r="K6" s="109" t="n"/>
      <c r="L6" s="109" t="n"/>
      <c r="M6" s="110" t="n"/>
      <c r="N6" s="81" t="n">
        <v>0</v>
      </c>
      <c r="O6" s="80" t="inlineStr">
        <is>
          <t>5S1-INT-01, 4S3-INT-02</t>
        </is>
      </c>
      <c r="P6" s="80" t="inlineStr">
        <is>
          <t>The game reports its heartbeat and SponsorX raises an alert when it stops</t>
        </is>
      </c>
      <c r="Q6" s="82" t="inlineStr">
        <is>
          <t>Spec §28, §30</t>
        </is>
      </c>
      <c r="R6" s="111" t="inlineStr">
        <is>
          <t>Game half of 4S3-INT-02 (split 2026-10-16).</t>
        </is>
      </c>
    </row>
    <row r="7" ht="32.8" customHeight="1" s="75">
      <c r="A7" s="104" t="n">
        <v>3</v>
      </c>
      <c r="B7" s="105" t="inlineStr">
        <is>
          <t>5S1-INT-03</t>
        </is>
      </c>
      <c r="C7" s="81" t="n">
        <v>1</v>
      </c>
      <c r="D7" s="82" t="inlineStr">
        <is>
          <t>Sprint 1 · Game connector</t>
        </is>
      </c>
      <c r="E7" s="138" t="inlineStr">
        <is>
          <t>INT</t>
        </is>
      </c>
      <c r="F7" s="120" t="inlineStr">
        <is>
          <t>Code</t>
        </is>
      </c>
      <c r="G7" s="80" t="inlineStr">
        <is>
          <t>Game reads its configuration</t>
        </is>
      </c>
      <c r="H7" s="107" t="inlineStr">
        <is>
          <t>The game half of the client configuration: the game reads its settings from SponsorX (4S3-INT-03) and honours the telemetry limits.</t>
        </is>
      </c>
      <c r="I7" s="108" t="inlineStr">
        <is>
          <t>Blocked</t>
        </is>
      </c>
      <c r="J7" s="108" t="n">
        <v>1</v>
      </c>
      <c r="K7" s="109" t="n"/>
      <c r="L7" s="109" t="n"/>
      <c r="M7" s="110" t="n"/>
      <c r="N7" s="81" t="n">
        <v>0</v>
      </c>
      <c r="O7" s="80" t="inlineStr">
        <is>
          <t>5S1-INT-01, 4S3-INT-03</t>
        </is>
      </c>
      <c r="P7" s="80" t="inlineStr">
        <is>
          <t>The game reads its config remotely and honours telemetry limits</t>
        </is>
      </c>
      <c r="Q7" s="82" t="inlineStr">
        <is>
          <t>Spec §28</t>
        </is>
      </c>
      <c r="R7" s="111" t="inlineStr">
        <is>
          <t>Game half of 4S3-INT-03 (split 2026-10-16).</t>
        </is>
      </c>
    </row>
    <row r="8" ht="32.8" customHeight="1" s="75">
      <c r="A8" s="104" t="n">
        <v>4</v>
      </c>
      <c r="B8" s="105" t="inlineStr">
        <is>
          <t>5S1-QA-01</t>
        </is>
      </c>
      <c r="C8" s="81" t="n">
        <v>1</v>
      </c>
      <c r="D8" s="82" t="inlineStr">
        <is>
          <t>Sprint 1 · Game connector</t>
        </is>
      </c>
      <c r="E8" s="138" t="inlineStr">
        <is>
          <t>QA</t>
        </is>
      </c>
      <c r="F8" s="120" t="inlineStr">
        <is>
          <t>Code</t>
        </is>
      </c>
      <c r="G8" s="80" t="inlineStr">
        <is>
          <t>Staging world placement test</t>
        </is>
      </c>
      <c r="H8" s="107" t="inlineStr">
        <is>
          <t>A placement is only AVAILABLE after it renders correctly in a staging world.</t>
        </is>
      </c>
      <c r="I8" s="108" t="inlineStr">
        <is>
          <t>Blocked</t>
        </is>
      </c>
      <c r="J8" s="108" t="n">
        <v>3</v>
      </c>
      <c r="K8" s="109" t="n"/>
      <c r="L8" s="109" t="n"/>
      <c r="M8" s="110" t="n"/>
      <c r="N8" s="81" t="n">
        <v>0</v>
      </c>
      <c r="O8" s="80" t="inlineStr">
        <is>
          <t>5S1-INT-01</t>
        </is>
      </c>
      <c r="P8" s="80" t="inlineStr">
        <is>
          <t>Placement passes the staging test before it can be marked available</t>
        </is>
      </c>
      <c r="Q8" s="82" t="inlineStr">
        <is>
          <t>Spec §27.1</t>
        </is>
      </c>
      <c r="R8" s="111" t="inlineStr">
        <is>
          <t>Formerly 4S3-QA-01 (moved 2026-10-16).</t>
        </is>
      </c>
    </row>
    <row r="9" ht="32.8" customHeight="1" s="75">
      <c r="A9" s="104" t="n">
        <v>5</v>
      </c>
      <c r="B9" s="105" t="inlineStr">
        <is>
          <t>5S2-QA-01</t>
        </is>
      </c>
      <c r="C9" s="81" t="n">
        <v>2</v>
      </c>
      <c r="D9" s="82" t="inlineStr">
        <is>
          <t>Sprint 2 · Pilot world</t>
        </is>
      </c>
      <c r="E9" s="138" t="inlineStr">
        <is>
          <t>QA</t>
        </is>
      </c>
      <c r="F9" s="120" t="inlineStr">
        <is>
          <t>Code</t>
        </is>
      </c>
      <c r="G9" s="80" t="inlineStr">
        <is>
          <t>Telemetry validation against the pilot world</t>
        </is>
      </c>
      <c r="H9" s="107" t="inlineStr">
        <is>
          <t>Compare what the client emitted against what SponsorX recorded, event by event, in a real world.</t>
        </is>
      </c>
      <c r="I9" s="108" t="inlineStr">
        <is>
          <t>Blocked</t>
        </is>
      </c>
      <c r="J9" s="108" t="n">
        <v>5</v>
      </c>
      <c r="K9" s="109" t="n"/>
      <c r="L9" s="109" t="n"/>
      <c r="M9" s="110" t="n"/>
      <c r="N9" s="81" t="n">
        <v>0</v>
      </c>
      <c r="O9" s="80" t="inlineStr">
        <is>
          <t>5S1-INT-01, 5S4-OPS-02</t>
        </is>
      </c>
      <c r="P9" s="80" t="inlineStr">
        <is>
          <t>Telemetry reconciles between client and server within defined tolerance</t>
        </is>
      </c>
      <c r="Q9" s="82" t="inlineStr">
        <is>
          <t>Spec §33</t>
        </is>
      </c>
      <c r="R9" s="111" t="inlineStr">
        <is>
          <t>Formerly 4S9-QA-01 (moved 2026-10-16).</t>
        </is>
      </c>
    </row>
    <row r="10" ht="32.8" customHeight="1" s="75">
      <c r="A10" s="104" t="n">
        <v>6</v>
      </c>
      <c r="B10" s="105" t="inlineStr">
        <is>
          <t>5S2-PMO-01</t>
        </is>
      </c>
      <c r="C10" s="81" t="n">
        <v>2</v>
      </c>
      <c r="D10" s="82" t="inlineStr">
        <is>
          <t>Sprint 2 · Pilot world</t>
        </is>
      </c>
      <c r="E10" s="138" t="inlineStr">
        <is>
          <t>PMO</t>
        </is>
      </c>
      <c r="F10" s="120" t="inlineStr">
        <is>
          <t>Document</t>
        </is>
      </c>
      <c r="G10" s="80" t="inlineStr">
        <is>
          <t>Calibrate virtual pricing against real traffic</t>
        </is>
      </c>
      <c r="H10" s="107" t="inlineStr">
        <is>
          <t>The pricing model was built on assumptions. Pilot traffic replaces them with measurements.</t>
        </is>
      </c>
      <c r="I10" s="108" t="inlineStr">
        <is>
          <t>Blocked</t>
        </is>
      </c>
      <c r="J10" s="108" t="n">
        <v>3</v>
      </c>
      <c r="K10" s="109" t="n"/>
      <c r="L10" s="109" t="n"/>
      <c r="M10" s="110" t="n"/>
      <c r="N10" s="81" t="n">
        <v>0</v>
      </c>
      <c r="O10" s="80" t="inlineStr">
        <is>
          <t>5S2-QA-01</t>
        </is>
      </c>
      <c r="P10" s="80" t="inlineStr">
        <is>
          <t>Virtual rates recalibrated against observed traffic, viewability and dwell</t>
        </is>
      </c>
      <c r="Q10" s="82" t="inlineStr">
        <is>
          <t>Spec §32</t>
        </is>
      </c>
      <c r="R10" s="111" t="inlineStr">
        <is>
          <t>Formerly 4S9-PMO-01 (moved 2026-10-16).</t>
        </is>
      </c>
    </row>
    <row r="11" ht="32.8" customHeight="1" s="75">
      <c r="A11" s="104" t="n">
        <v>7</v>
      </c>
      <c r="B11" s="105" t="inlineStr">
        <is>
          <t>5S2-PMO-02</t>
        </is>
      </c>
      <c r="C11" s="81" t="n">
        <v>2</v>
      </c>
      <c r="D11" s="82" t="inlineStr">
        <is>
          <t>Sprint 2 · Pilot world</t>
        </is>
      </c>
      <c r="E11" s="138" t="inlineStr">
        <is>
          <t>PMO</t>
        </is>
      </c>
      <c r="F11" s="120" t="inlineStr">
        <is>
          <t>Document</t>
        </is>
      </c>
      <c r="G11" s="80" t="inlineStr">
        <is>
          <t>Pilot sponsor UAT</t>
        </is>
      </c>
      <c r="H11" s="107" t="inlineStr">
        <is>
          <t>A real sponsor runs a real virtual activation in the pilot world and receives a real report.</t>
        </is>
      </c>
      <c r="I11" s="108" t="inlineStr">
        <is>
          <t>Blocked</t>
        </is>
      </c>
      <c r="J11" s="108" t="n">
        <v>3</v>
      </c>
      <c r="K11" s="109" t="n"/>
      <c r="L11" s="109" t="n"/>
      <c r="M11" s="110" t="n"/>
      <c r="N11" s="81" t="n">
        <v>0</v>
      </c>
      <c r="O11" s="80" t="inlineStr">
        <is>
          <t>5S2-QA-01, 5S3-QA-01</t>
        </is>
      </c>
      <c r="P11" s="80" t="inlineStr">
        <is>
          <t>All 15 Phase 5 acceptance criteria demonstrated and signed off</t>
        </is>
      </c>
      <c r="Q11" s="82" t="inlineStr">
        <is>
          <t>Spec §34</t>
        </is>
      </c>
      <c r="R11" s="111" t="inlineStr">
        <is>
          <t>New 2026-10-16: the real-sponsor pilot, formerly part of 4S9-PMO-02.</t>
        </is>
      </c>
    </row>
    <row r="12" ht="32.8" customHeight="1" s="75">
      <c r="A12" s="104" t="n">
        <v>8</v>
      </c>
      <c r="B12" s="105" t="inlineStr">
        <is>
          <t>5S3-PMO-01</t>
        </is>
      </c>
      <c r="C12" s="81" t="n">
        <v>3</v>
      </c>
      <c r="D12" s="82" t="inlineStr">
        <is>
          <t>Sprint 3 · Player accounts and live connection</t>
        </is>
      </c>
      <c r="E12" s="138" t="inlineStr">
        <is>
          <t>PMO</t>
        </is>
      </c>
      <c r="F12" s="120" t="inlineStr">
        <is>
          <t>Document</t>
        </is>
      </c>
      <c r="G12" s="80" t="inlineStr">
        <is>
          <t>Player identity decision</t>
        </is>
      </c>
      <c r="H12" s="107" t="inlineStr">
        <is>
          <t>Who holds player accounts, compared: WorkOS AuthKit, a separate Clerk instance for players, Auth0, or SponsorX's own on the standard protocols (cost at player scale, native game flows, lockout and authenticator support, data location, lock-in). What player data is kept and for how long; the world contract updated from anonymous players to optional accounts. A chosen vendor gets its stack-decision addendum.</t>
        </is>
      </c>
      <c r="I12" s="108" t="inlineStr">
        <is>
          <t>Blocked</t>
        </is>
      </c>
      <c r="J12" s="108" t="n">
        <v>2</v>
      </c>
      <c r="K12" s="109" t="n"/>
      <c r="L12" s="109" t="n"/>
      <c r="M12" s="110" t="n"/>
      <c r="N12" s="81" t="n">
        <v>0</v>
      </c>
      <c r="O12" s="80" t="inlineStr">
        <is>
          <t>4S0-PMO-01</t>
        </is>
      </c>
      <c r="P12" s="80" t="inlineStr">
        <is>
          <t>The provider is chosen with the comparison written down, the player data held and its retention are recorded, the world contract is updated, and any new vendor has its stack-decision addendum</t>
        </is>
      </c>
      <c r="Q12" s="82" t="inlineStr">
        <is>
          <t>Spec §29</t>
        </is>
      </c>
    </row>
    <row r="13" ht="32.8" customHeight="1" s="75">
      <c r="A13" s="104" t="n">
        <v>8.5</v>
      </c>
      <c r="B13" s="105" t="inlineStr">
        <is>
          <t>5S3-PMO-02</t>
        </is>
      </c>
      <c r="C13" s="81" t="n">
        <v>3</v>
      </c>
      <c r="D13" s="82" t="inlineStr">
        <is>
          <t>Sprint 3 · Player accounts and live connection</t>
        </is>
      </c>
      <c r="E13" s="138" t="inlineStr">
        <is>
          <t>PMO</t>
        </is>
      </c>
      <c r="F13" s="120" t="inlineStr">
        <is>
          <t>Document</t>
        </is>
      </c>
      <c r="G13" s="80" t="inlineStr">
        <is>
          <t>Real-time connection decision</t>
        </is>
      </c>
      <c r="H13" s="107" t="inlineStr">
        <is>
          <t>How the live game connection is carried, compared: a plain WebSocket on SponsorX's API (fan-out through Postgres LISTEN/NOTIFY), SpacetimeDB (multiplayer database with WebSocket subscriptions; could also carry live game state), or a managed service such as Ably or Pusher. Latency, connections, cost, how it authenticates, fit with the stack rules. A chosen vendor gets its stack-decision addendum.</t>
        </is>
      </c>
      <c r="I13" s="108" t="inlineStr">
        <is>
          <t>Blocked</t>
        </is>
      </c>
      <c r="J13" s="108" t="n">
        <v>3</v>
      </c>
      <c r="K13" s="109" t="n"/>
      <c r="L13" s="109" t="n"/>
      <c r="M13" s="110" t="n"/>
      <c r="N13" s="81" t="n">
        <v>0</v>
      </c>
      <c r="O13" s="80" t="inlineStr">
        <is>
          <t>4S0-SEC-01</t>
        </is>
      </c>
      <c r="P13" s="80" t="inlineStr">
        <is>
          <t>The real-time option is chosen with the comparison written down, and any new vendor has its stack-decision addendum</t>
        </is>
      </c>
      <c r="Q13" s="82" t="inlineStr">
        <is>
          <t>Spec §28, §31</t>
        </is>
      </c>
    </row>
    <row r="14" ht="32.8" customHeight="1" s="75">
      <c r="A14" s="104" t="n">
        <v>9</v>
      </c>
      <c r="B14" s="105" t="inlineStr">
        <is>
          <t>5S3-SEC-01</t>
        </is>
      </c>
      <c r="C14" s="81" t="n">
        <v>3</v>
      </c>
      <c r="D14" s="82" t="inlineStr">
        <is>
          <t>Sprint 3 · Player accounts and live connection</t>
        </is>
      </c>
      <c r="E14" s="138" t="inlineStr">
        <is>
          <t>SEC</t>
        </is>
      </c>
      <c r="F14" s="120" t="inlineStr">
        <is>
          <t>Code</t>
        </is>
      </c>
      <c r="G14" s="80" t="inlineStr">
        <is>
          <t>Player authentication design</t>
        </is>
      </c>
      <c r="H14" s="107" t="inlineStr">
        <is>
          <t>OAuth 2.0 / OpenID Connect authorization code with PKCE for the game (RFC 8252), token lifetimes and rotating refresh tokens, NIST SP 800-63B passwords, authenticator step, lockout policy and the error codes the game reads; checked against OWASP ASVS Level 2.</t>
        </is>
      </c>
      <c r="I14" s="108" t="inlineStr">
        <is>
          <t>Blocked</t>
        </is>
      </c>
      <c r="J14" s="108" t="n">
        <v>3</v>
      </c>
      <c r="K14" s="109" t="n"/>
      <c r="L14" s="109" t="n"/>
      <c r="M14" s="110" t="n"/>
      <c r="N14" s="81" t="n">
        <v>0</v>
      </c>
      <c r="O14" s="80" t="inlineStr">
        <is>
          <t>5S3-PMO-01, 4S0-SEC-01</t>
        </is>
      </c>
      <c r="P14" s="80" t="inlineStr">
        <is>
          <t>The player authentication design is reviewed and approved</t>
        </is>
      </c>
      <c r="Q14" s="82" t="inlineStr">
        <is>
          <t>Spec §29, §31</t>
        </is>
      </c>
    </row>
    <row r="15" ht="32.8" customHeight="1" s="75">
      <c r="A15" s="104" t="n">
        <v>10</v>
      </c>
      <c r="B15" s="105" t="inlineStr">
        <is>
          <t>5S3-BE-01</t>
        </is>
      </c>
      <c r="C15" s="81" t="n">
        <v>3</v>
      </c>
      <c r="D15" s="82" t="inlineStr">
        <is>
          <t>Sprint 3 · Player accounts and live connection</t>
        </is>
      </c>
      <c r="E15" s="138" t="inlineStr">
        <is>
          <t>BE</t>
        </is>
      </c>
      <c r="F15" s="120" t="inlineStr">
        <is>
          <t>Code</t>
        </is>
      </c>
      <c r="G15" s="80" t="inlineStr">
        <is>
          <t>Player registration with email</t>
        </is>
      </c>
      <c r="H15" s="107" t="inlineStr">
        <is>
          <t>Create an account with email and password, verify the email, minimum length and a breached-password check; an email already registered is answered without revealing it exists.</t>
        </is>
      </c>
      <c r="I15" s="108" t="inlineStr">
        <is>
          <t>Blocked</t>
        </is>
      </c>
      <c r="J15" s="108" t="n">
        <v>4</v>
      </c>
      <c r="K15" s="109" t="n"/>
      <c r="L15" s="109" t="n"/>
      <c r="M15" s="110" t="n"/>
      <c r="N15" s="81" t="n">
        <v>0</v>
      </c>
      <c r="O15" s="80" t="inlineStr">
        <is>
          <t>5S3-SEC-01</t>
        </is>
      </c>
      <c r="P15" s="80" t="inlineStr">
        <is>
          <t>A player creates an account with email and password, verifies the email, and a duplicate or weak password is refused without revealing existing accounts</t>
        </is>
      </c>
      <c r="Q15" s="82" t="inlineStr">
        <is>
          <t>Spec §29</t>
        </is>
      </c>
    </row>
    <row r="16" ht="32.8" customHeight="1" s="75">
      <c r="A16" s="104" t="n">
        <v>11</v>
      </c>
      <c r="B16" s="105" t="inlineStr">
        <is>
          <t>5S3-BE-02</t>
        </is>
      </c>
      <c r="C16" s="81" t="n">
        <v>3</v>
      </c>
      <c r="D16" s="82" t="inlineStr">
        <is>
          <t>Sprint 3 · Player accounts and live connection</t>
        </is>
      </c>
      <c r="E16" s="138" t="inlineStr">
        <is>
          <t>BE</t>
        </is>
      </c>
      <c r="F16" s="120" t="inlineStr">
        <is>
          <t>Code</t>
        </is>
      </c>
      <c r="G16" s="80" t="inlineStr">
        <is>
          <t>Email login and the login error contract</t>
        </is>
      </c>
      <c r="H16" s="107" t="inlineStr">
        <is>
          <t>Email and password login; every refusal is a stable code the game acts on: invalid-credentials (same whether or not the email exists), account-locked (with unlock time), email-not-verified, mfa-required, account-disabled, rate-limited.</t>
        </is>
      </c>
      <c r="I16" s="108" t="inlineStr">
        <is>
          <t>Blocked</t>
        </is>
      </c>
      <c r="J16" s="108" t="n">
        <v>3</v>
      </c>
      <c r="K16" s="109" t="n"/>
      <c r="L16" s="109" t="n"/>
      <c r="M16" s="110" t="n"/>
      <c r="N16" s="81" t="n">
        <v>0</v>
      </c>
      <c r="O16" s="80" t="inlineStr">
        <is>
          <t>5S3-BE-01</t>
        </is>
      </c>
      <c r="P16" s="80" t="inlineStr">
        <is>
          <t>The game can tell an invalid login, a locked account, an unverified email and a required authenticator step apart from the server's response, and none of them reveals whether an account exists</t>
        </is>
      </c>
      <c r="Q16" s="82" t="inlineStr">
        <is>
          <t>Spec §29</t>
        </is>
      </c>
    </row>
    <row r="17" ht="32.8" customHeight="1" s="75">
      <c r="A17" s="104" t="n">
        <v>12</v>
      </c>
      <c r="B17" s="105" t="inlineStr">
        <is>
          <t>5S3-BE-03</t>
        </is>
      </c>
      <c r="C17" s="81" t="n">
        <v>3</v>
      </c>
      <c r="D17" s="82" t="inlineStr">
        <is>
          <t>Sprint 3 · Player accounts and live connection</t>
        </is>
      </c>
      <c r="E17" s="138" t="inlineStr">
        <is>
          <t>BE</t>
        </is>
      </c>
      <c r="F17" s="120" t="inlineStr">
        <is>
          <t>Code</t>
        </is>
      </c>
      <c r="G17" s="80" t="inlineStr">
        <is>
          <t>Login lockout and throttling</t>
        </is>
      </c>
      <c r="H17" s="107" t="inlineStr">
        <is>
          <t>Growing delays per account and per device or IP, a temporary lock after repeated failures (unlocks by time or an emailed link), the owner told, every lock and unlock audited.</t>
        </is>
      </c>
      <c r="I17" s="108" t="inlineStr">
        <is>
          <t>Blocked</t>
        </is>
      </c>
      <c r="J17" s="108" t="n">
        <v>3</v>
      </c>
      <c r="K17" s="109" t="n"/>
      <c r="L17" s="109" t="n"/>
      <c r="M17" s="110" t="n"/>
      <c r="N17" s="81" t="n">
        <v>0</v>
      </c>
      <c r="O17" s="80" t="inlineStr">
        <is>
          <t>5S3-BE-02</t>
        </is>
      </c>
      <c r="P17" s="80" t="inlineStr">
        <is>
          <t>Repeated failed logins lock the account for a set time, the game shows when it unlocks, the owner can unlock by email, and every lock is audited</t>
        </is>
      </c>
      <c r="Q17" s="82" t="inlineStr">
        <is>
          <t>Spec §29, §31</t>
        </is>
      </c>
    </row>
    <row r="18" ht="32.8" customHeight="1" s="75">
      <c r="A18" s="104" t="n">
        <v>13</v>
      </c>
      <c r="B18" s="105" t="inlineStr">
        <is>
          <t>5S3-INT-01</t>
        </is>
      </c>
      <c r="C18" s="81" t="n">
        <v>3</v>
      </c>
      <c r="D18" s="82" t="inlineStr">
        <is>
          <t>Sprint 3 · Player accounts and live connection</t>
        </is>
      </c>
      <c r="E18" s="138" t="inlineStr">
        <is>
          <t>INT</t>
        </is>
      </c>
      <c r="F18" s="120" t="inlineStr">
        <is>
          <t>Code + console</t>
        </is>
      </c>
      <c r="G18" s="80" t="inlineStr">
        <is>
          <t>Sign in with Google</t>
        </is>
      </c>
      <c r="H18" s="107" t="inlineStr">
        <is>
          <t>Google sign-in (OpenID Connect): a new player gets an account from Google's verified email; an existing player can link Google. Google Cloud client set up in the sandbox project first.</t>
        </is>
      </c>
      <c r="I18" s="108" t="inlineStr">
        <is>
          <t>Blocked</t>
        </is>
      </c>
      <c r="J18" s="108" t="n">
        <v>3</v>
      </c>
      <c r="K18" s="109" t="n"/>
      <c r="L18" s="109" t="n"/>
      <c r="M18" s="110" t="n"/>
      <c r="N18" s="81" t="n">
        <v>0</v>
      </c>
      <c r="O18" s="80" t="inlineStr">
        <is>
          <t>5S3-SEC-01, 5S3-BE-01</t>
        </is>
      </c>
      <c r="P18" s="80" t="inlineStr">
        <is>
          <t>A player signs up and signs in with Google, and can link Google to an existing account</t>
        </is>
      </c>
      <c r="Q18" s="82" t="inlineStr">
        <is>
          <t>Spec §29</t>
        </is>
      </c>
    </row>
    <row r="19" ht="32.8" customHeight="1" s="75">
      <c r="A19" s="104" t="n">
        <v>14</v>
      </c>
      <c r="B19" s="105" t="inlineStr">
        <is>
          <t>5S3-INT-02</t>
        </is>
      </c>
      <c r="C19" s="81" t="n">
        <v>3</v>
      </c>
      <c r="D19" s="82" t="inlineStr">
        <is>
          <t>Sprint 3 · Player accounts and live connection</t>
        </is>
      </c>
      <c r="E19" s="138" t="inlineStr">
        <is>
          <t>INT</t>
        </is>
      </c>
      <c r="F19" s="120" t="inlineStr">
        <is>
          <t>Code + console</t>
        </is>
      </c>
      <c r="G19" s="80" t="inlineStr">
        <is>
          <t>Sign in with Apple</t>
        </is>
      </c>
      <c r="H19" s="107" t="inlineStr">
        <is>
          <t>Sign in with Apple, including private-relay emails, the name sent only on first sign-in, and the App Store's in-app account deletion rule. Apple developer setup first.</t>
        </is>
      </c>
      <c r="I19" s="108" t="inlineStr">
        <is>
          <t>Blocked</t>
        </is>
      </c>
      <c r="J19" s="108" t="n">
        <v>3</v>
      </c>
      <c r="K19" s="109" t="n"/>
      <c r="L19" s="109" t="n"/>
      <c r="M19" s="110" t="n"/>
      <c r="N19" s="81" t="n">
        <v>0</v>
      </c>
      <c r="O19" s="80" t="inlineStr">
        <is>
          <t>5S3-SEC-01, 5S3-BE-01</t>
        </is>
      </c>
      <c r="P19" s="80" t="inlineStr">
        <is>
          <t>A player signs up and signs in with Apple, including with a hidden (relay) email, and can link Apple to an existing account</t>
        </is>
      </c>
      <c r="Q19" s="82" t="inlineStr">
        <is>
          <t>Spec §29</t>
        </is>
      </c>
    </row>
    <row r="20" ht="32.8" customHeight="1" s="75">
      <c r="A20" s="104" t="n">
        <v>15</v>
      </c>
      <c r="B20" s="105" t="inlineStr">
        <is>
          <t>5S3-BE-04</t>
        </is>
      </c>
      <c r="C20" s="81" t="n">
        <v>3</v>
      </c>
      <c r="D20" s="82" t="inlineStr">
        <is>
          <t>Sprint 3 · Player accounts and live connection</t>
        </is>
      </c>
      <c r="E20" s="138" t="inlineStr">
        <is>
          <t>BE</t>
        </is>
      </c>
      <c r="F20" s="120" t="inlineStr">
        <is>
          <t>Code</t>
        </is>
      </c>
      <c r="G20" s="80" t="inlineStr">
        <is>
          <t>Authenticator app two-step login</t>
        </is>
      </c>
      <c r="H20" s="107" t="inlineStr">
        <is>
          <t>Authenticator app codes (RFC 6238): enrol by QR code, recovery codes shown once, turning it off needs a fresh sign-in; login answers mfa-required until the code is given.</t>
        </is>
      </c>
      <c r="I20" s="108" t="inlineStr">
        <is>
          <t>Blocked</t>
        </is>
      </c>
      <c r="J20" s="108" t="n">
        <v>4</v>
      </c>
      <c r="K20" s="109" t="n"/>
      <c r="L20" s="109" t="n"/>
      <c r="M20" s="110" t="n"/>
      <c r="N20" s="81" t="n">
        <v>0</v>
      </c>
      <c r="O20" s="80" t="inlineStr">
        <is>
          <t>5S3-BE-02</t>
        </is>
      </c>
      <c r="P20" s="80" t="inlineStr">
        <is>
          <t>A player turns on an authenticator, every later login asks for its code, recovery codes work once each, and turning it off needs a fresh sign-in</t>
        </is>
      </c>
      <c r="Q20" s="82" t="inlineStr">
        <is>
          <t>Spec §29, §31</t>
        </is>
      </c>
    </row>
    <row r="21" ht="32.8" customHeight="1" s="75">
      <c r="A21" s="104" t="n">
        <v>16</v>
      </c>
      <c r="B21" s="105" t="inlineStr">
        <is>
          <t>5S3-BE-05</t>
        </is>
      </c>
      <c r="C21" s="81" t="n">
        <v>3</v>
      </c>
      <c r="D21" s="82" t="inlineStr">
        <is>
          <t>Sprint 3 · Player accounts and live connection</t>
        </is>
      </c>
      <c r="E21" s="138" t="inlineStr">
        <is>
          <t>BE</t>
        </is>
      </c>
      <c r="F21" s="120" t="inlineStr">
        <is>
          <t>Code</t>
        </is>
      </c>
      <c r="G21" s="80" t="inlineStr">
        <is>
          <t>Account recovery, linking and deletion</t>
        </is>
      </c>
      <c r="H21" s="107" t="inlineStr">
        <is>
          <t>Password reset by short-lived emailed link (signs out other devices); link and unlink Google or Apple (never the last way in); delete the account and its personal data from inside the game.</t>
        </is>
      </c>
      <c r="I21" s="108" t="inlineStr">
        <is>
          <t>Blocked</t>
        </is>
      </c>
      <c r="J21" s="108" t="n">
        <v>4</v>
      </c>
      <c r="K21" s="109" t="n"/>
      <c r="L21" s="109" t="n"/>
      <c r="M21" s="110" t="n"/>
      <c r="N21" s="81" t="n">
        <v>0</v>
      </c>
      <c r="O21" s="80" t="inlineStr">
        <is>
          <t>5S3-BE-02, 5S3-INT-01, 5S3-INT-02</t>
        </is>
      </c>
      <c r="P21" s="80" t="inlineStr">
        <is>
          <t>A player resets a forgotten password, links and unlinks Google or Apple without locking themselves out, and deletes their account in the game</t>
        </is>
      </c>
      <c r="Q21" s="82" t="inlineStr">
        <is>
          <t>Spec §29</t>
        </is>
      </c>
    </row>
    <row r="22" ht="32.8" customHeight="1" s="75">
      <c r="A22" s="104" t="n">
        <v>17</v>
      </c>
      <c r="B22" s="105" t="inlineStr">
        <is>
          <t>5S3-BE-06</t>
        </is>
      </c>
      <c r="C22" s="81" t="n">
        <v>3</v>
      </c>
      <c r="D22" s="82" t="inlineStr">
        <is>
          <t>Sprint 3 · Player accounts and live connection</t>
        </is>
      </c>
      <c r="E22" s="138" t="inlineStr">
        <is>
          <t>BE</t>
        </is>
      </c>
      <c r="F22" s="120" t="inlineStr">
        <is>
          <t>Code</t>
        </is>
      </c>
      <c r="G22" s="80" t="inlineStr">
        <is>
          <t>Player sessions and tokens</t>
        </is>
      </c>
      <c r="H22" s="107" t="inlineStr">
        <is>
          <t>Short-lived access tokens and refresh tokens that rotate on every use; a reused refresh token ends the session; device list, sign out one device or everywhere.</t>
        </is>
      </c>
      <c r="I22" s="108" t="inlineStr">
        <is>
          <t>Blocked</t>
        </is>
      </c>
      <c r="J22" s="108" t="n">
        <v>3</v>
      </c>
      <c r="K22" s="109" t="n"/>
      <c r="L22" s="109" t="n"/>
      <c r="M22" s="110" t="n"/>
      <c r="N22" s="81" t="n">
        <v>0</v>
      </c>
      <c r="O22" s="80" t="inlineStr">
        <is>
          <t>5S3-BE-02</t>
        </is>
      </c>
      <c r="P22" s="80" t="inlineStr">
        <is>
          <t>Access tokens are short-lived, refresh tokens rotate, a reused refresh token ends the session, and a player can sign out one device or all of them</t>
        </is>
      </c>
      <c r="Q22" s="82" t="inlineStr">
        <is>
          <t>Spec §29, §31</t>
        </is>
      </c>
    </row>
    <row r="23" ht="32.8" customHeight="1" s="75">
      <c r="A23" s="104" t="n">
        <v>18</v>
      </c>
      <c r="B23" s="105" t="inlineStr">
        <is>
          <t>5S3-INT-03</t>
        </is>
      </c>
      <c r="C23" s="81" t="n">
        <v>3</v>
      </c>
      <c r="D23" s="82" t="inlineStr">
        <is>
          <t>Sprint 3 · Player accounts and live connection</t>
        </is>
      </c>
      <c r="E23" s="138" t="inlineStr">
        <is>
          <t>INT</t>
        </is>
      </c>
      <c r="F23" s="120" t="inlineStr">
        <is>
          <t>Code</t>
        </is>
      </c>
      <c r="G23" s="80" t="inlineStr">
        <is>
          <t>Game socket connection</t>
        </is>
      </c>
      <c r="H23" s="107" t="inlineStr">
        <is>
          <t>A live connection, carried as 5S3-PMO-02 decides (default: WebSocket on the API, Postgres LISTEN/NOTIFY fan-out; or SpacetimeDB or a managed service). Token in the first message, never the URL; ping/pong and reconnect with back-off; pushes for feed changes, pause and kill switch, settings changes and revoked sessions; falls back to polling.</t>
        </is>
      </c>
      <c r="I23" s="108" t="inlineStr">
        <is>
          <t>Blocked</t>
        </is>
      </c>
      <c r="J23" s="108" t="n">
        <v>5</v>
      </c>
      <c r="K23" s="109" t="n"/>
      <c r="L23" s="109" t="n"/>
      <c r="M23" s="110" t="n"/>
      <c r="N23" s="81" t="n">
        <v>0</v>
      </c>
      <c r="O23" s="80" t="inlineStr">
        <is>
          <t>4S0-SEC-01, 5S3-PMO-02, 5S3-BE-06</t>
        </is>
      </c>
      <c r="P23" s="80" t="inlineStr">
        <is>
          <t>An authenticated game holds a live socket, receives a pause or feed change within seconds, reconnects on its own, falls back to polling, and an expired or revoked session is disconnected</t>
        </is>
      </c>
      <c r="Q23" s="82" t="inlineStr">
        <is>
          <t>Spec §28, §34</t>
        </is>
      </c>
    </row>
    <row r="24" ht="32.8" customHeight="1" s="75">
      <c r="A24" s="104" t="n">
        <v>19</v>
      </c>
      <c r="B24" s="105" t="inlineStr">
        <is>
          <t>5S3-INT-04</t>
        </is>
      </c>
      <c r="C24" s="81" t="n">
        <v>3</v>
      </c>
      <c r="D24" s="82" t="inlineStr">
        <is>
          <t>Sprint 3 · Player accounts and live connection</t>
        </is>
      </c>
      <c r="E24" s="138" t="inlineStr">
        <is>
          <t>INT</t>
        </is>
      </c>
      <c r="F24" s="120" t="inlineStr">
        <is>
          <t>Code</t>
        </is>
      </c>
      <c r="G24" s="80" t="inlineStr">
        <is>
          <t>In-game sign-up and login</t>
        </is>
      </c>
      <c r="H24" s="107" t="inlineStr">
        <is>
          <t>The game's screens: sign up, sign in with email, Google or Apple, the authenticator step, a clear message for each error code (including when a locked account unlocks), forgotten password, then open the socket.</t>
        </is>
      </c>
      <c r="I24" s="108" t="inlineStr">
        <is>
          <t>Blocked</t>
        </is>
      </c>
      <c r="J24" s="108" t="n">
        <v>5</v>
      </c>
      <c r="K24" s="109" t="n"/>
      <c r="L24" s="109" t="n"/>
      <c r="M24" s="110" t="n"/>
      <c r="N24" s="81" t="n">
        <v>0</v>
      </c>
      <c r="O24" s="80" t="inlineStr">
        <is>
          <t>5S3-BE-02, 5S3-BE-03, 5S3-BE-04, 5S3-INT-01, 5S3-INT-02, 5S3-INT-03</t>
        </is>
      </c>
      <c r="P24" s="80" t="inlineStr">
        <is>
          <t>A player signs up and signs in inside the game by each method, sees the right message for every refused login, and the game connects its socket after login</t>
        </is>
      </c>
      <c r="Q24" s="82" t="inlineStr">
        <is>
          <t>Spec §29</t>
        </is>
      </c>
    </row>
    <row r="25" ht="32.8" customHeight="1" s="75">
      <c r="A25" s="104" t="n">
        <v>20</v>
      </c>
      <c r="B25" s="105" t="inlineStr">
        <is>
          <t>5S3-QA-01</t>
        </is>
      </c>
      <c r="C25" s="81" t="n">
        <v>3</v>
      </c>
      <c r="D25" s="82" t="inlineStr">
        <is>
          <t>Sprint 3 · Player accounts and live connection</t>
        </is>
      </c>
      <c r="E25" s="138" t="inlineStr">
        <is>
          <t>QA</t>
        </is>
      </c>
      <c r="F25" s="120" t="inlineStr">
        <is>
          <t>Code</t>
        </is>
      </c>
      <c r="G25" s="80" t="inlineStr">
        <is>
          <t>Authentication security test</t>
        </is>
      </c>
      <c r="H25" s="107" t="inlineStr">
        <is>
          <t>OWASP ASVS Level 2: brute force and credential stuffing, account enumeration, token theft and replay, bypassing the authenticator, the socket's authentication; every finding fixed or recorded.</t>
        </is>
      </c>
      <c r="I25" s="108" t="inlineStr">
        <is>
          <t>Blocked</t>
        </is>
      </c>
      <c r="J25" s="108" t="n">
        <v>3</v>
      </c>
      <c r="K25" s="109" t="n"/>
      <c r="L25" s="109" t="n"/>
      <c r="M25" s="110" t="n"/>
      <c r="N25" s="81" t="n">
        <v>0</v>
      </c>
      <c r="O25" s="80" t="inlineStr">
        <is>
          <t>5S3-INT-04</t>
        </is>
      </c>
      <c r="P25" s="80" t="inlineStr">
        <is>
          <t>Every check passes, or each open finding is recorded with its risk and its owner</t>
        </is>
      </c>
      <c r="Q25" s="82" t="inlineStr">
        <is>
          <t>Spec §29, §31</t>
        </is>
      </c>
    </row>
    <row r="26" ht="32.8" customHeight="1" s="75">
      <c r="A26" s="104" t="n">
        <v>21</v>
      </c>
      <c r="B26" s="105" t="inlineStr">
        <is>
          <t>5S4-PMO-01</t>
        </is>
      </c>
      <c r="C26" s="81" t="n">
        <v>4</v>
      </c>
      <c r="D26" s="82" t="inlineStr">
        <is>
          <t>Sprint 4 · Telemetry at scale</t>
        </is>
      </c>
      <c r="E26" s="138" t="inlineStr">
        <is>
          <t>PMO</t>
        </is>
      </c>
      <c r="F26" s="120" t="inlineStr">
        <is>
          <t>Document</t>
        </is>
      </c>
      <c r="G26" s="80" t="inlineStr">
        <is>
          <t>Estimate telemetry volume and cost</t>
        </is>
      </c>
      <c r="H26" s="107" t="inlineStr">
        <is>
          <t>Formerly 4S0-PMO-03 (moved 2026-10-20: the game is parked). Virtual worlds emit far more events than a QR code does. Size the ingestion, storage and warehouse cost before committing to an architecture.</t>
        </is>
      </c>
      <c r="I26" s="108" t="inlineStr">
        <is>
          <t>Blocked</t>
        </is>
      </c>
      <c r="J26" s="108" t="n">
        <v>3</v>
      </c>
      <c r="K26" s="109" t="n"/>
      <c r="L26" s="109" t="n"/>
      <c r="M26" s="110" t="n"/>
      <c r="N26" s="81" t="n">
        <v>0</v>
      </c>
      <c r="O26" s="80" t="inlineStr">
        <is>
          <t>4S0-PMO-01</t>
        </is>
      </c>
      <c r="P26" s="80" t="inlineStr">
        <is>
          <t>Event volume estimated per concurrent user with an infrastructure cost model</t>
        </is>
      </c>
      <c r="Q26" s="82" t="inlineStr">
        <is>
          <t>Spec §31, §38</t>
        </is>
      </c>
    </row>
    <row r="27" ht="23.85" customHeight="1" s="75">
      <c r="A27" s="104" t="n">
        <v>22</v>
      </c>
      <c r="B27" s="105" t="inlineStr">
        <is>
          <t>5S4-BE-01</t>
        </is>
      </c>
      <c r="C27" s="81" t="n">
        <v>4</v>
      </c>
      <c r="D27" s="82" t="inlineStr">
        <is>
          <t>Sprint 4 · Telemetry at scale</t>
        </is>
      </c>
      <c r="E27" s="138" t="inlineStr">
        <is>
          <t>BE</t>
        </is>
      </c>
      <c r="F27" s="120" t="inlineStr">
        <is>
          <t>Code</t>
        </is>
      </c>
      <c r="G27" s="80" t="inlineStr">
        <is>
          <t>Idempotent de-duplication</t>
        </is>
      </c>
      <c r="H27" s="107" t="inlineStr">
        <is>
          <t>Formerly 4S4-BE-03 (moved 2026-10-20: the game is parked). Clients retry. Networks duplicate. Duplicate telemetry must never inflate a sponsor's numbers — this is billing data.</t>
        </is>
      </c>
      <c r="I27" s="108" t="inlineStr">
        <is>
          <t>Blocked</t>
        </is>
      </c>
      <c r="J27" s="108" t="n">
        <v>5</v>
      </c>
      <c r="K27" s="109" t="n"/>
      <c r="L27" s="109" t="n"/>
      <c r="M27" s="110" t="n"/>
      <c r="N27" s="81" t="n">
        <v>0</v>
      </c>
      <c r="O27" s="80" t="inlineStr">
        <is>
          <t>4S4-BE-01</t>
        </is>
      </c>
      <c r="P27" s="80" t="inlineStr">
        <is>
          <t>Repeated duplicate telemetry does not inflate sponsor reports</t>
        </is>
      </c>
      <c r="Q27" s="82" t="inlineStr">
        <is>
          <t>Spec §34</t>
        </is>
      </c>
    </row>
    <row r="28" ht="23.85" customHeight="1" s="75">
      <c r="A28" s="104" t="n">
        <v>23</v>
      </c>
      <c r="B28" s="105" t="inlineStr">
        <is>
          <t>5S4-OPS-01</t>
        </is>
      </c>
      <c r="C28" s="81" t="n">
        <v>4</v>
      </c>
      <c r="D28" s="82" t="inlineStr">
        <is>
          <t>Sprint 4 · Telemetry at scale</t>
        </is>
      </c>
      <c r="E28" s="138" t="inlineStr">
        <is>
          <t>OPS</t>
        </is>
      </c>
      <c r="F28" s="120" t="inlineStr">
        <is>
          <t>Vendor console</t>
        </is>
      </c>
      <c r="G28" s="80" t="inlineStr">
        <is>
          <t>Event streaming and buffering</t>
        </is>
      </c>
      <c r="H28" s="107" t="inlineStr">
        <is>
          <t>Formerly 4S4-OPS-01 (moved 2026-10-20: the game is parked). A queue in front of ingestion so a traffic burst in-world does not drop sponsorship data.</t>
        </is>
      </c>
      <c r="I28" s="108" t="inlineStr">
        <is>
          <t>Blocked</t>
        </is>
      </c>
      <c r="J28" s="108" t="n">
        <v>5</v>
      </c>
      <c r="K28" s="109" t="n"/>
      <c r="L28" s="109" t="n"/>
      <c r="M28" s="110" t="n"/>
      <c r="N28" s="81" t="n">
        <v>0</v>
      </c>
      <c r="O28" s="80" t="inlineStr">
        <is>
          <t>4S4-BE-01</t>
        </is>
      </c>
      <c r="P28" s="80" t="inlineStr">
        <is>
          <t>Ingestion sustains the agreed burst rate with buffering and no event loss</t>
        </is>
      </c>
      <c r="Q28" s="82" t="inlineStr">
        <is>
          <t>Spec §31, §38</t>
        </is>
      </c>
    </row>
    <row r="29" ht="23.85" customHeight="1" s="75">
      <c r="A29" s="104" t="n">
        <v>24</v>
      </c>
      <c r="B29" s="105" t="inlineStr">
        <is>
          <t>5S4-OPS-02</t>
        </is>
      </c>
      <c r="C29" s="81" t="n">
        <v>4</v>
      </c>
      <c r="D29" s="82" t="inlineStr">
        <is>
          <t>Sprint 4 · Telemetry at scale</t>
        </is>
      </c>
      <c r="E29" s="138" t="inlineStr">
        <is>
          <t>OPS</t>
        </is>
      </c>
      <c r="F29" s="120" t="inlineStr">
        <is>
          <t>Code</t>
        </is>
      </c>
      <c r="G29" s="80" t="inlineStr">
        <is>
          <t>Load test event ingestion and dashboards</t>
        </is>
      </c>
      <c r="H29" s="107" t="inlineStr">
        <is>
          <t>Formerly 4S8-OPS-01 (moved 2026-10-20: the game is parked). Prove the throughput and dashboard latency targets hold at expected Phase 4 traffic, before a pilot world goes live.</t>
        </is>
      </c>
      <c r="I29" s="108" t="inlineStr">
        <is>
          <t>Blocked</t>
        </is>
      </c>
      <c r="J29" s="108" t="n">
        <v>5</v>
      </c>
      <c r="K29" s="109" t="n"/>
      <c r="L29" s="109" t="n"/>
      <c r="M29" s="110" t="n"/>
      <c r="N29" s="81" t="n">
        <v>0</v>
      </c>
      <c r="O29" s="80" t="inlineStr">
        <is>
          <t>5S4-OPS-01</t>
        </is>
      </c>
      <c r="P29" s="80" t="inlineStr">
        <is>
          <t>Load test meets the agreed ingestion throughput and dashboard latency targets</t>
        </is>
      </c>
      <c r="Q29" s="82" t="inlineStr">
        <is>
          <t>Spec §34</t>
        </is>
      </c>
    </row>
    <row r="30" ht="23.85" customHeight="1" s="75">
      <c r="A30" s="104" t="n">
        <v>25</v>
      </c>
      <c r="B30" s="105" t="inlineStr">
        <is>
          <t>5S5-BE-01</t>
        </is>
      </c>
      <c r="C30" s="81" t="n">
        <v>5</v>
      </c>
      <c r="D30" s="82" t="inlineStr">
        <is>
          <t>Sprint 5 · Viewability, metrics and pricing</t>
        </is>
      </c>
      <c r="E30" s="138" t="inlineStr">
        <is>
          <t>BE</t>
        </is>
      </c>
      <c r="F30" s="120" t="inlineStr">
        <is>
          <t>Code</t>
        </is>
      </c>
      <c r="G30" s="80" t="inlineStr">
        <is>
          <t>Viewability rule engine</t>
        </is>
      </c>
      <c r="H30" s="107" t="inlineStr">
        <is>
          <t>Formerly 4S5-BE-01 (moved 2026-10-20: the game is parked). Versioned rules — minimum visible percentage and minimum dwell — decide which renders count as viewable impressions.</t>
        </is>
      </c>
      <c r="I30" s="108" t="inlineStr">
        <is>
          <t>Blocked</t>
        </is>
      </c>
      <c r="J30" s="108" t="n">
        <v>5</v>
      </c>
      <c r="K30" s="109" t="n"/>
      <c r="L30" s="109" t="n"/>
      <c r="M30" s="110" t="n"/>
      <c r="N30" s="81" t="n">
        <v>0</v>
      </c>
      <c r="O30" s="80" t="inlineStr">
        <is>
          <t>4S4-DATA-01</t>
        </is>
      </c>
      <c r="P30" s="80" t="inlineStr">
        <is>
          <t>Viewable impressions are calculated per versioned rule and remain distinct from gross renders</t>
        </is>
      </c>
      <c r="Q30" s="82" t="inlineStr">
        <is>
          <t>Spec §30, §34</t>
        </is>
      </c>
    </row>
    <row r="31" ht="23.85" customHeight="1" s="75">
      <c r="A31" s="104" t="n">
        <v>26</v>
      </c>
      <c r="B31" s="105" t="inlineStr">
        <is>
          <t>5S5-DATA-01</t>
        </is>
      </c>
      <c r="C31" s="81" t="n">
        <v>5</v>
      </c>
      <c r="D31" s="82" t="inlineStr">
        <is>
          <t>Sprint 5 · Viewability, metrics and pricing</t>
        </is>
      </c>
      <c r="E31" s="138" t="inlineStr">
        <is>
          <t>DATA</t>
        </is>
      </c>
      <c r="F31" s="120" t="inlineStr">
        <is>
          <t>Code</t>
        </is>
      </c>
      <c r="G31" s="80" t="inlineStr">
        <is>
          <t>Virtual metric aggregation job</t>
        </is>
      </c>
      <c r="H31" s="107" t="inlineStr">
        <is>
          <t>Formerly 4S5-DATA-01 (moved 2026-10-20: the game is parked). Visits, gross impressions, viewable impressions, dwell, interactions, challenge metrics and session-level uniques.</t>
        </is>
      </c>
      <c r="I31" s="108" t="inlineStr">
        <is>
          <t>Blocked</t>
        </is>
      </c>
      <c r="J31" s="108" t="n">
        <v>5</v>
      </c>
      <c r="K31" s="109" t="n"/>
      <c r="L31" s="109" t="n"/>
      <c r="M31" s="110" t="n"/>
      <c r="N31" s="81" t="n">
        <v>0</v>
      </c>
      <c r="O31" s="80" t="inlineStr">
        <is>
          <t>5S5-BE-01</t>
        </is>
      </c>
      <c r="P31" s="80" t="inlineStr">
        <is>
          <t>Aggregates compute on schedule and dashboards read aggregates, never raw telemetry</t>
        </is>
      </c>
      <c r="Q31" s="82" t="inlineStr">
        <is>
          <t>Spec §27.3</t>
        </is>
      </c>
    </row>
    <row r="32" ht="22.35" customHeight="1" s="75">
      <c r="A32" s="104" t="n">
        <v>27</v>
      </c>
      <c r="B32" s="105" t="inlineStr">
        <is>
          <t>5S5-DATA-02</t>
        </is>
      </c>
      <c r="C32" s="81" t="n">
        <v>5</v>
      </c>
      <c r="D32" s="82" t="inlineStr">
        <is>
          <t>Sprint 5 · Viewability, metrics and pricing</t>
        </is>
      </c>
      <c r="E32" s="138" t="inlineStr">
        <is>
          <t>DATA</t>
        </is>
      </c>
      <c r="F32" s="120" t="inlineStr">
        <is>
          <t>Code</t>
        </is>
      </c>
      <c r="G32" s="80" t="inlineStr">
        <is>
          <t>World traffic benchmarks</t>
        </is>
      </c>
      <c r="H32" s="107" t="inlineStr">
        <is>
          <t>Formerly 4S5-DATA-02 (moved 2026-10-20: the game is parked). Baseline visits, dwell and interaction rates per world and zone — the inputs to virtual pricing.</t>
        </is>
      </c>
      <c r="I32" s="108" t="inlineStr">
        <is>
          <t>Blocked</t>
        </is>
      </c>
      <c r="J32" s="108" t="n">
        <v>3</v>
      </c>
      <c r="K32" s="109" t="n"/>
      <c r="L32" s="109" t="n"/>
      <c r="M32" s="110" t="n"/>
      <c r="N32" s="81" t="n">
        <v>0</v>
      </c>
      <c r="O32" s="80" t="inlineStr">
        <is>
          <t>5S5-DATA-01</t>
        </is>
      </c>
      <c r="P32" s="80" t="inlineStr">
        <is>
          <t>Traffic benchmarks compute per world and zone</t>
        </is>
      </c>
      <c r="Q32" s="82" t="inlineStr">
        <is>
          <t>Spec §30, §32</t>
        </is>
      </c>
    </row>
    <row r="33" ht="23.85" customHeight="1" s="75">
      <c r="A33" s="104" t="n">
        <v>28</v>
      </c>
      <c r="B33" s="105" t="inlineStr">
        <is>
          <t>5S5-FE-01</t>
        </is>
      </c>
      <c r="C33" s="81" t="n">
        <v>5</v>
      </c>
      <c r="D33" s="82" t="inlineStr">
        <is>
          <t>Sprint 5 · Viewability, metrics and pricing</t>
        </is>
      </c>
      <c r="E33" s="138" t="inlineStr">
        <is>
          <t>FE</t>
        </is>
      </c>
      <c r="F33" s="120" t="inlineStr">
        <is>
          <t>Code</t>
        </is>
      </c>
      <c r="G33" s="80" t="inlineStr">
        <is>
          <t>Build the virtual metrics dashboard</t>
        </is>
      </c>
      <c r="H33" s="107" t="inlineStr">
        <is>
          <t>Formerly 4S5-FE-01 (moved 2026-10-20: the game is parked). Visits, impressions, viewable impressions, dwell, interactions, completion and the reward funnel.</t>
        </is>
      </c>
      <c r="I33" s="108" t="inlineStr">
        <is>
          <t>Blocked</t>
        </is>
      </c>
      <c r="J33" s="108" t="n">
        <v>5</v>
      </c>
      <c r="K33" s="109" t="n"/>
      <c r="L33" s="109" t="n"/>
      <c r="M33" s="110" t="n"/>
      <c r="N33" s="81" t="n">
        <v>0</v>
      </c>
      <c r="O33" s="80" t="inlineStr">
        <is>
          <t>5S5-DATA-01</t>
        </is>
      </c>
      <c r="P33" s="80" t="inlineStr">
        <is>
          <t>Dashboard renders virtual delivery with gross and viewable clearly separated</t>
        </is>
      </c>
      <c r="Q33" s="82" t="inlineStr">
        <is>
          <t>Spec §26 P4-07</t>
        </is>
      </c>
    </row>
    <row r="34" ht="23.85" customHeight="1" s="75">
      <c r="A34" s="104" t="n">
        <v>29</v>
      </c>
      <c r="B34" s="105" t="inlineStr">
        <is>
          <t>5S5-BE-02</t>
        </is>
      </c>
      <c r="C34" s="81" t="n">
        <v>5</v>
      </c>
      <c r="D34" s="82" t="inlineStr">
        <is>
          <t>Sprint 5 · Viewability, metrics and pricing</t>
        </is>
      </c>
      <c r="E34" s="138" t="inlineStr">
        <is>
          <t>BE</t>
        </is>
      </c>
      <c r="F34" s="120" t="inlineStr">
        <is>
          <t>Code</t>
        </is>
      </c>
      <c r="G34" s="80" t="inlineStr">
        <is>
          <t>Virtual pricing model</t>
        </is>
      </c>
      <c r="H34" s="107" t="inlineStr">
        <is>
          <t>Formerly 4S5-BE-02 (moved 2026-10-20: the game is parked). Rules-based and transparent first: base rate × traffic × viewability × dwell × scarcity × exclusivity × seasonality × integration depth.</t>
        </is>
      </c>
      <c r="I34" s="108" t="inlineStr">
        <is>
          <t>Blocked</t>
        </is>
      </c>
      <c r="J34" s="108" t="n">
        <v>5</v>
      </c>
      <c r="K34" s="109" t="n"/>
      <c r="L34" s="109" t="n"/>
      <c r="M34" s="110" t="n"/>
      <c r="N34" s="81" t="n">
        <v>0</v>
      </c>
      <c r="O34" s="80" t="inlineStr">
        <is>
          <t>5S5-DATA-02</t>
        </is>
      </c>
      <c r="P34" s="80" t="inlineStr">
        <is>
          <t>A virtual placement produces a recommended rate with its factor breakdown visible</t>
        </is>
      </c>
      <c r="Q34" s="82" t="inlineStr">
        <is>
          <t>Spec §32</t>
        </is>
      </c>
    </row>
    <row r="35" ht="23.85" customHeight="1" s="75">
      <c r="A35" s="104" t="n">
        <v>30</v>
      </c>
      <c r="B35" s="105" t="inlineStr">
        <is>
          <t>5S6-BE-01</t>
        </is>
      </c>
      <c r="C35" s="81" t="n">
        <v>6</v>
      </c>
      <c r="D35" s="82" t="inlineStr">
        <is>
          <t>Sprint 6 · In-world activations and rewards</t>
        </is>
      </c>
      <c r="E35" s="138" t="inlineStr">
        <is>
          <t>BE</t>
        </is>
      </c>
      <c r="F35" s="120" t="inlineStr">
        <is>
          <t>Code</t>
        </is>
      </c>
      <c r="G35" s="80" t="inlineStr">
        <is>
          <t>Activation definition model</t>
        </is>
      </c>
      <c r="H35" s="107" t="inlineStr">
        <is>
          <t>Formerly 4S6-BE-01 (moved 2026-10-20: the game is parked). Challenges, quests, scavenger hunts, skill tests, product discovery and sponsor booths, with start conditions, completion criteria and reward triggers.</t>
        </is>
      </c>
      <c r="I35" s="108" t="inlineStr">
        <is>
          <t>Blocked</t>
        </is>
      </c>
      <c r="J35" s="108" t="n">
        <v>5</v>
      </c>
      <c r="K35" s="109" t="n"/>
      <c r="L35" s="109" t="n"/>
      <c r="M35" s="110" t="n"/>
      <c r="N35" s="81" t="n">
        <v>0</v>
      </c>
      <c r="O35" s="80" t="inlineStr">
        <is>
          <t>4S2-BE-01</t>
        </is>
      </c>
      <c r="P35" s="80" t="inlineStr">
        <is>
          <t>An activation can be defined with rules, completion criteria and a linked reward</t>
        </is>
      </c>
      <c r="Q35" s="82" t="inlineStr">
        <is>
          <t>Spec §30</t>
        </is>
      </c>
    </row>
    <row r="36" ht="23.85" customHeight="1" s="75">
      <c r="A36" s="104" t="n">
        <v>31</v>
      </c>
      <c r="B36" s="105" t="inlineStr">
        <is>
          <t>5S6-BE-02</t>
        </is>
      </c>
      <c r="C36" s="81" t="n">
        <v>6</v>
      </c>
      <c r="D36" s="82" t="inlineStr">
        <is>
          <t>Sprint 6 · In-world activations and rewards</t>
        </is>
      </c>
      <c r="E36" s="138" t="inlineStr">
        <is>
          <t>BE</t>
        </is>
      </c>
      <c r="F36" s="120" t="inlineStr">
        <is>
          <t>Code</t>
        </is>
      </c>
      <c r="G36" s="80" t="inlineStr">
        <is>
          <t>Activation start and complete flow</t>
        </is>
      </c>
      <c r="H36" s="107" t="inlineStr">
        <is>
          <t>Formerly 4S6-BE-02 (moved 2026-10-20: the game is parked). Validate completion against activation, session and user constraints before anything is awarded.</t>
        </is>
      </c>
      <c r="I36" s="108" t="inlineStr">
        <is>
          <t>Blocked</t>
        </is>
      </c>
      <c r="J36" s="108" t="n">
        <v>5</v>
      </c>
      <c r="K36" s="109" t="n"/>
      <c r="L36" s="109" t="n"/>
      <c r="M36" s="110" t="n"/>
      <c r="N36" s="81" t="n">
        <v>0</v>
      </c>
      <c r="O36" s="80" t="inlineStr">
        <is>
          <t>5S6-BE-01</t>
        </is>
      </c>
      <c r="P36" s="80" t="inlineStr">
        <is>
          <t>Activation can start and complete, validated against its eligibility rules</t>
        </is>
      </c>
      <c r="Q36" s="82" t="inlineStr">
        <is>
          <t>Spec §27.4</t>
        </is>
      </c>
    </row>
    <row r="37" ht="23.85" customHeight="1" s="75">
      <c r="A37" s="104" t="n">
        <v>32</v>
      </c>
      <c r="B37" s="105" t="inlineStr">
        <is>
          <t>5S6-BE-03</t>
        </is>
      </c>
      <c r="C37" s="81" t="n">
        <v>6</v>
      </c>
      <c r="D37" s="82" t="inlineStr">
        <is>
          <t>Sprint 6 · In-world activations and rewards</t>
        </is>
      </c>
      <c r="E37" s="138" t="inlineStr">
        <is>
          <t>BE</t>
        </is>
      </c>
      <c r="F37" s="120" t="inlineStr">
        <is>
          <t>Code</t>
        </is>
      </c>
      <c r="G37" s="80" t="inlineStr">
        <is>
          <t>Reward trigger with exactly-once guarantee</t>
        </is>
      </c>
      <c r="H37" s="107" t="inlineStr">
        <is>
          <t>Formerly 4S6-BE-03 (moved 2026-10-20: the game is parked). The in-world equivalent of Phase 1's single-use QR redemption, and it needs the same database-level guarantee rather than application logic.</t>
        </is>
      </c>
      <c r="I37" s="108" t="inlineStr">
        <is>
          <t>Blocked</t>
        </is>
      </c>
      <c r="J37" s="108" t="n">
        <v>5</v>
      </c>
      <c r="K37" s="109" t="n"/>
      <c r="L37" s="109" t="n"/>
      <c r="M37" s="110" t="n"/>
      <c r="N37" s="81" t="n">
        <v>0</v>
      </c>
      <c r="O37" s="80" t="inlineStr">
        <is>
          <t>5S6-BE-02</t>
        </is>
      </c>
      <c r="P37" s="80" t="inlineStr">
        <is>
          <t>An activation triggers a SponsorX reward exactly once per configured eligibility rule</t>
        </is>
      </c>
      <c r="Q37" s="82" t="inlineStr">
        <is>
          <t>Spec §34</t>
        </is>
      </c>
    </row>
    <row r="38" ht="23.85" customHeight="1" s="75">
      <c r="A38" s="104" t="n">
        <v>33</v>
      </c>
      <c r="B38" s="105" t="inlineStr">
        <is>
          <t>5S6-INT-01</t>
        </is>
      </c>
      <c r="C38" s="81" t="n">
        <v>6</v>
      </c>
      <c r="D38" s="82" t="inlineStr">
        <is>
          <t>Sprint 6 · In-world activations and rewards</t>
        </is>
      </c>
      <c r="E38" s="138" t="inlineStr">
        <is>
          <t>INT</t>
        </is>
      </c>
      <c r="F38" s="120" t="inlineStr">
        <is>
          <t>Code</t>
        </is>
      </c>
      <c r="G38" s="80" t="inlineStr">
        <is>
          <t>Wire in-world rewards to the wallet service</t>
        </is>
      </c>
      <c r="H38" s="107" t="inlineStr">
        <is>
          <t>Formerly 4S6-INT-01 (moved 2026-10-20: the game is parked). Completion produces a claim token and deep link; the fan receives it in-world and optionally by wallet, SMS or email.</t>
        </is>
      </c>
      <c r="I38" s="108" t="inlineStr">
        <is>
          <t>Blocked</t>
        </is>
      </c>
      <c r="J38" s="108" t="n">
        <v>3</v>
      </c>
      <c r="K38" s="109" t="n"/>
      <c r="L38" s="109" t="n"/>
      <c r="M38" s="110" t="n"/>
      <c r="N38" s="81" t="n">
        <v>0</v>
      </c>
      <c r="O38" s="80" t="inlineStr">
        <is>
          <t>5S6-BE-03</t>
        </is>
      </c>
      <c r="P38" s="80" t="inlineStr">
        <is>
          <t>A completed activation delivers a reward through the existing reward and wallet services</t>
        </is>
      </c>
      <c r="Q38" s="82" t="inlineStr">
        <is>
          <t>Spec §27.4</t>
        </is>
      </c>
    </row>
    <row r="39" ht="23.85" customHeight="1" s="75">
      <c r="A39" s="104" t="n">
        <v>34</v>
      </c>
      <c r="B39" s="105" t="inlineStr">
        <is>
          <t>5S6-FE-01</t>
        </is>
      </c>
      <c r="C39" s="81" t="n">
        <v>6</v>
      </c>
      <c r="D39" s="82" t="inlineStr">
        <is>
          <t>Sprint 6 · In-world activations and rewards</t>
        </is>
      </c>
      <c r="E39" s="138" t="inlineStr">
        <is>
          <t>FE</t>
        </is>
      </c>
      <c r="F39" s="120" t="inlineStr">
        <is>
          <t>Code</t>
        </is>
      </c>
      <c r="G39" s="80" t="inlineStr">
        <is>
          <t>Build the activation builder</t>
        </is>
      </c>
      <c r="H39" s="107" t="inlineStr">
        <is>
          <t>Formerly 4S6-FE-01 (moved 2026-10-20: the game is parked). Challenge rules, start condition, completion criteria, reward trigger and sponsor content.</t>
        </is>
      </c>
      <c r="I39" s="108" t="inlineStr">
        <is>
          <t>Blocked</t>
        </is>
      </c>
      <c r="J39" s="108" t="n">
        <v>5</v>
      </c>
      <c r="K39" s="109" t="n"/>
      <c r="L39" s="109" t="n"/>
      <c r="M39" s="110" t="n"/>
      <c r="N39" s="81" t="n">
        <v>0</v>
      </c>
      <c r="O39" s="80" t="inlineStr">
        <is>
          <t>5S8-ART-01</t>
        </is>
      </c>
      <c r="P39" s="80" t="inlineStr">
        <is>
          <t>A campaign manager can build and publish an activation without engineering help</t>
        </is>
      </c>
      <c r="Q39" s="82" t="inlineStr">
        <is>
          <t>Spec §26 P4-06</t>
        </is>
      </c>
    </row>
    <row r="40" ht="23.85" customHeight="1" s="75">
      <c r="A40" s="104" t="n">
        <v>35</v>
      </c>
      <c r="B40" s="105" t="inlineStr">
        <is>
          <t>5S7-DATA-01</t>
        </is>
      </c>
      <c r="C40" s="81" t="n">
        <v>7</v>
      </c>
      <c r="D40" s="82" t="inlineStr">
        <is>
          <t>Sprint 7 · Game reporting and operations</t>
        </is>
      </c>
      <c r="E40" s="138" t="inlineStr">
        <is>
          <t>DATA</t>
        </is>
      </c>
      <c r="F40" s="120" t="inlineStr">
        <is>
          <t>Code</t>
        </is>
      </c>
      <c r="G40" s="80" t="inlineStr">
        <is>
          <t>Cross-channel aggregation without double counting</t>
        </is>
      </c>
      <c r="H40" s="107" t="inlineStr">
        <is>
          <t>Formerly 4S7-DATA-01 (moved 2026-10-20: the game is parked). The hard part. A fan who scans a QR and completes an in-world challenge is one person, and must not be counted twice.</t>
        </is>
      </c>
      <c r="I40" s="108" t="inlineStr">
        <is>
          <t>Blocked</t>
        </is>
      </c>
      <c r="J40" s="108" t="n">
        <v>5</v>
      </c>
      <c r="K40" s="109" t="n"/>
      <c r="L40" s="109" t="n"/>
      <c r="M40" s="110" t="n"/>
      <c r="N40" s="81" t="n">
        <v>0</v>
      </c>
      <c r="O40" s="80" t="inlineStr">
        <is>
          <t>4S7-BE-01</t>
        </is>
      </c>
      <c r="P40" s="80" t="inlineStr">
        <is>
          <t>Cross-channel dashboard shows INFINEX metrics alongside other channels without double counting</t>
        </is>
      </c>
      <c r="Q40" s="82" t="inlineStr">
        <is>
          <t>Spec §34</t>
        </is>
      </c>
    </row>
    <row r="41" ht="23.85" customHeight="1" s="75">
      <c r="A41" s="104" t="n">
        <v>36</v>
      </c>
      <c r="B41" s="105" t="inlineStr">
        <is>
          <t>5S7-FE-01</t>
        </is>
      </c>
      <c r="C41" s="81" t="n">
        <v>7</v>
      </c>
      <c r="D41" s="82" t="inlineStr">
        <is>
          <t>Sprint 7 · Game reporting and operations</t>
        </is>
      </c>
      <c r="E41" s="138" t="inlineStr">
        <is>
          <t>FE</t>
        </is>
      </c>
      <c r="F41" s="120" t="inlineStr">
        <is>
          <t>Code</t>
        </is>
      </c>
      <c r="G41" s="80" t="inlineStr">
        <is>
          <t>Build the cross-channel campaign dashboard</t>
        </is>
      </c>
      <c r="H41" s="107" t="inlineStr">
        <is>
          <t>Formerly 4S7-FE-01 (moved 2026-10-20: the game is parked). Compare INFINEX against social, streaming, event and athlete inventory in one view.</t>
        </is>
      </c>
      <c r="I41" s="108" t="inlineStr">
        <is>
          <t>Blocked</t>
        </is>
      </c>
      <c r="J41" s="108" t="n">
        <v>5</v>
      </c>
      <c r="K41" s="109" t="n"/>
      <c r="L41" s="109" t="n"/>
      <c r="M41" s="110" t="n"/>
      <c r="N41" s="81" t="n">
        <v>0</v>
      </c>
      <c r="O41" s="80" t="inlineStr">
        <is>
          <t>5S7-DATA-01</t>
        </is>
      </c>
      <c r="P41" s="80" t="inlineStr">
        <is>
          <t>Dashboard compares all channels on consistent metrics</t>
        </is>
      </c>
      <c r="Q41" s="82" t="inlineStr">
        <is>
          <t>Spec §26 P4-08</t>
        </is>
      </c>
    </row>
    <row r="42" ht="22.35" customHeight="1" s="75">
      <c r="A42" s="104" t="n">
        <v>37</v>
      </c>
      <c r="B42" s="105" t="inlineStr">
        <is>
          <t>5S7-FE-02</t>
        </is>
      </c>
      <c r="C42" s="81" t="n">
        <v>7</v>
      </c>
      <c r="D42" s="82" t="inlineStr">
        <is>
          <t>Sprint 7 · Game reporting and operations</t>
        </is>
      </c>
      <c r="E42" s="138" t="inlineStr">
        <is>
          <t>FE</t>
        </is>
      </c>
      <c r="F42" s="120" t="inlineStr">
        <is>
          <t>Code</t>
        </is>
      </c>
      <c r="G42" s="80" t="inlineStr">
        <is>
          <t>Build the sponsor activation report</t>
        </is>
      </c>
      <c r="H42" s="107" t="inlineStr">
        <is>
          <t>Formerly 4S7-FE-02 (moved 2026-10-20: the game is parked). Virtual activation summary with content, engagement, rewards, screenshots and proofs, and recommended next actions.</t>
        </is>
      </c>
      <c r="I42" s="108" t="inlineStr">
        <is>
          <t>Blocked</t>
        </is>
      </c>
      <c r="J42" s="108" t="n">
        <v>5</v>
      </c>
      <c r="K42" s="109" t="n"/>
      <c r="L42" s="109" t="n"/>
      <c r="M42" s="110" t="n"/>
      <c r="N42" s="81" t="n">
        <v>0</v>
      </c>
      <c r="O42" s="80" t="inlineStr">
        <is>
          <t>5S5-FE-01</t>
        </is>
      </c>
      <c r="P42" s="80" t="inlineStr">
        <is>
          <t>A pilot sponsor receives a report with virtual delivery, interaction, reward funnel and creative proof</t>
        </is>
      </c>
      <c r="Q42" s="82" t="inlineStr">
        <is>
          <t>Spec §26 P4-11, §34</t>
        </is>
      </c>
    </row>
    <row r="43" ht="23.85" customHeight="1" s="75">
      <c r="A43" s="104" t="n">
        <v>38</v>
      </c>
      <c r="B43" s="105" t="inlineStr">
        <is>
          <t>5S7-FE-03</t>
        </is>
      </c>
      <c r="C43" s="81" t="n">
        <v>7</v>
      </c>
      <c r="D43" s="82" t="inlineStr">
        <is>
          <t>Sprint 7 · Game reporting and operations</t>
        </is>
      </c>
      <c r="E43" s="138" t="inlineStr">
        <is>
          <t>FE</t>
        </is>
      </c>
      <c r="F43" s="120" t="inlineStr">
        <is>
          <t>Code</t>
        </is>
      </c>
      <c r="G43" s="80" t="inlineStr">
        <is>
          <t>Build the world heatmap and zone insights</t>
        </is>
      </c>
      <c r="H43" s="107" t="inlineStr">
        <is>
          <t>Formerly 4S7-FE-03 (moved 2026-10-20: the game is parked). Aggregated zone traffic and engagement, where INFINEX telemetry supports it.</t>
        </is>
      </c>
      <c r="I43" s="108" t="inlineStr">
        <is>
          <t>Blocked</t>
        </is>
      </c>
      <c r="J43" s="108" t="n">
        <v>5</v>
      </c>
      <c r="K43" s="109" t="n"/>
      <c r="L43" s="109" t="n"/>
      <c r="M43" s="110" t="n"/>
      <c r="N43" s="81" t="n">
        <v>0</v>
      </c>
      <c r="O43" s="80" t="inlineStr">
        <is>
          <t>5S5-DATA-02</t>
        </is>
      </c>
      <c r="P43" s="80" t="inlineStr">
        <is>
          <t>Heatmap renders zone-level traffic and engagement</t>
        </is>
      </c>
      <c r="Q43" s="82" t="inlineStr">
        <is>
          <t>Spec §26 P4-12</t>
        </is>
      </c>
    </row>
    <row r="44" ht="22.35" customHeight="1" s="75">
      <c r="A44" s="104" t="n">
        <v>39</v>
      </c>
      <c r="B44" s="105" t="inlineStr">
        <is>
          <t>5S7-FE-04</t>
        </is>
      </c>
      <c r="C44" s="81" t="n">
        <v>7</v>
      </c>
      <c r="D44" s="82" t="inlineStr">
        <is>
          <t>Sprint 7 · Game reporting and operations</t>
        </is>
      </c>
      <c r="E44" s="138" t="inlineStr">
        <is>
          <t>FE</t>
        </is>
      </c>
      <c r="F44" s="120" t="inlineStr">
        <is>
          <t>Code</t>
        </is>
      </c>
      <c r="G44" s="80" t="inlineStr">
        <is>
          <t>Build the INFINEX operations console</t>
        </is>
      </c>
      <c r="H44" s="107" t="inlineStr">
        <is>
          <t>Formerly 4S8-FE-01 (moved 2026-10-20: the game is parked). Health, event lag, placement failures, creative mismatch, kill switch and incident log.</t>
        </is>
      </c>
      <c r="I44" s="108" t="inlineStr">
        <is>
          <t>Blocked</t>
        </is>
      </c>
      <c r="J44" s="108" t="n">
        <v>5</v>
      </c>
      <c r="K44" s="109" t="n"/>
      <c r="L44" s="109" t="n"/>
      <c r="M44" s="110" t="n"/>
      <c r="N44" s="81" t="n">
        <v>0</v>
      </c>
      <c r="O44" s="80" t="inlineStr">
        <is>
          <t>4S3-INT-02</t>
        </is>
      </c>
      <c r="P44" s="80" t="inlineStr">
        <is>
          <t>Console displays event lag, client heartbeat, deployment failures and active incidents</t>
        </is>
      </c>
      <c r="Q44" s="82" t="inlineStr">
        <is>
          <t>Spec §26 P4-09, §34</t>
        </is>
      </c>
    </row>
    <row r="45" ht="23.85" customHeight="1" s="75">
      <c r="A45" s="104" t="n">
        <v>40</v>
      </c>
      <c r="B45" s="105" t="inlineStr">
        <is>
          <t>5S7-DATA-02</t>
        </is>
      </c>
      <c r="C45" s="81" t="n">
        <v>7</v>
      </c>
      <c r="D45" s="82" t="inlineStr">
        <is>
          <t>Sprint 7 · Game reporting and operations</t>
        </is>
      </c>
      <c r="E45" s="138" t="inlineStr">
        <is>
          <t>DATA</t>
        </is>
      </c>
      <c r="F45" s="120" t="inlineStr">
        <is>
          <t>Code</t>
        </is>
      </c>
      <c r="G45" s="80" t="inlineStr">
        <is>
          <t>Virtual fraud and anomaly checks</t>
        </is>
      </c>
      <c r="H45" s="107" t="inlineStr">
        <is>
          <t>Formerly 4S8-DATA-01 (moved 2026-10-20: the game is parked). Invalid or suspicious event patterns flagged before they reach a sponsor report — this is Phase 3's anomaly work applied to telemetry.</t>
        </is>
      </c>
      <c r="I45" s="108" t="inlineStr">
        <is>
          <t>Blocked</t>
        </is>
      </c>
      <c r="J45" s="108" t="n">
        <v>5</v>
      </c>
      <c r="K45" s="109" t="n"/>
      <c r="L45" s="109" t="n"/>
      <c r="M45" s="110" t="n"/>
      <c r="N45" s="81" t="n">
        <v>0</v>
      </c>
      <c r="O45" s="80" t="inlineStr">
        <is>
          <t>5S4-BE-01</t>
        </is>
      </c>
      <c r="P45" s="80" t="inlineStr">
        <is>
          <t>Suspicious event patterns are flagged and excluded from sponsor-facing aggregates</t>
        </is>
      </c>
      <c r="Q45" s="82" t="inlineStr">
        <is>
          <t>Spec §27.3</t>
        </is>
      </c>
    </row>
    <row r="46" ht="23.85" customHeight="1" s="75">
      <c r="A46" s="104" t="n">
        <v>41</v>
      </c>
      <c r="B46" s="105" t="inlineStr">
        <is>
          <t>5S8-ART-01</t>
        </is>
      </c>
      <c r="C46" s="81" t="n">
        <v>8</v>
      </c>
      <c r="D46" s="82" t="inlineStr">
        <is>
          <t>Sprint 8 · Virtual inventory screens, controls and launch</t>
        </is>
      </c>
      <c r="E46" s="138" t="inlineStr">
        <is>
          <t>ART</t>
        </is>
      </c>
      <c r="F46" s="120" t="inlineStr">
        <is>
          <t>Design tool</t>
        </is>
      </c>
      <c r="G46" s="80" t="inlineStr">
        <is>
          <t>Design the virtual admin and sponsor screens</t>
        </is>
      </c>
      <c r="H46" s="107" t="inlineStr">
        <is>
          <t>Formerly 4S0-ART-01 (moved 2026-10-20: the game is parked). Twelve new screens including placement preview metadata, activation builder and the world heatmap. Placement specs need a designer who understands 3D constraints.</t>
        </is>
      </c>
      <c r="I46" s="108" t="inlineStr">
        <is>
          <t>Code review</t>
        </is>
      </c>
      <c r="J46" s="108" t="n">
        <v>5</v>
      </c>
      <c r="K46" s="109" t="n">
        <v>46294</v>
      </c>
      <c r="L46" s="109" t="n"/>
      <c r="M46" s="110" t="inlineStr">
        <is>
          <t>rcfworks</t>
        </is>
      </c>
      <c r="N46" s="81" t="n">
        <v>0</v>
      </c>
      <c r="O46" s="80" t="inlineStr">
        <is>
          <t>4S0-PMO-02</t>
        </is>
      </c>
      <c r="P46" s="80" t="inlineStr">
        <is>
          <t>All 12 Phase 4 screens designed, with creative technical constraints specified per placement type</t>
        </is>
      </c>
      <c r="Q46" s="82" t="inlineStr">
        <is>
          <t>Spec §26</t>
        </is>
      </c>
      <c r="R46" s="74"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t>
        </is>
      </c>
    </row>
    <row r="47" ht="22.35" customHeight="1" s="75">
      <c r="A47" s="104" t="n">
        <v>42</v>
      </c>
      <c r="B47" s="105" t="inlineStr">
        <is>
          <t>5S8-FE-01</t>
        </is>
      </c>
      <c r="C47" s="81" t="n">
        <v>8</v>
      </c>
      <c r="D47" s="82" t="inlineStr">
        <is>
          <t>Sprint 8 · Virtual inventory screens, controls and launch</t>
        </is>
      </c>
      <c r="E47" s="138" t="inlineStr">
        <is>
          <t>FE</t>
        </is>
      </c>
      <c r="F47" s="120" t="inlineStr">
        <is>
          <t>Code</t>
        </is>
      </c>
      <c r="G47" s="80" t="inlineStr">
        <is>
          <t>Build the world registry screen</t>
        </is>
      </c>
      <c r="H47" s="107" t="inlineStr">
        <is>
          <t>Formerly 4S1-FE-01 (moved 2026-10-20: the game is parked). Worlds, districts, venues, zones, environment IDs and operational status.</t>
        </is>
      </c>
      <c r="I47" s="108" t="inlineStr">
        <is>
          <t>Blocked</t>
        </is>
      </c>
      <c r="J47" s="108" t="n">
        <v>3</v>
      </c>
      <c r="K47" s="109" t="n"/>
      <c r="L47" s="109" t="n"/>
      <c r="M47" s="110" t="n"/>
      <c r="N47" s="81" t="n">
        <v>0</v>
      </c>
      <c r="O47" s="80" t="inlineStr">
        <is>
          <t>5S8-ART-01</t>
        </is>
      </c>
      <c r="P47" s="80" t="inlineStr">
        <is>
          <t>Admin can register and manage worlds and zones</t>
        </is>
      </c>
      <c r="Q47" s="82" t="inlineStr">
        <is>
          <t>Spec §26 P4-01</t>
        </is>
      </c>
    </row>
    <row r="48" ht="23.85" customHeight="1" s="75">
      <c r="A48" s="104" t="n">
        <v>43</v>
      </c>
      <c r="B48" s="105" t="inlineStr">
        <is>
          <t>5S8-FE-02</t>
        </is>
      </c>
      <c r="C48" s="81" t="n">
        <v>8</v>
      </c>
      <c r="D48" s="82" t="inlineStr">
        <is>
          <t>Sprint 8 · Virtual inventory screens, controls and launch</t>
        </is>
      </c>
      <c r="E48" s="138" t="inlineStr">
        <is>
          <t>FE</t>
        </is>
      </c>
      <c r="F48" s="120" t="inlineStr">
        <is>
          <t>Code</t>
        </is>
      </c>
      <c r="G48" s="80" t="inlineStr">
        <is>
          <t>Build the placement manager</t>
        </is>
      </c>
      <c r="H48" s="107" t="inlineStr">
        <is>
          <t>Formerly 4S1-FE-02 (moved 2026-10-20: the game is parked). Placement IDs, dimensions and type, zone, viewability rules, dates and pricing.</t>
        </is>
      </c>
      <c r="I48" s="108" t="inlineStr">
        <is>
          <t>Blocked</t>
        </is>
      </c>
      <c r="J48" s="108" t="n">
        <v>5</v>
      </c>
      <c r="K48" s="109" t="n"/>
      <c r="L48" s="109" t="n"/>
      <c r="M48" s="110" t="n"/>
      <c r="N48" s="81" t="n">
        <v>0</v>
      </c>
      <c r="O48" s="80" t="inlineStr">
        <is>
          <t>4S1-BE-02</t>
        </is>
      </c>
      <c r="P48" s="80" t="inlineStr">
        <is>
          <t>Admin can create, configure and price placements</t>
        </is>
      </c>
      <c r="Q48" s="82" t="inlineStr">
        <is>
          <t>Spec §26 P4-02</t>
        </is>
      </c>
    </row>
    <row r="49" ht="23.85" customHeight="1" s="75">
      <c r="A49" s="104" t="n">
        <v>44</v>
      </c>
      <c r="B49" s="105" t="inlineStr">
        <is>
          <t>5S8-FE-03</t>
        </is>
      </c>
      <c r="C49" s="81" t="n">
        <v>8</v>
      </c>
      <c r="D49" s="82" t="inlineStr">
        <is>
          <t>Sprint 8 · Virtual inventory screens, controls and launch</t>
        </is>
      </c>
      <c r="E49" s="138" t="inlineStr">
        <is>
          <t>FE</t>
        </is>
      </c>
      <c r="F49" s="120" t="inlineStr">
        <is>
          <t>Code</t>
        </is>
      </c>
      <c r="G49" s="80" t="inlineStr">
        <is>
          <t>Build placement preview metadata</t>
        </is>
      </c>
      <c r="H49" s="107" t="inlineStr">
        <is>
          <t>Formerly 4S1-FE-03 (moved 2026-10-20: the game is parked). Thumbnail, orientation, allowed creative types, technical constraints and placement test status — so a sponsor knows what they are buying.</t>
        </is>
      </c>
      <c r="I49" s="108" t="inlineStr">
        <is>
          <t>Blocked</t>
        </is>
      </c>
      <c r="J49" s="108" t="n">
        <v>3</v>
      </c>
      <c r="K49" s="109" t="n"/>
      <c r="L49" s="109" t="n"/>
      <c r="M49" s="110" t="n"/>
      <c r="N49" s="81" t="n">
        <v>0</v>
      </c>
      <c r="O49" s="80" t="inlineStr">
        <is>
          <t>4S1-BE-02</t>
        </is>
      </c>
      <c r="P49" s="80" t="inlineStr">
        <is>
          <t>Preview metadata renders and shows the placement's staging test status</t>
        </is>
      </c>
      <c r="Q49" s="82" t="inlineStr">
        <is>
          <t>Spec §26 P4-03</t>
        </is>
      </c>
    </row>
    <row r="50" ht="23.85" customHeight="1" s="75">
      <c r="A50" s="104" t="n">
        <v>45</v>
      </c>
      <c r="B50" s="105" t="inlineStr">
        <is>
          <t>5S8-FE-04</t>
        </is>
      </c>
      <c r="C50" s="81" t="n">
        <v>8</v>
      </c>
      <c r="D50" s="82" t="inlineStr">
        <is>
          <t>Sprint 8 · Virtual inventory screens, controls and launch</t>
        </is>
      </c>
      <c r="E50" s="138" t="inlineStr">
        <is>
          <t>FE</t>
        </is>
      </c>
      <c r="F50" s="120" t="inlineStr">
        <is>
          <t>Code</t>
        </is>
      </c>
      <c r="G50" s="80" t="inlineStr">
        <is>
          <t>Build the creative deployment console</t>
        </is>
      </c>
      <c r="H50" s="107" t="inlineStr">
        <is>
          <t>Formerly 4S2-FE-01 (moved 2026-10-20: the game is parked). Assign creative version, approve, schedule, publish and roll back.</t>
        </is>
      </c>
      <c r="I50" s="108" t="inlineStr">
        <is>
          <t>Blocked</t>
        </is>
      </c>
      <c r="J50" s="108" t="n">
        <v>5</v>
      </c>
      <c r="K50" s="109" t="n"/>
      <c r="L50" s="109" t="n"/>
      <c r="M50" s="110" t="n"/>
      <c r="N50" s="81" t="n">
        <v>0</v>
      </c>
      <c r="O50" s="80" t="inlineStr">
        <is>
          <t>5S8-ART-01</t>
        </is>
      </c>
      <c r="P50" s="80" t="inlineStr">
        <is>
          <t>Staff can run the full deployment lifecycle from the console</t>
        </is>
      </c>
      <c r="Q50" s="82" t="inlineStr">
        <is>
          <t>Spec §26 P4-05</t>
        </is>
      </c>
    </row>
    <row r="51" ht="23.85" customHeight="1" s="75">
      <c r="A51" s="104" t="n">
        <v>46</v>
      </c>
      <c r="B51" s="105" t="inlineStr">
        <is>
          <t>5S8-BE-01</t>
        </is>
      </c>
      <c r="C51" s="81" t="n">
        <v>8</v>
      </c>
      <c r="D51" s="82" t="inlineStr">
        <is>
          <t>Sprint 8 · Virtual inventory screens, controls and launch</t>
        </is>
      </c>
      <c r="E51" s="138" t="inlineStr">
        <is>
          <t>BE</t>
        </is>
      </c>
      <c r="F51" s="120" t="inlineStr">
        <is>
          <t>Code</t>
        </is>
      </c>
      <c r="G51" s="80" t="inlineStr">
        <is>
          <t>Emergency pause and kill switch</t>
        </is>
      </c>
      <c r="H51" s="107" t="inlineStr">
        <is>
          <t>Formerly 4S8-BE-01 (moved 2026-10-20: the game is parked). One control that takes a sponsor's creative down across every world immediately. You will need it on a Friday evening.</t>
        </is>
      </c>
      <c r="I51" s="108" t="inlineStr">
        <is>
          <t>Blocked</t>
        </is>
      </c>
      <c r="J51" s="108" t="n">
        <v>3</v>
      </c>
      <c r="K51" s="109" t="n"/>
      <c r="L51" s="109" t="n"/>
      <c r="M51" s="110" t="n"/>
      <c r="N51" s="81" t="n">
        <v>0</v>
      </c>
      <c r="O51" s="80" t="inlineStr">
        <is>
          <t>4S2-BE-05</t>
        </is>
      </c>
      <c r="P51" s="80" t="inlineStr">
        <is>
          <t>Emergency pause removes creative from all worlds within the agreed time target</t>
        </is>
      </c>
      <c r="Q51" s="82" t="inlineStr">
        <is>
          <t>Spec §28</t>
        </is>
      </c>
    </row>
    <row r="52" s="75">
      <c r="A52" s="104" t="n">
        <v>47</v>
      </c>
      <c r="B52" s="105" t="inlineStr">
        <is>
          <t>5S8-BE-02</t>
        </is>
      </c>
      <c r="C52" s="81" t="n">
        <v>8</v>
      </c>
      <c r="D52" s="82" t="inlineStr">
        <is>
          <t>Sprint 8 · Virtual inventory screens, controls and launch</t>
        </is>
      </c>
      <c r="E52" s="138" t="inlineStr">
        <is>
          <t>BE</t>
        </is>
      </c>
      <c r="F52" s="120" t="inlineStr">
        <is>
          <t>Code</t>
        </is>
      </c>
      <c r="G52" s="80" t="inlineStr">
        <is>
          <t>Deployment incident log</t>
        </is>
      </c>
      <c r="H52" s="107" t="inlineStr">
        <is>
          <t>Formerly 4S8-BE-02 (moved 2026-10-20: the game is parked). Type, severity, opened and closed times, notes. Ops history a sponsor can be shown.</t>
        </is>
      </c>
      <c r="I52" s="108" t="inlineStr">
        <is>
          <t>Blocked</t>
        </is>
      </c>
      <c r="J52" s="108" t="n">
        <v>3</v>
      </c>
      <c r="K52" s="109" t="n"/>
      <c r="L52" s="109" t="n"/>
      <c r="M52" s="110" t="n"/>
      <c r="N52" s="81" t="n">
        <v>0</v>
      </c>
      <c r="O52" s="80" t="inlineStr">
        <is>
          <t>5S8-BE-01</t>
        </is>
      </c>
      <c r="P52" s="80" t="inlineStr">
        <is>
          <t>Incidents are logged, tracked and closable with notes</t>
        </is>
      </c>
      <c r="Q52" s="82" t="inlineStr">
        <is>
          <t>Spec §30</t>
        </is>
      </c>
    </row>
    <row r="53" s="75">
      <c r="A53" s="104" t="n">
        <v>48</v>
      </c>
      <c r="B53" s="105" t="inlineStr">
        <is>
          <t>5S8-PMO-01</t>
        </is>
      </c>
      <c r="C53" s="81" t="n">
        <v>8</v>
      </c>
      <c r="D53" s="82" t="inlineStr">
        <is>
          <t>Sprint 8 · Virtual inventory screens, controls and launch</t>
        </is>
      </c>
      <c r="E53" s="138" t="inlineStr">
        <is>
          <t>PMO</t>
        </is>
      </c>
      <c r="F53" s="120" t="inlineStr">
        <is>
          <t>Document</t>
        </is>
      </c>
      <c r="G53" s="80" t="inlineStr">
        <is>
          <t>Phase 4 UAT</t>
        </is>
      </c>
      <c r="H53" s="107" t="inlineStr">
        <is>
          <t>Formerly 4S9-PMO-02 (moved 2026-10-20: the game is parked). The web application walked end to end: BTG registers a world and its placements, sells a placement into a campaign, deploys, pauses and rolls back creative, and uses the emergency pause, all from SponsorX's screens. Since 2026-10-20 nothing here needs the game.</t>
        </is>
      </c>
      <c r="I53" s="108" t="inlineStr">
        <is>
          <t>Blocked</t>
        </is>
      </c>
      <c r="J53" s="108" t="n">
        <v>5</v>
      </c>
      <c r="K53" s="109" t="n"/>
      <c r="L53" s="109" t="n"/>
      <c r="M53" s="110" t="n"/>
      <c r="N53" s="81" t="n">
        <v>0</v>
      </c>
      <c r="O53" s="80" t="inlineStr">
        <is>
          <t>5S8-FE-01, 5S8-FE-02, 5S8-FE-03, 5S8-FE-04, 5S8-BE-02</t>
        </is>
      </c>
      <c r="P53" s="80" t="inlineStr">
        <is>
          <t>Phase 5 criteria 14 and 15 demonstrated and signed off</t>
        </is>
      </c>
      <c r="Q53" s="82" t="inlineStr">
        <is>
          <t>Spec §34</t>
        </is>
      </c>
      <c r="R53" s="74" t="inlineStr">
        <is>
          <t>Changed 2026-10-16 (user): no longer waits on the pilot world (now Phase 5).</t>
        </is>
      </c>
    </row>
    <row r="54" s="75">
      <c r="A54" s="104" t="n">
        <v>49</v>
      </c>
      <c r="B54" s="105" t="inlineStr">
        <is>
          <t>5S8-OPS-01</t>
        </is>
      </c>
      <c r="C54" s="81" t="n">
        <v>8</v>
      </c>
      <c r="D54" s="82" t="inlineStr">
        <is>
          <t>Sprint 8 · Virtual inventory screens, controls and launch</t>
        </is>
      </c>
      <c r="E54" s="138" t="inlineStr">
        <is>
          <t>OPS</t>
        </is>
      </c>
      <c r="F54" s="120" t="inlineStr">
        <is>
          <t>Vendor console</t>
        </is>
      </c>
      <c r="G54" s="80" t="inlineStr">
        <is>
          <t>Production rollout and incident readiness</t>
        </is>
      </c>
      <c r="H54" s="107" t="inlineStr">
        <is>
          <t>Formerly 4S9-OPS-01 (moved 2026-10-20: the game is parked). Streaming, observability, scaling and an on-call path before the first paying virtual sponsor.</t>
        </is>
      </c>
      <c r="I54" s="108" t="inlineStr">
        <is>
          <t>Blocked</t>
        </is>
      </c>
      <c r="J54" s="108" t="n">
        <v>3</v>
      </c>
      <c r="K54" s="109" t="n"/>
      <c r="L54" s="109" t="n"/>
      <c r="M54" s="110" t="n"/>
      <c r="N54" s="81" t="n">
        <v>0</v>
      </c>
      <c r="O54" s="80" t="inlineStr">
        <is>
          <t>5S8-PMO-01</t>
        </is>
      </c>
      <c r="P54" s="80" t="inlineStr">
        <is>
          <t>Production rollout complete with monitoring, alerting and an incident runbook</t>
        </is>
      </c>
      <c r="Q54" s="82" t="inlineStr">
        <is>
          <t>Spec §31, §38</t>
        </is>
      </c>
    </row>
    <row r="55" s="75"/>
  </sheetData>
  <autoFilter ref="A4:R54"/>
  <mergeCells count="2">
    <mergeCell ref="A2:R2"/>
    <mergeCell ref="A1:R1"/>
  </mergeCells>
  <conditionalFormatting sqref="I5:I5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4">
    <cfRule type="expression" rank="0" priority="7" equalAverage="0" aboveAverage="0" dxfId="32" text="" percent="0" bottom="0">
      <formula>$I5="Done"</formula>
    </cfRule>
  </conditionalFormatting>
  <conditionalFormatting sqref="N5:N54">
    <cfRule type="cellIs" rank="0" priority="8" equalAverage="0" operator="greaterThanOrEqual" aboveAverage="0" dxfId="33" text="" percent="0" bottom="0">
      <formula>50</formula>
    </cfRule>
  </conditionalFormatting>
  <dataValidations count="1">
    <dataValidation sqref="I5:I54"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Athlete-responsibility wording (redefined 2026-10-20)</t>
        </is>
      </c>
      <c r="I9" s="74" t="inlineStr">
        <is>
          <t>Redefined 2026-10-20 by the programme owner: no state-by-state rules list. The athlete (or a minor's guardian) confirms they follow their own school, league and local rules (P8-BE-02); built-in limits stay for everyone; a disputed deal is paused and documents requested (P8-BE-03). Counsel approves the responsibility paragraph in the athlete agreement draft (item 1).</t>
        </is>
      </c>
      <c r="J9" s="74" t="inlineStr">
        <is>
          <t>Ready</t>
        </is>
      </c>
      <c r="K9" s="74" t="n">
        <v>0.5</v>
      </c>
      <c r="O9" s="74" t="n">
        <v>0</v>
      </c>
      <c r="Q9" s="74" t="inlineStr">
        <is>
          <t>Counsel approves the athlete-responsibility paragraph and confirmation wording (in the P0-LEG-01 draft)</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10.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2–5</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2026-10-20T08:52:28Z</dcterms:modified>
  <cp:revision>0</cp:revision>
</cp:coreProperties>
</file>