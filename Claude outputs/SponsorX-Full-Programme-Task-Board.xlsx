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3'!$A$4:$R$54</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3'!$I$5:$I$54,"Ready")</f>
        <v/>
      </c>
      <c r="C7" s="81">
        <f>COUNTIF('Phase 3'!$I$5:$I$54,"In progress")</f>
        <v/>
      </c>
      <c r="D7" s="81">
        <f>COUNTIF('Phase 3'!$I$5:$I$54,"Code review")</f>
        <v/>
      </c>
      <c r="E7" s="81">
        <f>COUNTIF('Phase 3'!$I$5:$I$54,"Blocked")</f>
        <v/>
      </c>
      <c r="F7" s="81">
        <f>COUNTIF('Phase 3'!$I$5:$I$54,"Done")</f>
        <v/>
      </c>
      <c r="G7" s="81">
        <f>COUNTA('Phase 3'!$B$5:$B$54)</f>
        <v/>
      </c>
      <c r="H7" s="81">
        <f>SUMIF('Phase 3'!$I$5:$I$54,"&lt;&gt;Done",'Phase 3'!$J$5:$J$54)</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3'!$F$5:$F$54,"Document")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3'!$F$5:$F$54,"Zoho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3'!$F$5:$F$54,"Vendor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3'!$F$5:$F$54,"Code")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3'!$F$5:$F$54,"Code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3'!$F$5:$F$54,"Design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3'!$F$5:$F$54,"Document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3'!$F$5:$F$54,"External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Code review</t>
        </is>
      </c>
      <c r="J11" s="108" t="n">
        <v>5</v>
      </c>
      <c r="K11" s="109" t="n">
        <v>46308</v>
      </c>
      <c r="L11" s="109" t="n"/>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Ready</t>
        </is>
      </c>
      <c r="J53" s="108" t="n">
        <v>1</v>
      </c>
      <c r="K53" s="109" t="n"/>
      <c r="L53" s="109" t="n"/>
      <c r="M53" s="110" t="n"/>
      <c r="N53" s="81" t="n">
        <v>0</v>
      </c>
      <c r="O53" s="80" t="inlineStr">
        <is>
          <t>3S0-BE-05</t>
        </is>
      </c>
      <c r="P53" s="80" t="inlineStr">
        <is>
          <t>BTG can enter a venue city and state when creating a reward, and the reward detail shows it</t>
        </is>
      </c>
      <c r="Q53" s="82" t="inlineStr">
        <is>
          <t>Spec §16</t>
        </is>
      </c>
      <c r="R53" s="111" t="n"/>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2026-10-13T02:04:18Z</dcterms:modified>
  <cp:revision>0</cp:revision>
</cp:coreProperties>
</file>