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1'!$A$4:$R$205</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1'!$I$5:$I$205,"Ready")</f>
        <v/>
      </c>
      <c r="C5" s="81">
        <f>COUNTIF('Phase 1'!$I$5:$I$205,"In progress")</f>
        <v/>
      </c>
      <c r="D5" s="81">
        <f>COUNTIF('Phase 1'!$I$5:$I$205,"Code review")</f>
        <v/>
      </c>
      <c r="E5" s="81">
        <f>COUNTIF('Phase 1'!$I$5:$I$205,"Blocked")</f>
        <v/>
      </c>
      <c r="F5" s="81">
        <f>COUNTIF('Phase 1'!$I$5:$I$205,"Done")</f>
        <v/>
      </c>
      <c r="G5" s="81">
        <f>COUNTA('Phase 1'!$B$5:$B$205)</f>
        <v/>
      </c>
      <c r="H5" s="81">
        <f>SUMIF('Phase 1'!$I$5:$I$205,"&lt;&gt;Done",'Phase 1'!$J$5:$J$205)</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1'!$F$5:$F$205,"Document")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1'!$F$5:$F$205,"Zoho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1'!$F$5:$F$205,"Vendor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1'!$F$5:$F$205,"Code")</f>
        <v/>
      </c>
      <c r="C16" s="81">
        <f>COUNTIF('Phase 2'!$F$5:$F$68,"Code")</f>
        <v/>
      </c>
      <c r="D16" s="81">
        <f>COUNTIF('Phase 3'!$F$5:$F$48,"Code")</f>
        <v/>
      </c>
      <c r="E16" s="81">
        <f>COUNTIF('Phase 4'!$F$5:$F$55,"Code")</f>
        <v/>
      </c>
      <c r="F16" s="81">
        <f>SUM(B16:E16)</f>
        <v/>
      </c>
    </row>
    <row r="17" ht="15" customHeight="1" s="75">
      <c r="A17" s="99" t="inlineStr">
        <is>
          <t>Code + console</t>
        </is>
      </c>
      <c r="B17" s="81">
        <f>COUNTIF('Phase 1'!$F$5:$F$205,"Code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1'!$F$5:$F$205,"Design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1'!$F$5:$F$205,"Document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1'!$F$5:$F$205,"External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202 tasks · 464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8</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Ready</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3</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1</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Ready</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Ready</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Ready</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Ready</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inlineStr">
        <is>
          <t>0</t>
        </is>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v>2</v>
      </c>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quarterly magazine, with SponsorX supplying the platform, training, sales structure and sponsor relationships. The question this settles is whether it goes into the product or beside it. Answer: into it, as a module inside the BTG tenant — roughly 70% of it already exists in the Phase 1 models under different nouns (school = Property kind SCHOOL, local business = Sponsor, ad sale = Brief/Campaign/Order, article = Deliverable, editorial review = DeliverableState unchanged, athlete QR = Reward/RewardToken, minor consent = Guardian). A separate app or tenant breaks the one thing that makes NEXT valuable: the magazine QR is an acquisition funnel into SponsorX athlete profiles, and splitting it puts the QR and its destination on opposite sides of a trust boundary while duplicating every local business as two Sponsor rows and two Zoho Account sync paths.</t>
        </is>
      </c>
      <c r="I205" s="108" t="inlineStr">
        <is>
          <t>Code review</t>
        </is>
      </c>
      <c r="J205" s="108" t="n">
        <v>1</v>
      </c>
      <c r="K205" s="109" t="inlineStr">
        <is>
          <t>2026-09-22</t>
        </is>
      </c>
      <c r="L205" s="109" t="n"/>
      <c r="M205" s="110" t="n"/>
      <c r="N205" s="81" t="n"/>
      <c r="O205" s="80" t="inlineStr">
        <is>
          <t>P0-PMO-13, P2-BE-02</t>
        </is>
      </c>
      <c r="P205" s="80" t="inlineStr">
        <is>
          <t>The spec names what already exists, the four models that do not, the two roles, the routes and the front-end impact; the build is sequenced into a gated Block C rather than into Phase 1; every open question is listed rather than assumed</t>
        </is>
      </c>
      <c r="Q205" s="82" t="inlineStr">
        <is>
          <t>Blueprint §5 §7 §11 §16 §18 §21 §26 §37 §39; documentation/SponsorX-NEXT-Integration-Spec.md; Roadmap Block C</t>
        </is>
      </c>
      <c r="R205" s="111" t="inlineStr">
        <is>
          <t>RAISED 2026-09-22. Spec written, NOT YET REVIEWED by anyone — Code review, not Done. THE FINDING THAT DECIDES THE SHAPE: SponsorPackage needs NO schema change to sell a NEXT package. `includes` already means 'non-NIL inventory sold alongside the jobs' (P0-PMO-13 §5), which is exactly what a magazine page is — so the flagship $1,500 hybrid (full page + 4 social posts + athlete feature + QR + report) is an ordinary SponsorPackage flowing through the existing marketplace, campaign builder, Zoho Deal sync and ROI report. FOUR REAL GAPS, none of them urgent: Student (not an Athlete — an athlete correspondent is both, and student compensation is deliberately not cash); Publication/Edition/AdSlot (a back cover is quantity ONE on ONE edition before a close date — scarcity, position and a deadline are three columns NilJob does not have); RevenueSplit (35/25/25/15 four ways — kept OFF Earning, which stays one athlete one order with its taxYear rollup); StudentPoints (no EarningState, no cents column, no relation to Earning — points and cents in one table means finance reconciliation starts returning minors' scholarship balances). TWO THINGS THE PHASE 1 MODELS WERE NEVER POSED, both open: (1) a pure ad sale has NO CampaignOrder, because athleteId and jobId are both non-null — so either ad-only campaigns skip STAFFING or an ad sale attaches to the Edition instead of being a Campaign at all; (2) confirm P3-BE-12 checks the 1.4x floor line-by-line and not against a package total, or a hybrid package's ad revenue hides a losing NIL line behind a profitable page. ATTRIBUTION: a student sales code is a THIRD subject, at /s/[code] — never a fourth use of TrackingLink, whose deliverableId is @unique for a reason the schema comment still carries a scar about. SEQUENCING IS THE POINT OF THIS TASK: do not build it yet. The first edition runs on existing primitives with zero new models (Spec §10, Stage 0) and proves something entirely commercial — that a local business buys the hybrid package, that students can sell, that a school signs. All of that can fail, and finding out costs no schema. Block C is gated on B8 being done, an edition having actually sold, and legal clearing money to minors (the 25% student pool, the $1,000 scholarship prizes, and the Sales Challenge as a contest — P0-LEG-*, Blueprint §26 §37). ALSO UNRESOLVED: magazine copy sales at $10 x 500 is taking money from parents, which the Phase 1 payment policy forbids — either the school collects and we record units, or it waits for the Phase 2 payment adapter.</t>
        </is>
      </c>
    </row>
  </sheetData>
  <autoFilter ref="A4:R205"/>
  <mergeCells count="2">
    <mergeCell ref="A2:R2"/>
    <mergeCell ref="A1:R1"/>
  </mergeCells>
  <conditionalFormatting sqref="I5:I2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5">
    <cfRule type="expression" rank="0" priority="7" equalAverage="0" aboveAverage="0" dxfId="32" text="" percent="0" bottom="0">
      <formula>$I5="Done"</formula>
    </cfRule>
  </conditionalFormatting>
  <conditionalFormatting sqref="N5:N205">
    <cfRule type="cellIs" rank="0" priority="8" equalAverage="0" operator="greaterThanOrEqual" aboveAverage="0" dxfId="33" text="" percent="0" bottom="0">
      <formula>50</formula>
    </cfRule>
  </conditionalFormatting>
  <dataValidations count="1">
    <dataValidation sqref="I5:I2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2026-09-22T03:06:40Z</dcterms:modified>
  <cp:revision>0</cp:revision>
</cp:coreProperties>
</file>