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1'!$A$4:$R$302</definedName>
    <definedName name="_xlnm._FilterDatabase" localSheetId="4" hidden="1">'Phase 2'!$A$4:$R$144</definedName>
    <definedName name="_xlnm._FilterDatabase" localSheetId="5" hidden="1">'Phase 3'!$A$4:$R$65</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3'!$I$5:$I$65,"Ready")</f>
        <v/>
      </c>
      <c r="C7" s="81">
        <f>COUNTIF('Phase 3'!$I$5:$I$65,"In progress")</f>
        <v/>
      </c>
      <c r="D7" s="81">
        <f>COUNTIF('Phase 3'!$I$5:$I$65,"Code review")</f>
        <v/>
      </c>
      <c r="E7" s="81">
        <f>COUNTIF('Phase 3'!$I$5:$I$65,"Blocked")</f>
        <v/>
      </c>
      <c r="F7" s="81">
        <f>COUNTIF('Phase 3'!$I$5:$I$65,"Done")</f>
        <v/>
      </c>
      <c r="G7" s="81">
        <f>COUNTA('Phase 3'!$B$5:$B$65)</f>
        <v/>
      </c>
      <c r="H7" s="81">
        <f>SUMIF('Phase 3'!$I$5:$I$65,"&lt;&gt;Done",'Phase 3'!$J$5:$J$65)</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3'!$F$5:$F$65,"Document")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3'!$F$5:$F$65,"Zoho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3'!$F$5:$F$65,"Vendor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3'!$F$5:$F$65,"Code")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3'!$F$5:$F$65,"Code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3'!$F$5:$F$65,"Design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3'!$F$5:$F$65,"Document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3'!$F$5:$F$65,"External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sheetData>
  <autoFilter ref="A4:R302"/>
  <mergeCells count="2">
    <mergeCell ref="A2:R2"/>
    <mergeCell ref="A1:R1"/>
  </mergeCells>
  <conditionalFormatting sqref="I5:I30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2">
    <cfRule type="expression" rank="0" priority="7" equalAverage="0" aboveAverage="0" dxfId="32" text="" percent="0" bottom="0">
      <formula>$I5="Done"</formula>
    </cfRule>
  </conditionalFormatting>
  <conditionalFormatting sqref="N5:N302">
    <cfRule type="cellIs" rank="0" priority="8" equalAverage="0" operator="greaterThanOrEqual" aboveAverage="0" dxfId="33" text="" percent="0" bottom="0">
      <formula>50</formula>
    </cfRule>
  </conditionalFormatting>
  <dataValidations count="1">
    <dataValidation sqref="I5:I30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Re-pointed 2026-10-13 to the fact ledger (3S1-BE-01…): reads the daily summaries in the app database, not the warehouse.</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Code review</t>
        </is>
      </c>
      <c r="J55" s="108" t="n">
        <v>2</v>
      </c>
      <c r="K55" s="109" t="n">
        <v>46308</v>
      </c>
      <c r="L55" s="109" t="n"/>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Code review</t>
        </is>
      </c>
      <c r="J57" s="108" t="n">
        <v>2</v>
      </c>
      <c r="K57" s="109" t="n">
        <v>46308</v>
      </c>
      <c r="L57" s="109" t="n"/>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Code review</t>
        </is>
      </c>
      <c r="J58" s="108" t="n">
        <v>1</v>
      </c>
      <c r="K58" s="109" t="n">
        <v>46308</v>
      </c>
      <c r="L58" s="109" t="n"/>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Blocked</t>
        </is>
      </c>
      <c r="J59" s="108" t="n">
        <v>0.5</v>
      </c>
      <c r="K59" s="109" t="n"/>
      <c r="L59" s="109" t="n"/>
      <c r="M59" s="110" t="n"/>
      <c r="N59" s="85" t="n">
        <v>0</v>
      </c>
      <c r="O59" s="84" t="inlineStr">
        <is>
          <t>3S1-QA-03</t>
        </is>
      </c>
      <c r="P59" s="84" t="inlineStr">
        <is>
          <t>After the fill the check matches these measures for every campaign; re-running adds nothing</t>
        </is>
      </c>
      <c r="Q59" s="86" t="inlineStr">
        <is>
          <t>Spec §19, §21, §22</t>
        </is>
      </c>
      <c r="R59" s="111" t="n"/>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n"/>
    </row>
    <row r="61">
      <c r="A61" s="112" t="n">
        <v>7.6</v>
      </c>
      <c r="B61" s="113" t="inlineStr">
        <is>
          <t>3S1-OPS-03</t>
        </is>
      </c>
      <c r="C61" s="85" t="n">
        <v>1</v>
      </c>
      <c r="D61" s="86" t="inlineStr">
        <is>
          <t>Sprint 1 · Warehouse &amp; benchmarks</t>
        </is>
      </c>
      <c r="E61" s="129" t="inlineStr">
        <is>
          <t>OPS</t>
        </is>
      </c>
      <c r="F61" s="122" t="inlineStr">
        <is>
          <t>Code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Ready</t>
        </is>
      </c>
      <c r="J61" s="108" t="n">
        <v>1</v>
      </c>
      <c r="K61" s="109" t="n"/>
      <c r="L61" s="109" t="n"/>
      <c r="M61" s="110" t="n"/>
      <c r="N61" s="85" t="n">
        <v>0</v>
      </c>
      <c r="O61" s="84" t="n"/>
      <c r="P61" s="84" t="inlineStr">
        <is>
          <t>In staging and production only the app's login can write; a read-only login exists for people; the change is recorded in the deployment runbook</t>
        </is>
      </c>
      <c r="Q61" s="86" t="inlineStr">
        <is>
          <t>Spec §19, §21, §22</t>
        </is>
      </c>
      <c r="R61" s="111" t="n"/>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Code review</t>
        </is>
      </c>
      <c r="J62" s="108" t="n">
        <v>0.5</v>
      </c>
      <c r="K62" s="109" t="n">
        <v>46308</v>
      </c>
      <c r="L62" s="109" t="n"/>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Blocked</t>
        </is>
      </c>
      <c r="J63" s="108" t="n">
        <v>0.5</v>
      </c>
      <c r="K63" s="109" t="n"/>
      <c r="L63" s="109" t="n"/>
      <c r="M63" s="110" t="n"/>
      <c r="N63" s="85" t="n">
        <v>0</v>
      </c>
      <c r="O63" s="84" t="inlineStr">
        <is>
          <t>3S1-QA-03</t>
        </is>
      </c>
      <c r="P63" s="84" t="inlineStr">
        <is>
          <t>After the fill the check matches these measures for every campaign; re-running adds nothing</t>
        </is>
      </c>
      <c r="Q63" s="86" t="inlineStr">
        <is>
          <t>Spec §21</t>
        </is>
      </c>
      <c r="R63" s="111" t="n"/>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Blocked</t>
        </is>
      </c>
      <c r="J64" s="108" t="n">
        <v>0.5</v>
      </c>
      <c r="K64" s="109" t="n"/>
      <c r="L64" s="109" t="n"/>
      <c r="M64" s="110" t="n"/>
      <c r="N64" s="85" t="n">
        <v>0</v>
      </c>
      <c r="O64" s="84" t="inlineStr">
        <is>
          <t>3S1-QA-03</t>
        </is>
      </c>
      <c r="P64" s="84" t="inlineStr">
        <is>
          <t>After the fill the check matches these measures for every campaign and tenant; re-running adds nothing</t>
        </is>
      </c>
      <c r="Q64" s="86" t="inlineStr">
        <is>
          <t>Spec §21</t>
        </is>
      </c>
      <c r="R64" s="111" t="n"/>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Blocked</t>
        </is>
      </c>
      <c r="J65" s="108" t="n">
        <v>0.5</v>
      </c>
      <c r="K65" s="109" t="n"/>
      <c r="L65" s="109" t="n"/>
      <c r="M65" s="110" t="n"/>
      <c r="N65" s="85" t="n">
        <v>0</v>
      </c>
      <c r="O65" s="84" t="inlineStr">
        <is>
          <t>3S1-DATA-05, 3S1-DATA-06, 3S1-DATA-07</t>
        </is>
      </c>
      <c r="P65" s="84" t="inlineStr">
        <is>
          <t>History filled for all tenants in both environments; the check passes; a second run adds nothing</t>
        </is>
      </c>
      <c r="Q65" s="86" t="inlineStr">
        <is>
          <t>Spec §21</t>
        </is>
      </c>
      <c r="R65" s="111" t="n"/>
    </row>
  </sheetData>
  <autoFilter ref="A4:R65"/>
  <mergeCells count="2">
    <mergeCell ref="A2:R2"/>
    <mergeCell ref="A1:R1"/>
  </mergeCells>
  <conditionalFormatting sqref="I5:I6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5">
    <cfRule type="expression" rank="0" priority="7" equalAverage="0" aboveAverage="0" dxfId="32" text="" percent="0" bottom="0">
      <formula>$I5="Done"</formula>
    </cfRule>
  </conditionalFormatting>
  <conditionalFormatting sqref="N5:N65">
    <cfRule type="cellIs" rank="0" priority="8" equalAverage="0" operator="greaterThanOrEqual" aboveAverage="0" dxfId="33" text="" percent="0" bottom="0">
      <formula>50</formula>
    </cfRule>
  </conditionalFormatting>
  <dataValidations count="1">
    <dataValidation sqref="I5:I6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2026-10-13T08:49:16Z</dcterms:modified>
  <cp:revision>0</cp:revision>
</cp:coreProperties>
</file>