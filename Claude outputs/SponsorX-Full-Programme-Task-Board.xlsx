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oadmap" sheetId="1" state="visible" r:id="rId1"/>
    <sheet name="Dashboard" sheetId="2" state="visible" r:id="rId2"/>
    <sheet name="Stage Progress" sheetId="3" state="visible" r:id="rId3"/>
    <sheet name="Polish" sheetId="4" state="visible" r:id="rId4"/>
    <sheet name="Phase 1" sheetId="5" state="visible" r:id="rId5"/>
    <sheet name="Phase 2" sheetId="6" state="visible" r:id="rId6"/>
    <sheet name="Phase 3" sheetId="7" state="visible" r:id="rId7"/>
    <sheet name="Phase 4" sheetId="8" state="visible" r:id="rId8"/>
    <sheet name="Phase 5" sheetId="9" state="visible" r:id="rId9"/>
    <sheet name="Phase 6" sheetId="10" state="visible" r:id="rId10"/>
    <sheet name="Legal" sheetId="11" state="visible" r:id="rId11"/>
    <sheet name="Legend" sheetId="12" state="visible" r:id="rId12"/>
  </sheets>
  <definedNames>
    <definedName name="_xlnm._FilterDatabase" localSheetId="3" hidden="1">'Polish'!$A$4:$R$57</definedName>
    <definedName name="_xlnm._FilterDatabase" localSheetId="4" hidden="1">'Phase 1'!$A$4:$R$330</definedName>
    <definedName name="_xlnm._FilterDatabase" localSheetId="5" hidden="1">'Phase 2'!$A$4:$R$144</definedName>
    <definedName name="_xlnm._FilterDatabase" localSheetId="6" hidden="1">'Phase 3'!$A$4:$R$66</definedName>
    <definedName name="_xlnm._FilterDatabase" localSheetId="7" hidden="1">'Phase 4'!$A$4:$R$23</definedName>
    <definedName name="_xlnm._FilterDatabase" localSheetId="8" hidden="1">'Phase 5'!$A$4:$R$6</definedName>
    <definedName name="_xlnm._FilterDatabase" localSheetId="9" hidden="1">'Phase 6'!$A$4:$R$54</definedName>
    <definedName name="_xlnm._FilterDatabase" localSheetId="10" hidden="1">'Legal'!$A$4:$S$13</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yyyy-mm-dd"/>
  </numFmts>
  <fonts count="55">
    <font>
      <name val="Calibri"/>
      <charset val="1"/>
      <family val="2"/>
      <color theme="1"/>
      <sz val="11"/>
    </font>
    <font>
      <name val="Arial"/>
      <family val="0"/>
      <sz val="10"/>
    </font>
    <font>
      <name val="Arial"/>
      <family val="0"/>
      <sz val="10"/>
    </font>
    <font>
      <name val="Arial"/>
      <family val="0"/>
      <sz val="10"/>
    </font>
    <font>
      <name val="Arial"/>
      <charset val="1"/>
      <family val="0"/>
      <b val="1"/>
      <color rgb="FF0F2540"/>
      <sz val="16"/>
    </font>
    <font>
      <name val="Arial"/>
      <charset val="1"/>
      <family val="0"/>
      <color rgb="FF64748B"/>
      <sz val="9.5"/>
    </font>
    <font>
      <name val="Arial"/>
      <charset val="1"/>
      <family val="0"/>
      <b val="1"/>
      <color rgb="FFFFFFFF"/>
      <sz val="9.5"/>
    </font>
    <font>
      <name val="Arial"/>
      <charset val="1"/>
      <family val="0"/>
      <b val="1"/>
      <color rgb="FF2E9BF5"/>
      <sz val="10.5"/>
    </font>
    <font>
      <name val="Arial"/>
      <charset val="1"/>
      <family val="0"/>
      <color rgb="FF16202B"/>
      <sz val="9.5"/>
    </font>
    <font>
      <name val="Arial"/>
      <charset val="1"/>
      <family val="0"/>
      <b val="1"/>
      <color rgb="FFF97A1F"/>
      <sz val="10.5"/>
    </font>
    <font>
      <name val="Arial"/>
      <charset val="1"/>
      <family val="0"/>
      <b val="1"/>
      <color rgb="FF8B5CF6"/>
      <sz val="10.5"/>
    </font>
    <font>
      <name val="Arial"/>
      <charset val="1"/>
      <family val="0"/>
      <b val="1"/>
      <color rgb="FF0EA5A4"/>
      <sz val="10.5"/>
    </font>
    <font>
      <name val="Arial"/>
      <charset val="1"/>
      <family val="0"/>
      <b val="1"/>
      <color rgb="FFFFFFFF"/>
      <sz val="10"/>
    </font>
    <font>
      <name val="Arial"/>
      <charset val="1"/>
      <family val="0"/>
      <b val="1"/>
      <color rgb="FFF97A1F"/>
      <sz val="12"/>
    </font>
    <font>
      <name val="Arial"/>
      <charset val="1"/>
      <family val="0"/>
      <b val="1"/>
      <color rgb="FF0F2540"/>
      <sz val="9.5"/>
    </font>
    <font>
      <name val="Arial"/>
      <charset val="1"/>
      <family val="0"/>
      <b val="1"/>
      <color rgb="FF2E9BF5"/>
      <sz val="10"/>
    </font>
    <font>
      <name val="Arial"/>
      <charset val="1"/>
      <family val="0"/>
      <b val="1"/>
      <color rgb="FFF97A1F"/>
      <sz val="10"/>
    </font>
    <font>
      <name val="Arial"/>
      <charset val="1"/>
      <family val="0"/>
      <b val="1"/>
      <color rgb="FF8B5CF6"/>
      <sz val="10"/>
    </font>
    <font>
      <name val="Arial"/>
      <charset val="1"/>
      <family val="0"/>
      <b val="1"/>
      <color rgb="FF0EA5A4"/>
      <sz val="10"/>
    </font>
    <font>
      <name val="Arial"/>
      <charset val="1"/>
      <family val="0"/>
      <b val="1"/>
      <color rgb="FF7C3AED"/>
      <sz val="9.5"/>
    </font>
    <font>
      <name val="Arial"/>
      <charset val="1"/>
      <family val="0"/>
      <b val="1"/>
      <color rgb="FFDC2626"/>
      <sz val="9.5"/>
    </font>
    <font>
      <name val="Arial"/>
      <charset val="1"/>
      <family val="0"/>
      <b val="1"/>
      <color rgb="FF0891B2"/>
      <sz val="9.5"/>
    </font>
    <font>
      <name val="Arial"/>
      <charset val="1"/>
      <family val="0"/>
      <b val="1"/>
      <color rgb="FF0F766E"/>
      <sz val="9.5"/>
    </font>
    <font>
      <name val="Arial"/>
      <charset val="1"/>
      <family val="0"/>
      <b val="1"/>
      <color rgb="FFDB2777"/>
      <sz val="9.5"/>
    </font>
    <font>
      <name val="Arial"/>
      <charset val="1"/>
      <family val="0"/>
      <b val="1"/>
      <color rgb="FF92400E"/>
      <sz val="9.5"/>
    </font>
    <font>
      <name val="Arial"/>
      <charset val="1"/>
      <family val="0"/>
      <b val="1"/>
      <color rgb="FF2E9BF5"/>
      <sz val="16"/>
    </font>
    <font>
      <name val="Arial"/>
      <charset val="1"/>
      <family val="0"/>
      <b val="1"/>
      <color rgb="FF64748B"/>
      <sz val="9.5"/>
    </font>
    <font>
      <name val="Arial"/>
      <charset val="1"/>
      <family val="0"/>
      <b val="1"/>
      <color rgb="FF7C3AED"/>
      <sz val="8.5"/>
    </font>
    <font>
      <name val="Arial"/>
      <charset val="1"/>
      <family val="0"/>
      <color rgb="FF3D4B5C"/>
      <sz val="9"/>
    </font>
    <font>
      <name val="Arial"/>
      <charset val="1"/>
      <family val="0"/>
      <b val="1"/>
      <color rgb="FFEC4899"/>
      <sz val="9.5"/>
    </font>
    <font>
      <name val="Arial"/>
      <charset val="1"/>
      <family val="0"/>
      <b val="1"/>
      <color rgb="FFDB2777"/>
      <sz val="8.5"/>
    </font>
    <font>
      <name val="Arial"/>
      <charset val="1"/>
      <family val="0"/>
      <b val="1"/>
      <color rgb="FFF97A1F"/>
      <sz val="9.5"/>
    </font>
    <font>
      <name val="Arial"/>
      <charset val="1"/>
      <family val="0"/>
      <b val="1"/>
      <color rgb="FF0F766E"/>
      <sz val="8.5"/>
    </font>
    <font>
      <name val="Arial"/>
      <charset val="1"/>
      <family val="0"/>
      <b val="1"/>
      <color rgb="FF0EA5A4"/>
      <sz val="9.5"/>
    </font>
    <font>
      <name val="Arial"/>
      <charset val="1"/>
      <family val="0"/>
      <b val="1"/>
      <color rgb="FF0891B2"/>
      <sz val="8.5"/>
    </font>
    <font>
      <name val="Arial"/>
      <charset val="1"/>
      <family val="0"/>
      <b val="1"/>
      <color rgb="FF92400E"/>
      <sz val="8.5"/>
    </font>
    <font>
      <name val="Arial"/>
      <charset val="1"/>
      <family val="0"/>
      <b val="1"/>
      <color rgb="FF0284C7"/>
      <sz val="9.5"/>
    </font>
    <font>
      <name val="Arial"/>
      <charset val="1"/>
      <family val="0"/>
      <b val="1"/>
      <color rgb="FFDC2626"/>
      <sz val="8.5"/>
    </font>
    <font>
      <name val="Arial"/>
      <charset val="1"/>
      <family val="0"/>
      <b val="1"/>
      <color rgb="FF65A30D"/>
      <sz val="9.5"/>
    </font>
    <font>
      <name val="Arial"/>
      <charset val="1"/>
      <family val="0"/>
      <b val="1"/>
      <color rgb="FF2E9BF5"/>
      <sz val="9.5"/>
    </font>
    <font>
      <name val="Arial"/>
      <charset val="1"/>
      <family val="0"/>
      <b val="1"/>
      <color rgb="FF8B5CF6"/>
      <sz val="9.5"/>
    </font>
    <font>
      <name val="Arial"/>
      <charset val="1"/>
      <family val="0"/>
      <b val="1"/>
      <color rgb="FFF97A1F"/>
      <sz val="16"/>
    </font>
    <font>
      <name val="Arial"/>
      <charset val="1"/>
      <family val="0"/>
      <b val="1"/>
      <color rgb="FF8B5CF6"/>
      <sz val="16"/>
    </font>
    <font>
      <name val="Arial"/>
      <charset val="1"/>
      <family val="0"/>
      <b val="1"/>
      <color rgb="FF0EA5A4"/>
      <sz val="16"/>
    </font>
    <font>
      <name val="Arial"/>
      <charset val="1"/>
      <family val="0"/>
      <b val="1"/>
      <color rgb="FF0F2540"/>
      <sz val="10"/>
    </font>
    <font>
      <name val="Arial"/>
      <charset val="1"/>
      <family val="0"/>
      <color rgb="FF16202B"/>
      <sz val="10"/>
    </font>
    <font>
      <b val="1"/>
      <sz val="14"/>
    </font>
    <font>
      <i val="1"/>
      <sz val="10"/>
    </font>
    <font>
      <b val="1"/>
      <color rgb="00FFFFFF"/>
    </font>
    <font>
      <b val="1"/>
      <color rgb="FF0F2540"/>
      <sz val="16"/>
    </font>
    <font>
      <color rgb="FF64748B"/>
      <sz val="9.5"/>
    </font>
    <font>
      <b val="1"/>
      <color rgb="FFFFFFFF"/>
      <sz val="9.5"/>
    </font>
    <font>
      <b val="1"/>
      <color rgb="FFFFFFFF"/>
      <sz val="10"/>
    </font>
    <font>
      <b val="1"/>
      <color rgb="FF0F2540"/>
      <sz val="11"/>
    </font>
    <font>
      <color rgb="FF64748B"/>
      <sz val="9"/>
    </font>
  </fonts>
  <fills count="7">
    <fill>
      <patternFill/>
    </fill>
    <fill>
      <patternFill patternType="gray125"/>
    </fill>
    <fill>
      <patternFill patternType="solid">
        <fgColor rgb="FF0F2540"/>
        <bgColor rgb="FF16202B"/>
      </patternFill>
    </fill>
    <fill>
      <patternFill patternType="solid">
        <fgColor rgb="FFF7FAFD"/>
        <bgColor rgb="FFFFFFFF"/>
      </patternFill>
    </fill>
    <fill>
      <patternFill patternType="solid">
        <fgColor rgb="FFFFFCF0"/>
        <bgColor rgb="FFFFFFFF"/>
      </patternFill>
    </fill>
    <fill>
      <patternFill patternType="solid">
        <fgColor rgb="001F3864"/>
      </patternFill>
    </fill>
    <fill>
      <patternFill patternType="solid">
        <fgColor rgb="FF0F2540"/>
      </patternFill>
    </fill>
  </fills>
  <borders count="2">
    <border>
      <left/>
      <right/>
      <top/>
      <bottom/>
      <diagonal/>
    </border>
    <border>
      <left style="thin">
        <color rgb="FFE3EAF2"/>
      </left>
      <right style="thin">
        <color rgb="FFE3EAF2"/>
      </right>
      <top style="thin">
        <color rgb="FFE3EAF2"/>
      </top>
      <bottom style="thin">
        <color rgb="FFE3EAF2"/>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8" fillId="0" borderId="1" applyAlignment="1" pivotButton="0" quotePrefix="0" xfId="0">
      <alignment horizontal="general" vertical="top" wrapText="1"/>
    </xf>
    <xf numFmtId="0" fontId="8" fillId="0" borderId="1" applyAlignment="1" pivotButton="0" quotePrefix="0" xfId="0">
      <alignment horizontal="center" vertical="top"/>
    </xf>
    <xf numFmtId="0" fontId="8" fillId="0" borderId="1" applyAlignment="1" pivotButton="0" quotePrefix="0" xfId="0">
      <alignment horizontal="general" vertical="top"/>
    </xf>
    <xf numFmtId="0" fontId="9" fillId="3" borderId="1" applyAlignment="1" pivotButton="0" quotePrefix="0" xfId="0">
      <alignment horizontal="general" vertical="top"/>
    </xf>
    <xf numFmtId="0" fontId="8" fillId="3" borderId="1" applyAlignment="1" pivotButton="0" quotePrefix="0" xfId="0">
      <alignment horizontal="general" vertical="top" wrapText="1"/>
    </xf>
    <xf numFmtId="0" fontId="8" fillId="3" borderId="1" applyAlignment="1" pivotButton="0" quotePrefix="0" xfId="0">
      <alignment horizontal="center" vertical="top"/>
    </xf>
    <xf numFmtId="0" fontId="8" fillId="3" borderId="1" applyAlignment="1" pivotButton="0" quotePrefix="0" xfId="0">
      <alignment horizontal="general" vertical="top"/>
    </xf>
    <xf numFmtId="0" fontId="10" fillId="0" borderId="1" applyAlignment="1" pivotButton="0" quotePrefix="0" xfId="0">
      <alignment horizontal="general" vertical="top"/>
    </xf>
    <xf numFmtId="0" fontId="11" fillId="3" borderId="1" applyAlignment="1" pivotButton="0" quotePrefix="0" xfId="0">
      <alignment horizontal="general" vertical="top"/>
    </xf>
    <xf numFmtId="0" fontId="12" fillId="2" borderId="1" applyAlignment="1" pivotButton="0" quotePrefix="0" xfId="0">
      <alignment horizontal="center" vertical="top"/>
    </xf>
    <xf numFmtId="0" fontId="13" fillId="0" borderId="0" applyAlignment="1" pivotButton="0" quotePrefix="0" xfId="0">
      <alignment horizontal="general" vertical="bottom"/>
    </xf>
    <xf numFmtId="0" fontId="14" fillId="0" borderId="0" applyAlignment="1" pivotButton="0" quotePrefix="0" xfId="0">
      <alignment horizontal="general" vertical="top"/>
    </xf>
    <xf numFmtId="0" fontId="8" fillId="0" borderId="0" applyAlignment="1" pivotButton="0" quotePrefix="0" xfId="0">
      <alignment horizontal="general" vertical="top" wrapText="1"/>
    </xf>
    <xf numFmtId="0" fontId="15" fillId="0" borderId="1" applyAlignment="1" pivotButton="0" quotePrefix="0" xfId="0">
      <alignment horizontal="general" vertical="bottom"/>
    </xf>
    <xf numFmtId="0" fontId="16" fillId="0" borderId="1" applyAlignment="1" pivotButton="0" quotePrefix="0" xfId="0">
      <alignment horizontal="general" vertical="bottom"/>
    </xf>
    <xf numFmtId="0" fontId="17" fillId="0" borderId="1" applyAlignment="1" pivotButton="0" quotePrefix="0" xfId="0">
      <alignment horizontal="general" vertical="bottom"/>
    </xf>
    <xf numFmtId="0" fontId="18" fillId="0" borderId="1" applyAlignment="1" pivotButton="0" quotePrefix="0" xfId="0">
      <alignment horizontal="general" vertical="bottom"/>
    </xf>
    <xf numFmtId="0" fontId="19" fillId="0" borderId="1" applyAlignment="1" pivotButton="0" quotePrefix="0" xfId="0">
      <alignment horizontal="general" vertical="bottom"/>
    </xf>
    <xf numFmtId="0" fontId="20" fillId="0" borderId="1" applyAlignment="1" pivotButton="0" quotePrefix="0" xfId="0">
      <alignment horizontal="general" vertical="bottom"/>
    </xf>
    <xf numFmtId="0" fontId="21" fillId="0" borderId="1" applyAlignment="1" pivotButton="0" quotePrefix="0" xfId="0">
      <alignment horizontal="general" vertical="bottom"/>
    </xf>
    <xf numFmtId="0" fontId="22" fillId="0" borderId="1" applyAlignment="1" pivotButton="0" quotePrefix="0" xfId="0">
      <alignment horizontal="general" vertical="bottom"/>
    </xf>
    <xf numFmtId="0" fontId="23" fillId="0" borderId="1" applyAlignment="1" pivotButton="0" quotePrefix="0" xfId="0">
      <alignment horizontal="general" vertical="bottom"/>
    </xf>
    <xf numFmtId="0" fontId="24" fillId="0" borderId="1" applyAlignment="1" pivotButton="0" quotePrefix="0" xfId="0">
      <alignment horizontal="general" vertical="bottom"/>
    </xf>
    <xf numFmtId="0" fontId="25" fillId="0" borderId="0" applyAlignment="1" pivotButton="0" quotePrefix="0" xfId="0">
      <alignment horizontal="general" vertical="bottom"/>
    </xf>
    <xf numFmtId="0" fontId="26" fillId="0" borderId="1" applyAlignment="1" pivotButton="0" quotePrefix="0" xfId="0">
      <alignment horizontal="center" vertical="top"/>
    </xf>
    <xf numFmtId="0" fontId="14" fillId="0" borderId="1" applyAlignment="1" pivotButton="0" quotePrefix="0" xfId="0">
      <alignment horizontal="general" vertical="top"/>
    </xf>
    <xf numFmtId="0" fontId="27" fillId="0" borderId="1" applyAlignment="1" pivotButton="0" quotePrefix="0" xfId="0">
      <alignment horizontal="center" vertical="top"/>
    </xf>
    <xf numFmtId="0" fontId="28" fillId="0" borderId="1" applyAlignment="1" pivotButton="0" quotePrefix="0" xfId="0">
      <alignment horizontal="general" vertical="top" wrapText="1"/>
    </xf>
    <xf numFmtId="0" fontId="8" fillId="4" borderId="1" applyAlignment="1" pivotButton="0" quotePrefix="0" xfId="0">
      <alignment horizontal="center" vertical="top"/>
    </xf>
    <xf numFmtId="164" fontId="8" fillId="4" borderId="1" applyAlignment="1" pivotButton="0" quotePrefix="0" xfId="0">
      <alignment horizontal="center" vertical="top"/>
    </xf>
    <xf numFmtId="0" fontId="8" fillId="4" borderId="1" applyAlignment="1" pivotButton="0" quotePrefix="0" xfId="0">
      <alignment horizontal="general" vertical="top"/>
    </xf>
    <xf numFmtId="0" fontId="8" fillId="4" borderId="1" applyAlignment="1" pivotButton="0" quotePrefix="0" xfId="0">
      <alignment horizontal="general" vertical="top" wrapText="1"/>
    </xf>
    <xf numFmtId="0" fontId="26" fillId="3" borderId="1" applyAlignment="1" pivotButton="0" quotePrefix="0" xfId="0">
      <alignment horizontal="center" vertical="top"/>
    </xf>
    <xf numFmtId="0" fontId="14" fillId="3" borderId="1" applyAlignment="1" pivotButton="0" quotePrefix="0" xfId="0">
      <alignment horizontal="general" vertical="top"/>
    </xf>
    <xf numFmtId="0" fontId="29" fillId="3" borderId="1" applyAlignment="1" pivotButton="0" quotePrefix="0" xfId="0">
      <alignment horizontal="center" vertical="top"/>
    </xf>
    <xf numFmtId="0" fontId="30" fillId="3" borderId="1" applyAlignment="1" pivotButton="0" quotePrefix="0" xfId="0">
      <alignment horizontal="center" vertical="top"/>
    </xf>
    <xf numFmtId="0" fontId="28" fillId="3" borderId="1" applyAlignment="1" pivotButton="0" quotePrefix="0" xfId="0">
      <alignment horizontal="general" vertical="top" wrapText="1"/>
    </xf>
    <xf numFmtId="0" fontId="29" fillId="0" borderId="1" applyAlignment="1" pivotButton="0" quotePrefix="0" xfId="0">
      <alignment horizontal="center" vertical="top"/>
    </xf>
    <xf numFmtId="0" fontId="30" fillId="0" borderId="1" applyAlignment="1" pivotButton="0" quotePrefix="0" xfId="0">
      <alignment horizontal="center" vertical="top"/>
    </xf>
    <xf numFmtId="0" fontId="31" fillId="0" borderId="1" applyAlignment="1" pivotButton="0" quotePrefix="0" xfId="0">
      <alignment horizontal="center" vertical="top"/>
    </xf>
    <xf numFmtId="0" fontId="32" fillId="0" borderId="1" applyAlignment="1" pivotButton="0" quotePrefix="0" xfId="0">
      <alignment horizontal="center" vertical="top"/>
    </xf>
    <xf numFmtId="0" fontId="31" fillId="3" borderId="1" applyAlignment="1" pivotButton="0" quotePrefix="0" xfId="0">
      <alignment horizontal="center" vertical="top"/>
    </xf>
    <xf numFmtId="0" fontId="32" fillId="3" borderId="1" applyAlignment="1" pivotButton="0" quotePrefix="0" xfId="0">
      <alignment horizontal="center" vertical="top"/>
    </xf>
    <xf numFmtId="0" fontId="33" fillId="3" borderId="1" applyAlignment="1" pivotButton="0" quotePrefix="0" xfId="0">
      <alignment horizontal="center" vertical="top"/>
    </xf>
    <xf numFmtId="0" fontId="34" fillId="3" borderId="1" applyAlignment="1" pivotButton="0" quotePrefix="0" xfId="0">
      <alignment horizontal="center" vertical="top"/>
    </xf>
    <xf numFmtId="0" fontId="24" fillId="0" borderId="1" applyAlignment="1" pivotButton="0" quotePrefix="0" xfId="0">
      <alignment horizontal="center" vertical="top"/>
    </xf>
    <xf numFmtId="0" fontId="35" fillId="0" borderId="1" applyAlignment="1" pivotButton="0" quotePrefix="0" xfId="0">
      <alignment horizontal="center" vertical="top"/>
    </xf>
    <xf numFmtId="0" fontId="24" fillId="3" borderId="1" applyAlignment="1" pivotButton="0" quotePrefix="0" xfId="0">
      <alignment horizontal="center" vertical="top"/>
    </xf>
    <xf numFmtId="0" fontId="35" fillId="3" borderId="1" applyAlignment="1" pivotButton="0" quotePrefix="0" xfId="0">
      <alignment horizontal="center" vertical="top"/>
    </xf>
    <xf numFmtId="0" fontId="36" fillId="3" borderId="1" applyAlignment="1" pivotButton="0" quotePrefix="0" xfId="0">
      <alignment horizontal="center" vertical="top"/>
    </xf>
    <xf numFmtId="0" fontId="27" fillId="3" borderId="1" applyAlignment="1" pivotButton="0" quotePrefix="0" xfId="0">
      <alignment horizontal="center" vertical="top"/>
    </xf>
    <xf numFmtId="0" fontId="37" fillId="3" borderId="1" applyAlignment="1" pivotButton="0" quotePrefix="0" xfId="0">
      <alignment horizontal="center" vertical="top"/>
    </xf>
    <xf numFmtId="0" fontId="33" fillId="0" borderId="1" applyAlignment="1" pivotButton="0" quotePrefix="0" xfId="0">
      <alignment horizontal="center" vertical="top"/>
    </xf>
    <xf numFmtId="0" fontId="37" fillId="0" borderId="1" applyAlignment="1" pivotButton="0" quotePrefix="0" xfId="0">
      <alignment horizontal="center" vertical="top"/>
    </xf>
    <xf numFmtId="0" fontId="38" fillId="3" borderId="1" applyAlignment="1" pivotButton="0" quotePrefix="0" xfId="0">
      <alignment horizontal="center" vertical="top"/>
    </xf>
    <xf numFmtId="0" fontId="38" fillId="0" borderId="1" applyAlignment="1" pivotButton="0" quotePrefix="0" xfId="0">
      <alignment horizontal="center" vertical="top"/>
    </xf>
    <xf numFmtId="0" fontId="34" fillId="0" borderId="1" applyAlignment="1" pivotButton="0" quotePrefix="0" xfId="0">
      <alignment horizontal="center" vertical="top"/>
    </xf>
    <xf numFmtId="0" fontId="39" fillId="3" borderId="1" applyAlignment="1" pivotButton="0" quotePrefix="0" xfId="0">
      <alignment horizontal="center" vertical="top"/>
    </xf>
    <xf numFmtId="0" fontId="40" fillId="0" borderId="1" applyAlignment="1" pivotButton="0" quotePrefix="0" xfId="0">
      <alignment horizontal="center" vertical="top"/>
    </xf>
    <xf numFmtId="0" fontId="39" fillId="0" borderId="1" applyAlignment="1" pivotButton="0" quotePrefix="0" xfId="0">
      <alignment horizontal="center" vertical="top"/>
    </xf>
    <xf numFmtId="0" fontId="20" fillId="0" borderId="1" applyAlignment="1" pivotButton="0" quotePrefix="0" xfId="0">
      <alignment horizontal="center" vertical="top"/>
    </xf>
    <xf numFmtId="0" fontId="40" fillId="3" borderId="1" applyAlignment="1" pivotButton="0" quotePrefix="0" xfId="0">
      <alignment horizontal="center" vertical="top"/>
    </xf>
    <xf numFmtId="0" fontId="20" fillId="3" borderId="1" applyAlignment="1" pivotButton="0" quotePrefix="0" xfId="0">
      <alignment horizontal="center" vertical="top"/>
    </xf>
    <xf numFmtId="0" fontId="36" fillId="0" borderId="1" applyAlignment="1" pivotButton="0" quotePrefix="0" xfId="0">
      <alignment horizontal="center" vertical="top"/>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43" fillId="0" borderId="0" applyAlignment="1" pivotButton="0" quotePrefix="0" xfId="0">
      <alignment horizontal="general" vertical="bottom"/>
    </xf>
    <xf numFmtId="0" fontId="44" fillId="0" borderId="0" applyAlignment="1" pivotButton="0" quotePrefix="0" xfId="0">
      <alignment horizontal="general" vertical="top"/>
    </xf>
    <xf numFmtId="0" fontId="4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8" fillId="0" borderId="1" applyAlignment="1" pivotButton="0" quotePrefix="0" xfId="0">
      <alignment horizontal="general" vertical="top" wrapText="1"/>
    </xf>
    <xf numFmtId="0" fontId="8" fillId="0" borderId="1" applyAlignment="1" pivotButton="0" quotePrefix="0" xfId="0">
      <alignment horizontal="center" vertical="top"/>
    </xf>
    <xf numFmtId="0" fontId="8" fillId="0" borderId="1" applyAlignment="1" pivotButton="0" quotePrefix="0" xfId="0">
      <alignment horizontal="general" vertical="top"/>
    </xf>
    <xf numFmtId="0" fontId="9" fillId="3" borderId="1" applyAlignment="1" pivotButton="0" quotePrefix="0" xfId="0">
      <alignment horizontal="general" vertical="top"/>
    </xf>
    <xf numFmtId="0" fontId="8" fillId="3" borderId="1" applyAlignment="1" pivotButton="0" quotePrefix="0" xfId="0">
      <alignment horizontal="general" vertical="top" wrapText="1"/>
    </xf>
    <xf numFmtId="0" fontId="8" fillId="3" borderId="1" applyAlignment="1" pivotButton="0" quotePrefix="0" xfId="0">
      <alignment horizontal="center" vertical="top"/>
    </xf>
    <xf numFmtId="0" fontId="8" fillId="3" borderId="1" applyAlignment="1" pivotButton="0" quotePrefix="0" xfId="0">
      <alignment horizontal="general" vertical="top"/>
    </xf>
    <xf numFmtId="0" fontId="10" fillId="0" borderId="1" applyAlignment="1" pivotButton="0" quotePrefix="0" xfId="0">
      <alignment horizontal="general" vertical="top"/>
    </xf>
    <xf numFmtId="0" fontId="11" fillId="3" borderId="1" applyAlignment="1" pivotButton="0" quotePrefix="0" xfId="0">
      <alignment horizontal="general" vertical="top"/>
    </xf>
    <xf numFmtId="0" fontId="12" fillId="2" borderId="1" applyAlignment="1" pivotButton="0" quotePrefix="0" xfId="0">
      <alignment horizontal="center" vertical="top"/>
    </xf>
    <xf numFmtId="0" fontId="13" fillId="0" borderId="0" applyAlignment="1" pivotButton="0" quotePrefix="0" xfId="0">
      <alignment horizontal="general" vertical="bottom"/>
    </xf>
    <xf numFmtId="0" fontId="14" fillId="0" borderId="0" applyAlignment="1" pivotButton="0" quotePrefix="0" xfId="0">
      <alignment horizontal="general" vertical="top"/>
    </xf>
    <xf numFmtId="0" fontId="8" fillId="0" borderId="0" applyAlignment="1" pivotButton="0" quotePrefix="0" xfId="0">
      <alignment horizontal="general" vertical="top" wrapText="1"/>
    </xf>
    <xf numFmtId="0" fontId="15" fillId="0" borderId="1" applyAlignment="1" pivotButton="0" quotePrefix="0" xfId="0">
      <alignment horizontal="general" vertical="bottom"/>
    </xf>
    <xf numFmtId="0" fontId="16" fillId="0" borderId="1" applyAlignment="1" pivotButton="0" quotePrefix="0" xfId="0">
      <alignment horizontal="general" vertical="bottom"/>
    </xf>
    <xf numFmtId="0" fontId="17" fillId="0" borderId="1" applyAlignment="1" pivotButton="0" quotePrefix="0" xfId="0">
      <alignment horizontal="general" vertical="bottom"/>
    </xf>
    <xf numFmtId="0" fontId="18" fillId="0" borderId="1" applyAlignment="1" pivotButton="0" quotePrefix="0" xfId="0">
      <alignment horizontal="general" vertical="bottom"/>
    </xf>
    <xf numFmtId="0" fontId="19" fillId="0" borderId="1" applyAlignment="1" pivotButton="0" quotePrefix="0" xfId="0">
      <alignment horizontal="general" vertical="bottom"/>
    </xf>
    <xf numFmtId="0" fontId="20" fillId="0" borderId="1" applyAlignment="1" pivotButton="0" quotePrefix="0" xfId="0">
      <alignment horizontal="general" vertical="bottom"/>
    </xf>
    <xf numFmtId="0" fontId="21" fillId="0" borderId="1" applyAlignment="1" pivotButton="0" quotePrefix="0" xfId="0">
      <alignment horizontal="general" vertical="bottom"/>
    </xf>
    <xf numFmtId="0" fontId="22" fillId="0" borderId="1" applyAlignment="1" pivotButton="0" quotePrefix="0" xfId="0">
      <alignment horizontal="general" vertical="bottom"/>
    </xf>
    <xf numFmtId="0" fontId="23" fillId="0" borderId="1" applyAlignment="1" pivotButton="0" quotePrefix="0" xfId="0">
      <alignment horizontal="general" vertical="bottom"/>
    </xf>
    <xf numFmtId="0" fontId="24" fillId="0" borderId="1" applyAlignment="1" pivotButton="0" quotePrefix="0" xfId="0">
      <alignment horizontal="general" vertical="bottom"/>
    </xf>
    <xf numFmtId="0" fontId="25" fillId="0" borderId="0" applyAlignment="1" pivotButton="0" quotePrefix="0" xfId="0">
      <alignment horizontal="general" vertical="bottom"/>
    </xf>
    <xf numFmtId="0" fontId="26" fillId="0" borderId="1" applyAlignment="1" pivotButton="0" quotePrefix="0" xfId="0">
      <alignment horizontal="center" vertical="top"/>
    </xf>
    <xf numFmtId="0" fontId="14" fillId="0" borderId="1" applyAlignment="1" pivotButton="0" quotePrefix="0" xfId="0">
      <alignment horizontal="general" vertical="top"/>
    </xf>
    <xf numFmtId="0" fontId="27" fillId="0" borderId="1" applyAlignment="1" pivotButton="0" quotePrefix="0" xfId="0">
      <alignment horizontal="center" vertical="top"/>
    </xf>
    <xf numFmtId="0" fontId="28" fillId="0" borderId="1" applyAlignment="1" pivotButton="0" quotePrefix="0" xfId="0">
      <alignment horizontal="general" vertical="top" wrapText="1"/>
    </xf>
    <xf numFmtId="0" fontId="8" fillId="4" borderId="1" applyAlignment="1" pivotButton="0" quotePrefix="0" xfId="0">
      <alignment horizontal="center" vertical="top"/>
    </xf>
    <xf numFmtId="164" fontId="8" fillId="4" borderId="1" applyAlignment="1" pivotButton="0" quotePrefix="0" xfId="0">
      <alignment horizontal="center" vertical="top"/>
    </xf>
    <xf numFmtId="0" fontId="8" fillId="4" borderId="1" applyAlignment="1" pivotButton="0" quotePrefix="0" xfId="0">
      <alignment horizontal="general" vertical="top"/>
    </xf>
    <xf numFmtId="0" fontId="8" fillId="4" borderId="1" applyAlignment="1" pivotButton="0" quotePrefix="0" xfId="0">
      <alignment horizontal="general" vertical="top" wrapText="1"/>
    </xf>
    <xf numFmtId="0" fontId="26" fillId="3" borderId="1" applyAlignment="1" pivotButton="0" quotePrefix="0" xfId="0">
      <alignment horizontal="center" vertical="top"/>
    </xf>
    <xf numFmtId="0" fontId="14" fillId="3" borderId="1" applyAlignment="1" pivotButton="0" quotePrefix="0" xfId="0">
      <alignment horizontal="general" vertical="top"/>
    </xf>
    <xf numFmtId="0" fontId="29" fillId="3" borderId="1" applyAlignment="1" pivotButton="0" quotePrefix="0" xfId="0">
      <alignment horizontal="center" vertical="top"/>
    </xf>
    <xf numFmtId="0" fontId="30" fillId="3" borderId="1" applyAlignment="1" pivotButton="0" quotePrefix="0" xfId="0">
      <alignment horizontal="center" vertical="top"/>
    </xf>
    <xf numFmtId="0" fontId="28" fillId="3" borderId="1" applyAlignment="1" pivotButton="0" quotePrefix="0" xfId="0">
      <alignment horizontal="general" vertical="top" wrapText="1"/>
    </xf>
    <xf numFmtId="0" fontId="29" fillId="0" borderId="1" applyAlignment="1" pivotButton="0" quotePrefix="0" xfId="0">
      <alignment horizontal="center" vertical="top"/>
    </xf>
    <xf numFmtId="0" fontId="30" fillId="0" borderId="1" applyAlignment="1" pivotButton="0" quotePrefix="0" xfId="0">
      <alignment horizontal="center" vertical="top"/>
    </xf>
    <xf numFmtId="0" fontId="31" fillId="0" borderId="1" applyAlignment="1" pivotButton="0" quotePrefix="0" xfId="0">
      <alignment horizontal="center" vertical="top"/>
    </xf>
    <xf numFmtId="0" fontId="32" fillId="0" borderId="1" applyAlignment="1" pivotButton="0" quotePrefix="0" xfId="0">
      <alignment horizontal="center" vertical="top"/>
    </xf>
    <xf numFmtId="0" fontId="31" fillId="3" borderId="1" applyAlignment="1" pivotButton="0" quotePrefix="0" xfId="0">
      <alignment horizontal="center" vertical="top"/>
    </xf>
    <xf numFmtId="0" fontId="32" fillId="3" borderId="1" applyAlignment="1" pivotButton="0" quotePrefix="0" xfId="0">
      <alignment horizontal="center" vertical="top"/>
    </xf>
    <xf numFmtId="0" fontId="33" fillId="3" borderId="1" applyAlignment="1" pivotButton="0" quotePrefix="0" xfId="0">
      <alignment horizontal="center" vertical="top"/>
    </xf>
    <xf numFmtId="0" fontId="34" fillId="3" borderId="1" applyAlignment="1" pivotButton="0" quotePrefix="0" xfId="0">
      <alignment horizontal="center" vertical="top"/>
    </xf>
    <xf numFmtId="0" fontId="24" fillId="0" borderId="1" applyAlignment="1" pivotButton="0" quotePrefix="0" xfId="0">
      <alignment horizontal="center" vertical="top"/>
    </xf>
    <xf numFmtId="0" fontId="35" fillId="0" borderId="1" applyAlignment="1" pivotButton="0" quotePrefix="0" xfId="0">
      <alignment horizontal="center" vertical="top"/>
    </xf>
    <xf numFmtId="0" fontId="24" fillId="3" borderId="1" applyAlignment="1" pivotButton="0" quotePrefix="0" xfId="0">
      <alignment horizontal="center" vertical="top"/>
    </xf>
    <xf numFmtId="0" fontId="35" fillId="3" borderId="1" applyAlignment="1" pivotButton="0" quotePrefix="0" xfId="0">
      <alignment horizontal="center" vertical="top"/>
    </xf>
    <xf numFmtId="0" fontId="36" fillId="3" borderId="1" applyAlignment="1" pivotButton="0" quotePrefix="0" xfId="0">
      <alignment horizontal="center" vertical="top"/>
    </xf>
    <xf numFmtId="0" fontId="27" fillId="3" borderId="1" applyAlignment="1" pivotButton="0" quotePrefix="0" xfId="0">
      <alignment horizontal="center" vertical="top"/>
    </xf>
    <xf numFmtId="0" fontId="37" fillId="3" borderId="1" applyAlignment="1" pivotButton="0" quotePrefix="0" xfId="0">
      <alignment horizontal="center" vertical="top"/>
    </xf>
    <xf numFmtId="0" fontId="33" fillId="0" borderId="1" applyAlignment="1" pivotButton="0" quotePrefix="0" xfId="0">
      <alignment horizontal="center" vertical="top"/>
    </xf>
    <xf numFmtId="0" fontId="37" fillId="0" borderId="1" applyAlignment="1" pivotButton="0" quotePrefix="0" xfId="0">
      <alignment horizontal="center" vertical="top"/>
    </xf>
    <xf numFmtId="0" fontId="38" fillId="3" borderId="1" applyAlignment="1" pivotButton="0" quotePrefix="0" xfId="0">
      <alignment horizontal="center" vertical="top"/>
    </xf>
    <xf numFmtId="0" fontId="38" fillId="0" borderId="1" applyAlignment="1" pivotButton="0" quotePrefix="0" xfId="0">
      <alignment horizontal="center" vertical="top"/>
    </xf>
    <xf numFmtId="0" fontId="34" fillId="0" borderId="1" applyAlignment="1" pivotButton="0" quotePrefix="0" xfId="0">
      <alignment horizontal="center" vertical="top"/>
    </xf>
    <xf numFmtId="0" fontId="39" fillId="3" borderId="1" applyAlignment="1" pivotButton="0" quotePrefix="0" xfId="0">
      <alignment horizontal="center" vertical="top"/>
    </xf>
    <xf numFmtId="0" fontId="40" fillId="0" borderId="1" applyAlignment="1" pivotButton="0" quotePrefix="0" xfId="0">
      <alignment horizontal="center" vertical="top"/>
    </xf>
    <xf numFmtId="0" fontId="39" fillId="0" borderId="1" applyAlignment="1" pivotButton="0" quotePrefix="0" xfId="0">
      <alignment horizontal="center" vertical="top"/>
    </xf>
    <xf numFmtId="0" fontId="20" fillId="0" borderId="1" applyAlignment="1" pivotButton="0" quotePrefix="0" xfId="0">
      <alignment horizontal="center" vertical="top"/>
    </xf>
    <xf numFmtId="0" fontId="40" fillId="3" borderId="1" applyAlignment="1" pivotButton="0" quotePrefix="0" xfId="0">
      <alignment horizontal="center" vertical="top"/>
    </xf>
    <xf numFmtId="0" fontId="20" fillId="3" borderId="1" applyAlignment="1" pivotButton="0" quotePrefix="0" xfId="0">
      <alignment horizontal="center" vertical="top"/>
    </xf>
    <xf numFmtId="0" fontId="36" fillId="0" borderId="1" applyAlignment="1" pivotButton="0" quotePrefix="0" xfId="0">
      <alignment horizontal="center" vertical="top"/>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43" fillId="0" borderId="0" applyAlignment="1" pivotButton="0" quotePrefix="0" xfId="0">
      <alignment horizontal="general" vertical="bottom"/>
    </xf>
    <xf numFmtId="0" fontId="44" fillId="0" borderId="0" applyAlignment="1" pivotButton="0" quotePrefix="0" xfId="0">
      <alignment horizontal="general" vertical="top"/>
    </xf>
    <xf numFmtId="0" fontId="45" fillId="0" borderId="0" applyAlignment="1" pivotButton="0" quotePrefix="0" xfId="0">
      <alignment horizontal="general" vertical="top" wrapText="1"/>
    </xf>
    <xf numFmtId="0" fontId="46" fillId="0" borderId="0" pivotButton="0" quotePrefix="0" xfId="0"/>
    <xf numFmtId="0" fontId="47" fillId="0" borderId="0" pivotButton="0" quotePrefix="0" xfId="0"/>
    <xf numFmtId="0" fontId="48" fillId="5" borderId="0" applyAlignment="1" pivotButton="0" quotePrefix="0" xfId="0">
      <alignment vertical="center" wrapText="1"/>
    </xf>
    <xf numFmtId="0" fontId="49" fillId="0" borderId="0" pivotButton="0" quotePrefix="0" xfId="0"/>
    <xf numFmtId="0" fontId="50" fillId="0" borderId="0" applyAlignment="1" pivotButton="0" quotePrefix="0" xfId="0">
      <alignment vertical="top" wrapText="1"/>
    </xf>
    <xf numFmtId="0" fontId="51" fillId="6" borderId="0" pivotButton="0" quotePrefix="0" xfId="0"/>
    <xf numFmtId="0" fontId="0" fillId="0" borderId="0" applyAlignment="1" pivotButton="0" quotePrefix="0" xfId="0">
      <alignment horizontal="center"/>
    </xf>
    <xf numFmtId="9" fontId="0" fillId="0" borderId="0" pivotButton="0" quotePrefix="0" xfId="0"/>
    <xf numFmtId="0" fontId="52" fillId="6" borderId="0" pivotButton="0" quotePrefix="0" xfId="0"/>
    <xf numFmtId="9" fontId="52" fillId="6" borderId="0" pivotButton="0" quotePrefix="0" xfId="0"/>
    <xf numFmtId="0" fontId="53" fillId="0" borderId="0" pivotButton="0" quotePrefix="0" xfId="0"/>
    <xf numFmtId="0" fontId="54" fillId="0" borderId="0" pivotButton="0" quotePrefix="0" xfId="0"/>
    <xf numFmtId="0" fontId="51" fillId="6" borderId="0" applyAlignment="1" pivotButton="0" quotePrefix="0" xfId="0">
      <alignment horizontal="center"/>
    </xf>
    <xf numFmtId="165" fontId="0" fillId="0" borderId="0" pivotButton="0" quotePrefix="0" xfId="0"/>
    <xf numFmtId="165" fontId="8" fillId="4"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4">
    <dxf>
      <fill>
        <patternFill patternType="solid">
          <fgColor rgb="FF0F2540"/>
          <bgColor rgb="FF000000"/>
        </patternFill>
      </fill>
    </dxf>
    <dxf>
      <fill>
        <patternFill patternType="solid">
          <fgColor rgb="FFF7FAFD"/>
          <bgColor rgb="FF000000"/>
        </patternFill>
      </fill>
    </dxf>
    <dxf>
      <fill>
        <patternFill patternType="solid">
          <bgColor rgb="FF000000"/>
        </patternFill>
      </fill>
    </dxf>
    <dxf>
      <fill>
        <patternFill patternType="solid">
          <fgColor rgb="FF64748B"/>
          <bgColor rgb="FF000000"/>
        </patternFill>
      </fill>
    </dxf>
    <dxf>
      <fill>
        <patternFill patternType="solid">
          <fgColor rgb="FF9AA6B2"/>
          <bgColor rgb="FF000000"/>
        </patternFill>
      </fill>
    </dxf>
    <dxf>
      <fill>
        <patternFill patternType="solid">
          <fgColor rgb="FFFFFFFF"/>
          <bgColor rgb="FF000000"/>
        </patternFill>
      </fill>
    </dxf>
    <dxf>
      <fill>
        <patternFill patternType="solid">
          <fgColor rgb="FF16202B"/>
          <bgColor rgb="FF000000"/>
        </patternFill>
      </fill>
    </dxf>
    <dxf>
      <fill>
        <patternFill patternType="solid">
          <fgColor rgb="FF0284C7"/>
          <bgColor rgb="FF000000"/>
        </patternFill>
      </fill>
    </dxf>
    <dxf>
      <fill>
        <patternFill patternType="solid">
          <fgColor rgb="FF0EA5A4"/>
          <bgColor rgb="FF000000"/>
        </patternFill>
      </fill>
    </dxf>
    <dxf>
      <fill>
        <patternFill patternType="solid">
          <fgColor rgb="FF2E9BF5"/>
          <bgColor rgb="FF000000"/>
        </patternFill>
      </fill>
    </dxf>
    <dxf>
      <fill>
        <patternFill patternType="solid">
          <fgColor rgb="FF65A30D"/>
          <bgColor rgb="FF000000"/>
        </patternFill>
      </fill>
    </dxf>
    <dxf>
      <fill>
        <patternFill patternType="solid">
          <fgColor rgb="FF8B5CF6"/>
          <bgColor rgb="FF000000"/>
        </patternFill>
      </fill>
    </dxf>
    <dxf>
      <fill>
        <patternFill patternType="solid">
          <fgColor rgb="FF92400E"/>
          <bgColor rgb="FF000000"/>
        </patternFill>
      </fill>
    </dxf>
    <dxf>
      <fill>
        <patternFill patternType="solid">
          <fgColor rgb="FFDC2626"/>
          <bgColor rgb="FF000000"/>
        </patternFill>
      </fill>
    </dxf>
    <dxf>
      <fill>
        <patternFill patternType="solid">
          <fgColor rgb="FFEC4899"/>
          <bgColor rgb="FF000000"/>
        </patternFill>
      </fill>
    </dxf>
    <dxf>
      <fill>
        <patternFill patternType="solid">
          <fgColor rgb="FFF97A1F"/>
          <bgColor rgb="FF000000"/>
        </patternFill>
      </fill>
    </dxf>
    <dxf>
      <fill>
        <patternFill patternType="solid">
          <fgColor rgb="FF0891B2"/>
          <bgColor rgb="FF000000"/>
        </patternFill>
      </fill>
    </dxf>
    <dxf>
      <fill>
        <patternFill patternType="solid">
          <fgColor rgb="FF0F766E"/>
          <bgColor rgb="FF000000"/>
        </patternFill>
      </fill>
    </dxf>
    <dxf>
      <fill>
        <patternFill patternType="solid">
          <fgColor rgb="FF7C3AED"/>
          <bgColor rgb="FF000000"/>
        </patternFill>
      </fill>
    </dxf>
    <dxf>
      <fill>
        <patternFill patternType="solid">
          <fgColor rgb="FFDB2777"/>
          <bgColor rgb="FF000000"/>
        </patternFill>
      </fill>
    </dxf>
    <dxf>
      <fill>
        <patternFill patternType="solid">
          <fgColor rgb="FF3D4B5C"/>
          <bgColor rgb="FF000000"/>
        </patternFill>
      </fill>
    </dxf>
    <dxf>
      <fill>
        <patternFill patternType="solid">
          <fgColor rgb="FFD6F5E3"/>
          <bgColor rgb="FF000000"/>
        </patternFill>
      </fill>
    </dxf>
    <dxf>
      <fill>
        <patternFill patternType="solid">
          <fgColor rgb="FFDCEBFB"/>
          <bgColor rgb="FF000000"/>
        </patternFill>
      </fill>
    </dxf>
    <dxf>
      <fill>
        <patternFill patternType="solid">
          <fgColor rgb="FFFBD9D9"/>
          <bgColor rgb="FF000000"/>
        </patternFill>
      </fill>
    </dxf>
    <dxf>
      <fill>
        <patternFill patternType="solid">
          <fgColor rgb="FFFFFCF0"/>
          <bgColor rgb="FF000000"/>
        </patternFill>
      </fill>
    </dxf>
    <dxf>
      <fill>
        <patternFill patternType="solid">
          <fgColor rgb="FFFFE1C2"/>
          <bgColor rgb="FF000000"/>
        </patternFill>
      </fill>
    </dxf>
    <dxf>
      <fill>
        <patternFill patternType="solid">
          <fgColor rgb="FF9A3412"/>
          <bgColor rgb="FF000000"/>
        </patternFill>
      </fill>
    </dxf>
    <dxf>
      <font>
        <name val="Arial"/>
        <charset val="1"/>
        <family val="0"/>
        <b val="1"/>
        <color rgb="FF16202B"/>
        <sz val="9"/>
      </font>
      <fill>
        <patternFill>
          <bgColor rgb="FFDCEBFB"/>
        </patternFill>
      </fill>
    </dxf>
    <dxf>
      <font>
        <name val="Arial"/>
        <charset val="1"/>
        <family val="0"/>
        <b val="1"/>
        <color rgb="FF16202B"/>
        <sz val="9"/>
      </font>
      <fill>
        <patternFill>
          <bgColor rgb="FFFFF0D6"/>
        </patternFill>
      </fill>
    </dxf>
    <dxf>
      <font>
        <name val="Arial"/>
        <charset val="1"/>
        <family val="0"/>
        <b val="1"/>
        <color rgb="FF16202B"/>
        <sz val="9"/>
      </font>
      <fill>
        <patternFill>
          <bgColor rgb="FFEADCFB"/>
        </patternFill>
      </fill>
    </dxf>
    <dxf>
      <font>
        <name val="Arial"/>
        <charset val="1"/>
        <family val="0"/>
        <b val="1"/>
        <color rgb="FF16202B"/>
        <sz val="9"/>
      </font>
      <fill>
        <patternFill>
          <bgColor rgb="FFFBD9D9"/>
        </patternFill>
      </fill>
    </dxf>
    <dxf>
      <font>
        <name val="Arial"/>
        <charset val="1"/>
        <family val="0"/>
        <b val="1"/>
        <color rgb="FF16202B"/>
        <sz val="9"/>
      </font>
      <fill>
        <patternFill>
          <bgColor rgb="FFD6F5E3"/>
        </patternFill>
      </fill>
    </dxf>
    <dxf>
      <font>
        <name val="Arial"/>
        <charset val="1"/>
        <family val="0"/>
        <color rgb="FF9AA6B2"/>
        <sz val="9"/>
      </font>
    </dxf>
    <dxf>
      <font>
        <name val="Arial"/>
        <charset val="1"/>
        <family val="0"/>
        <b val="1"/>
        <color rgb="FF9A3412"/>
        <sz val="9"/>
      </font>
      <fill>
        <patternFill>
          <bgColor rgb="FFFFE1C2"/>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65A30D"/>
      <rgbColor rgb="FF800080"/>
      <rgbColor rgb="FF0F766E"/>
      <rgbColor rgb="FFFBD9D9"/>
      <rgbColor rgb="FF808080"/>
      <rgbColor rgb="FF8B5CF6"/>
      <rgbColor rgb="FF92400E"/>
      <rgbColor rgb="FFFFF0D6"/>
      <rgbColor rgb="FFDCEBFB"/>
      <rgbColor rgb="FF660066"/>
      <rgbColor rgb="FFEC4899"/>
      <rgbColor rgb="FF0284C7"/>
      <rgbColor rgb="FFEADCFB"/>
      <rgbColor rgb="FF000080"/>
      <rgbColor rgb="FFFF00FF"/>
      <rgbColor rgb="FFFFFF00"/>
      <rgbColor rgb="FF00FFFF"/>
      <rgbColor rgb="FF800080"/>
      <rgbColor rgb="FF800000"/>
      <rgbColor rgb="FF0891B2"/>
      <rgbColor rgb="FF0000FF"/>
      <rgbColor rgb="FF00CCFF"/>
      <rgbColor rgb="FFE3EAF2"/>
      <rgbColor rgb="FFD6F5E3"/>
      <rgbColor rgb="FFFFFCF0"/>
      <rgbColor rgb="FFF7FAFD"/>
      <rgbColor rgb="FFFF99CC"/>
      <rgbColor rgb="FFCC99FF"/>
      <rgbColor rgb="FFFFE1C2"/>
      <rgbColor rgb="FF7C3AED"/>
      <rgbColor rgb="FF2E9BF5"/>
      <rgbColor rgb="FF99CC00"/>
      <rgbColor rgb="FFFFCC00"/>
      <rgbColor rgb="FFFF9900"/>
      <rgbColor rgb="FFF97A1F"/>
      <rgbColor rgb="FF64748B"/>
      <rgbColor rgb="FF9AA6B2"/>
      <rgbColor rgb="FF0F2540"/>
      <rgbColor rgb="FF0EA5A4"/>
      <rgbColor rgb="FF003300"/>
      <rgbColor rgb="FF333300"/>
      <rgbColor rgb="FF9A3412"/>
      <rgbColor rgb="FFDB2777"/>
      <rgbColor rgb="FF3D4B5C"/>
      <rgbColor rgb="FF1620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4" min="1" max="1"/>
    <col width="44" customWidth="1" style="74" min="2" max="2"/>
    <col width="9" customWidth="1" style="74" min="3" max="3"/>
    <col width="13" customWidth="1" style="74" min="4" max="4"/>
    <col width="20" customWidth="1" style="74" min="5" max="6"/>
    <col width="44" customWidth="1" style="74" min="7" max="7"/>
  </cols>
  <sheetData>
    <row r="1" ht="24" customHeight="1" s="75">
      <c r="A1" s="76" t="inlineStr">
        <is>
          <t>SponsorX — Full Programme Roadmap</t>
        </is>
      </c>
    </row>
    <row r="2" ht="15" customHeight="1" s="75">
      <c r="A2" s="77" t="inlineStr">
        <is>
          <t>Six phases (the blueprint's four; the INFINEX game split out on 2026-10-16 and became Phase 6 on 2026-10-27, when the Certified Recruiting partnership took Phase 5), 356 tasks. Each phase has its own sheet. Every task says where the work physically happens.</t>
        </is>
      </c>
    </row>
    <row r="3"/>
    <row r="4" ht="30" customHeight="1" s="75">
      <c r="A4" s="78" t="inlineStr">
        <is>
          <t>Phase</t>
        </is>
      </c>
      <c r="B4" s="78" t="inlineStr">
        <is>
          <t>Outcome</t>
        </is>
      </c>
      <c r="C4" s="78" t="inlineStr">
        <is>
          <t>Tasks</t>
        </is>
      </c>
      <c r="D4" s="78" t="inlineStr">
        <is>
          <t>Person-days</t>
        </is>
      </c>
      <c r="E4" s="78" t="inlineStr">
        <is>
          <t>Blueprint timeline</t>
        </is>
      </c>
      <c r="F4" s="78" t="inlineStr">
        <is>
          <t>Balanced budget</t>
        </is>
      </c>
      <c r="G4" s="78" t="inlineStr">
        <is>
          <t>Depends on</t>
        </is>
      </c>
    </row>
    <row r="5" ht="23.85" customHeight="1" s="75">
      <c r="A5" s="79" t="inlineStr">
        <is>
          <t>Phase 1</t>
        </is>
      </c>
      <c r="B5" s="80" t="inlineStr">
        <is>
          <t>Managed micro-NIL marketplace — the §39 loop working for 25 athletes and 10 businesses</t>
        </is>
      </c>
      <c r="C5" s="81" t="inlineStr">
        <is>
          <t>249</t>
        </is>
      </c>
      <c r="D5" s="81" t="inlineStr">
        <is>
          <t>601</t>
        </is>
      </c>
      <c r="E5" s="82" t="inlineStr">
        <is>
          <t>14–18 weeks</t>
        </is>
      </c>
      <c r="F5" s="82" t="inlineStr">
        <is>
          <t>$75K–$105K</t>
        </is>
      </c>
      <c r="G5" s="80" t="inlineStr">
        <is>
          <t>Nothing — this is the start</t>
        </is>
      </c>
    </row>
    <row r="6" ht="35.05" customHeight="1" s="75">
      <c r="A6" s="83" t="inlineStr">
        <is>
          <t>Phase 2</t>
        </is>
      </c>
      <c r="B6" s="84" t="inlineStr">
        <is>
          <t>Transactional marketplace: external properties, payments, commission ledger, payouts, wallet rewards</t>
        </is>
      </c>
      <c r="C6" s="85" t="n">
        <v>64</v>
      </c>
      <c r="D6" s="85" t="n">
        <v>260</v>
      </c>
      <c r="E6" s="86" t="inlineStr">
        <is>
          <t>16–20 weeks</t>
        </is>
      </c>
      <c r="F6" s="86" t="inlineStr">
        <is>
          <t>$80K–$120K</t>
        </is>
      </c>
      <c r="G6" s="84" t="inlineStr">
        <is>
          <t>Phase 1 auth/RBAC, sponsor/property/inventory/campaign/reward models, Zoho integration, core analytics</t>
        </is>
      </c>
    </row>
    <row r="7" ht="23.85" customHeight="1" s="75">
      <c r="A7" s="87" t="inlineStr">
        <is>
          <t>Phase 3</t>
        </is>
      </c>
      <c r="B7" s="80" t="inlineStr">
        <is>
          <t>Dynamic pricing, sponsor matching, forecasting, attribution and the data platform</t>
        </is>
      </c>
      <c r="C7" s="81" t="n">
        <v>44</v>
      </c>
      <c r="D7" s="81" t="n">
        <v>184</v>
      </c>
      <c r="E7" s="82" t="inlineStr">
        <is>
          <t>18–22 weeks</t>
        </is>
      </c>
      <c r="F7" s="82" t="inlineStr">
        <is>
          <t>$105K–$160K</t>
        </is>
      </c>
      <c r="G7" s="80" t="inlineStr">
        <is>
          <t>Phase 2 transaction history, campaign performance data, marketplace activity, reliable event ingestion</t>
        </is>
      </c>
    </row>
    <row r="8" ht="23.85" customHeight="1" s="75">
      <c r="A8" s="88" t="inlineStr">
        <is>
          <t>Phase 4</t>
        </is>
      </c>
      <c r="B8" s="84" t="inlineStr">
        <is>
          <t>INFINEX virtual sponsorship, SponsorX's side as built (all Done). Every open task moved on 2026-10-20 to the game phase (Phase 6 since 2026-10-27): the game is parked</t>
        </is>
      </c>
      <c r="C8" s="85" t="n">
        <v>19</v>
      </c>
      <c r="D8" s="85" t="n">
        <v>62</v>
      </c>
      <c r="E8" s="86" t="inlineStr">
        <is>
          <t>18–22 weeks</t>
        </is>
      </c>
      <c r="F8" s="86" t="inlineStr">
        <is>
          <t>$90K–$150K</t>
        </is>
      </c>
      <c r="G8" s="84" t="inlineStr">
        <is>
          <t>Stable SponsorX APIs, campaign/reward engine, identity/session model, metrics pipeline</t>
        </is>
      </c>
    </row>
    <row r="9" ht="15" customHeight="1" s="75">
      <c r="A9" s="88" t="inlineStr">
        <is>
          <t>Phase 5</t>
        </is>
      </c>
      <c r="B9" s="84" t="inlineStr">
        <is>
          <t>Certified Recruiting partnership: SponsorX and certified-recruiting.com link to each other (the site is already built on GoDaddy; BTG already links to it)</t>
        </is>
      </c>
      <c r="C9" s="85" t="n">
        <v>2</v>
      </c>
      <c r="D9" s="85" t="n">
        <v>2</v>
      </c>
      <c r="E9" s="86" t="inlineStr">
        <is>
          <t>—</t>
        </is>
      </c>
      <c r="F9" s="86" t="inlineStr">
        <is>
          <t>—</t>
        </is>
      </c>
      <c r="G9" s="84" t="inlineStr">
        <is>
          <t>certified-recruiting.com, live</t>
        </is>
      </c>
    </row>
    <row r="10" ht="15" customHeight="1" s="75">
      <c r="A10" s="88" t="inlineStr">
        <is>
          <t>Phase 6</t>
        </is>
      </c>
      <c r="B10" s="84" t="inlineStr">
        <is>
          <t>INFINEX game integration: the in-game connector, the staging world test, the pilot world, calibrated virtual pricing, and player accounts (email, Google, Apple, authenticator) with a live connection</t>
        </is>
      </c>
      <c r="C10" s="85" t="n">
        <v>50</v>
      </c>
      <c r="D10" s="85" t="n">
        <v>198</v>
      </c>
      <c r="E10" s="86" t="inlineStr">
        <is>
          <t>after the game's staging world exists</t>
        </is>
      </c>
      <c r="F10" s="86" t="inlineStr">
        <is>
          <t>—</t>
        </is>
      </c>
      <c r="G10" s="84" t="inlineStr">
        <is>
          <t>The INFINEX game (not started 2026-10-16), Phase 4's endpoints</t>
        </is>
      </c>
    </row>
    <row r="11" s="75">
      <c r="A11" s="89" t="inlineStr">
        <is>
          <t>TOTAL</t>
        </is>
      </c>
      <c r="B11" s="89" t="inlineStr">
        <is>
          <t>Full SponsorX platform</t>
        </is>
      </c>
      <c r="C11" s="89">
        <f>SUM(C5:C10)</f>
        <v/>
      </c>
      <c r="D11" s="89">
        <f>SUM(D5:D10)</f>
        <v/>
      </c>
      <c r="E11" s="89" t="inlineStr">
        <is>
          <t>66–82 weeks</t>
        </is>
      </c>
      <c r="F11" s="89" t="inlineStr">
        <is>
          <t>$350K–$535K</t>
        </is>
      </c>
      <c r="G11" s="89" t="n"/>
    </row>
    <row r="12" s="75"/>
    <row r="13" ht="15" customHeight="1" s="75">
      <c r="A13" s="90" t="inlineStr">
        <is>
          <t>WHERE THE WORK HAPPENS</t>
        </is>
      </c>
    </row>
    <row r="14" ht="27.75" customHeight="1" s="75">
      <c r="A14" s="91" t="inlineStr">
        <is>
          <t>Why this column exists</t>
        </is>
      </c>
      <c r="B14" s="92" t="inlineStr">
        <is>
          <t>A task that says 'create the Zoho module' and a task that says 'author the Zoho mapping document' look identical in a list — but one is click-work in an admin UI and the other is a written spec. Every task now states which.</t>
        </is>
      </c>
    </row>
    <row r="15" ht="15" customHeight="1" s="75">
      <c r="A15" s="91" t="inlineStr">
        <is>
          <t>Document</t>
        </is>
      </c>
      <c r="B15" s="92" t="inlineStr">
        <is>
          <t>A written decision or specification. No system is touched — the output is a document people agree on.</t>
        </is>
      </c>
    </row>
    <row r="16" ht="15" customHeight="1" s="75">
      <c r="A16" s="91" t="inlineStr">
        <is>
          <t>Zoho dashboard</t>
        </is>
      </c>
      <c r="B16" s="92" t="inlineStr">
        <is>
          <t>Configuration clicked through the Zoho CRM admin UI (Setup → Modules and Fields, API credentials, users).</t>
        </is>
      </c>
    </row>
    <row r="17" ht="15" customHeight="1" s="75">
      <c r="A17" s="91" t="inlineStr">
        <is>
          <t>Vendor console</t>
        </is>
      </c>
      <c r="B17" s="92" t="inlineStr">
        <is>
          <t>Configuration in a vendor's own UI — Railway, Cloudflare, Clerk, the payment or email provider.</t>
        </is>
      </c>
    </row>
    <row r="18" ht="15" customHeight="1" s="75">
      <c r="A18" s="91" t="inlineStr">
        <is>
          <t>Code</t>
        </is>
      </c>
      <c r="B18" s="92" t="inlineStr">
        <is>
          <t>Work in the repository: schema, domain logic, routes, worker jobs, UI, tests, CI.</t>
        </is>
      </c>
    </row>
    <row r="19" ht="15" customHeight="1" s="75">
      <c r="A19" s="91" t="inlineStr">
        <is>
          <t>Code + console</t>
        </is>
      </c>
      <c r="B19" s="92" t="inlineStr">
        <is>
          <t>Both: something configured at the vendor AND wired in the codebase.</t>
        </is>
      </c>
    </row>
    <row r="20" ht="15" customHeight="1" s="75">
      <c r="A20" s="91" t="inlineStr">
        <is>
          <t>Design tool</t>
        </is>
      </c>
      <c r="B20" s="92" t="inlineStr">
        <is>
          <t>Visual design work producing artwork, diagrams or screen designs.</t>
        </is>
      </c>
    </row>
    <row r="21" ht="15" customHeight="1" s="75">
      <c r="A21" s="91" t="inlineStr">
        <is>
          <t>Document + code</t>
        </is>
      </c>
      <c r="B21" s="92" t="inlineStr">
        <is>
          <t>A written policy that must then be enforced in the codebase.</t>
        </is>
      </c>
    </row>
    <row r="22" ht="15" customHeight="1" s="75">
      <c r="A22" s="91" t="inlineStr">
        <is>
          <t>External · counsel</t>
        </is>
      </c>
      <c r="B22" s="92" t="inlineStr">
        <is>
          <t>Performed by a lawyer, not the team. Longest lead times in the programme — start these early.</t>
        </is>
      </c>
    </row>
    <row r="23" s="75"/>
    <row r="24" ht="15" customHeight="1" s="75">
      <c r="A24" s="90" t="inlineStr">
        <is>
          <t>HOW TO READ THIS WORKBOOK</t>
        </is>
      </c>
    </row>
    <row r="25" ht="15" customHeight="1" s="75">
      <c r="A25" s="91" t="inlineStr">
        <is>
          <t>One sheet per phase</t>
        </is>
      </c>
      <c r="B25" s="92" t="inlineStr">
        <is>
          <t>Phase 1–5, identical 18 columns, so they behave the same way.</t>
        </is>
      </c>
    </row>
    <row r="26" ht="27.75" customHeight="1" s="75">
      <c r="A26" s="91" t="inlineStr">
        <is>
          <t>Task IDs</t>
        </is>
      </c>
      <c r="B26" s="92" t="inlineStr">
        <is>
          <t>Phase 1: P{stage}-{CAT}-{nn}, e.g. P4-BE-03. Phases 2–6: {phase}S{sprint}-{CAT}-{nn}, e.g. 2S5-BE-04 = Phase 2, Sprint 5, Backend, task 04. IDs never change — cite them in branches and commits.</t>
        </is>
      </c>
    </row>
    <row r="27" ht="15" customHeight="1" s="75">
      <c r="A27" s="91" t="inlineStr">
        <is>
          <t>Order</t>
        </is>
      </c>
      <c r="B27" s="92" t="inlineStr">
        <is>
          <t>A dependency-respecting sort key, recomputed whenever tasks are added. It can shift; the ID cannot.</t>
        </is>
      </c>
    </row>
    <row r="28" ht="15" customHeight="1" s="75">
      <c r="A28" s="91" t="inlineStr">
        <is>
          <t>Status</t>
        </is>
      </c>
      <c r="B28" s="92" t="inlineStr">
        <is>
          <t>Phase 1 is live. Every Phase 2–4 task starts Blocked because Phase 1 must finish first. Phase 5 (Certified Recruiting) is live. Phase 6 waits for the INFINEX game.</t>
        </is>
      </c>
    </row>
    <row r="29" ht="15" customHeight="1" s="75">
      <c r="A29" s="91" t="inlineStr">
        <is>
          <t>Weight</t>
        </is>
      </c>
      <c r="B29" s="92" t="inlineStr">
        <is>
          <t>S=1 · M=3 · L=5 person-days. Estimates for one person, not calendar commitments.</t>
        </is>
      </c>
    </row>
    <row r="30" s="75"/>
    <row r="31" ht="15" customHeight="1" s="75">
      <c r="A31" s="90" t="inlineStr">
        <is>
          <t>PHASE OVERLAP</t>
        </is>
      </c>
    </row>
    <row r="32" ht="27.75" customHeight="1" s="75">
      <c r="A32" s="91" t="inlineStr">
        <is>
          <t>Permitted</t>
        </is>
      </c>
      <c r="B32" s="92" t="inlineStr">
        <is>
          <t>Begin Phase 3 warehouse and event modelling during the final 4–6 weeks of Phase 2. Begin the Phase 4 API contract and placement taxonomy during the final 4 weeks of Phase 3.</t>
        </is>
      </c>
    </row>
    <row r="33" ht="27.75" customHeight="1" s="75">
      <c r="A33" s="91" t="inlineStr">
        <is>
          <t>Forbidden</t>
        </is>
      </c>
      <c r="B33" s="92" t="inlineStr">
        <is>
          <t>No ML pricing before clean history exists — launch Phase 3 on rules. No marketplace payouts before commission snapshots, reconciliation, refunds/disputes and audit logs are tested. No virtual impressions reported to sponsors before viewability and de-duplication are validated against pilot telemetry (Phase 6, 6S2-QA-01).</t>
        </is>
      </c>
    </row>
    <row r="34" s="75"/>
    <row r="35" ht="15" customHeight="1" s="75">
      <c r="A35" s="90" t="inlineStr">
        <is>
          <t>SCOPE REALITY</t>
        </is>
      </c>
    </row>
    <row r="36" ht="27.75" customHeight="1" s="75">
      <c r="A36" s="91" t="inlineStr">
        <is>
          <t>Team size</t>
        </is>
      </c>
      <c r="B36" s="92" t="inlineStr">
        <is>
          <t>The blueprint staffs Phase 1 at 4.5–7.5 FTE and Phases 2–4 higher. The team is two people. Phase 1 alone is ~44 weeks at that size. Scope, not stack, is the binding constraint.</t>
        </is>
      </c>
    </row>
    <row r="37" s="75"/>
  </sheetData>
  <mergeCells count="19">
    <mergeCell ref="B14:G14"/>
    <mergeCell ref="B17:G17"/>
    <mergeCell ref="B29:G29"/>
    <mergeCell ref="B19:G19"/>
    <mergeCell ref="B28:G28"/>
    <mergeCell ref="B15:G15"/>
    <mergeCell ref="B33:G33"/>
    <mergeCell ref="B20:G20"/>
    <mergeCell ref="A1:G1"/>
    <mergeCell ref="B36:G36"/>
    <mergeCell ref="B32:G32"/>
    <mergeCell ref="B26:G26"/>
    <mergeCell ref="B25:G25"/>
    <mergeCell ref="B16:G16"/>
    <mergeCell ref="B22:G22"/>
    <mergeCell ref="B27:G27"/>
    <mergeCell ref="A2:G2"/>
    <mergeCell ref="B18:G18"/>
    <mergeCell ref="B21:G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74" min="1" max="1"/>
    <col width="10" customWidth="1" style="74" min="2" max="6"/>
    <col width="9" customWidth="1" style="74" min="7" max="7"/>
    <col width="11" customWidth="1" style="74" min="8" max="8"/>
  </cols>
  <sheetData>
    <row r="1" ht="24" customHeight="1" s="75">
      <c r="A1" s="76" t="inlineStr">
        <is>
          <t>Dashboard</t>
        </is>
      </c>
    </row>
    <row r="2" ht="15" customHeight="1" s="75">
      <c r="A2" s="77" t="inlineStr">
        <is>
          <t>Live formulas across all six phase sheets. Update Status on a phase sheet and this follows. Counts cover the 556 delivery tasks only — the 9 legal/counsel tasks moved to the Legal sheet on 2026-09-15 and are tracked there (565 total). 'External · counsel' therefore reads 0 here.</t>
        </is>
      </c>
    </row>
    <row r="3"/>
    <row r="4" ht="25.5" customHeight="1" s="75">
      <c r="A4" s="78" t="n"/>
      <c r="B4" s="78" t="inlineStr">
        <is>
          <t>Ready</t>
        </is>
      </c>
      <c r="C4" s="78" t="inlineStr">
        <is>
          <t>In progress</t>
        </is>
      </c>
      <c r="D4" s="78" t="inlineStr">
        <is>
          <t>Code review</t>
        </is>
      </c>
      <c r="E4" s="78" t="inlineStr">
        <is>
          <t>Blocked</t>
        </is>
      </c>
      <c r="F4" s="78" t="inlineStr">
        <is>
          <t>Done</t>
        </is>
      </c>
      <c r="G4" s="78" t="inlineStr">
        <is>
          <t>Total</t>
        </is>
      </c>
      <c r="H4" s="78" t="inlineStr">
        <is>
          <t>Days left</t>
        </is>
      </c>
    </row>
    <row r="5" ht="15" customHeight="1" s="75">
      <c r="A5" s="93" t="inlineStr">
        <is>
          <t>Phase 1</t>
        </is>
      </c>
      <c r="B5" s="81">
        <f>COUNTIF('Phase 1'!$I$5:$I$400,"Ready")</f>
        <v/>
      </c>
      <c r="C5" s="81">
        <f>COUNTIF('Phase 1'!$I$5:$I$400,"In progress")</f>
        <v/>
      </c>
      <c r="D5" s="81">
        <f>COUNTIF('Phase 1'!$I$5:$I$400,"Code review")</f>
        <v/>
      </c>
      <c r="E5" s="81">
        <f>COUNTIF('Phase 1'!$I$5:$I$400,"Blocked")</f>
        <v/>
      </c>
      <c r="F5" s="81">
        <f>COUNTIF('Phase 1'!$I$5:$I$400,"Done")</f>
        <v/>
      </c>
      <c r="G5" s="81">
        <f>COUNTA('Phase 1'!$B$5:$B$400)</f>
        <v/>
      </c>
      <c r="H5" s="81">
        <f>SUMIF('Phase 1'!$I$5:$I$400,"&lt;&gt;Done",'Phase 1'!$J$5:$J$400)</f>
        <v/>
      </c>
    </row>
    <row r="6" ht="15" customHeight="1" s="75">
      <c r="A6" s="94" t="inlineStr">
        <is>
          <t>Phase 2</t>
        </is>
      </c>
      <c r="B6" s="85">
        <f>COUNTIF('Phase 2'!$I$5:$I$144,"Ready")</f>
        <v/>
      </c>
      <c r="C6" s="85">
        <f>COUNTIF('Phase 2'!$I$5:$I$144,"In progress")</f>
        <v/>
      </c>
      <c r="D6" s="85">
        <f>COUNTIF('Phase 2'!$I$5:$I$144,"Code review")</f>
        <v/>
      </c>
      <c r="E6" s="85">
        <f>COUNTIF('Phase 2'!$I$5:$I$144,"Blocked")</f>
        <v/>
      </c>
      <c r="F6" s="85">
        <f>COUNTIF('Phase 2'!$I$5:$I$144,"Done")</f>
        <v/>
      </c>
      <c r="G6" s="85">
        <f>COUNTA('Phase 2'!$B$5:$B$144)</f>
        <v/>
      </c>
      <c r="H6" s="85">
        <f>SUMIF('Phase 2'!$I$5:$I$144,"&lt;&gt;Done",'Phase 2'!$J$5:$J$144)</f>
        <v/>
      </c>
    </row>
    <row r="7" ht="15" customHeight="1" s="75">
      <c r="A7" s="95" t="inlineStr">
        <is>
          <t>Phase 3</t>
        </is>
      </c>
      <c r="B7" s="81">
        <f>COUNTIF('Phase 3'!$I$5:$I$66,"Ready")</f>
        <v/>
      </c>
      <c r="C7" s="81">
        <f>COUNTIF('Phase 3'!$I$5:$I$66,"In progress")</f>
        <v/>
      </c>
      <c r="D7" s="81">
        <f>COUNTIF('Phase 3'!$I$5:$I$66,"Code review")</f>
        <v/>
      </c>
      <c r="E7" s="81">
        <f>COUNTIF('Phase 3'!$I$5:$I$66,"Blocked")</f>
        <v/>
      </c>
      <c r="F7" s="81">
        <f>COUNTIF('Phase 3'!$I$5:$I$66,"Done")</f>
        <v/>
      </c>
      <c r="G7" s="81">
        <f>COUNTA('Phase 3'!$B$5:$B$66)</f>
        <v/>
      </c>
      <c r="H7" s="81">
        <f>SUMIF('Phase 3'!$I$5:$I$66,"&lt;&gt;Done",'Phase 3'!$J$5:$J$66)</f>
        <v/>
      </c>
    </row>
    <row r="8" ht="15" customHeight="1" s="75">
      <c r="A8" s="96" t="inlineStr">
        <is>
          <t>Phase 4</t>
        </is>
      </c>
      <c r="B8" s="85">
        <f>COUNTIF('Phase 4'!$I$5:$I$51,"Ready")</f>
        <v/>
      </c>
      <c r="C8" s="85">
        <f>COUNTIF('Phase 4'!$I$5:$I$51,"In progress")</f>
        <v/>
      </c>
      <c r="D8" s="85">
        <f>COUNTIF('Phase 4'!$I$5:$I$51,"Code review")</f>
        <v/>
      </c>
      <c r="E8" s="85">
        <f>COUNTIF('Phase 4'!$I$5:$I$51,"Blocked")</f>
        <v/>
      </c>
      <c r="F8" s="85">
        <f>COUNTIF('Phase 4'!$I$5:$I$51,"Done")</f>
        <v/>
      </c>
      <c r="G8" s="85">
        <f>COUNTA('Phase 4'!$B$5:$B$51)</f>
        <v/>
      </c>
      <c r="H8" s="85">
        <f>SUMIF('Phase 4'!$I$5:$I$51,"&lt;&gt;Done",'Phase 4'!$J$5:$J$51)</f>
        <v/>
      </c>
    </row>
    <row r="9" ht="15" customHeight="1" s="75">
      <c r="A9" s="96" t="inlineStr">
        <is>
          <t>Phase 5</t>
        </is>
      </c>
      <c r="B9" s="85">
        <f>COUNTIF('Phase 5'!$I$5:$I$100,"Ready")</f>
        <v/>
      </c>
      <c r="C9" s="85">
        <f>COUNTIF('Phase 5'!$I$5:$I$100,"In progress")</f>
        <v/>
      </c>
      <c r="D9" s="85">
        <f>COUNTIF('Phase 5'!$I$5:$I$100,"Code review")</f>
        <v/>
      </c>
      <c r="E9" s="85">
        <f>COUNTIF('Phase 5'!$I$5:$I$100,"Blocked")</f>
        <v/>
      </c>
      <c r="F9" s="85">
        <f>COUNTIF('Phase 5'!$I$5:$I$100,"Done")</f>
        <v/>
      </c>
      <c r="G9" s="85">
        <f>COUNTA('Phase 5'!$B$5:$B$100)</f>
        <v/>
      </c>
      <c r="H9" s="85">
        <f>SUMIF('Phase 5'!$I$5:$I$100,"&lt;&gt;Done",'Phase 5'!$J$5:$J$100)</f>
        <v/>
      </c>
    </row>
    <row r="10">
      <c r="A10" s="94" t="inlineStr">
        <is>
          <t>Phase 6</t>
        </is>
      </c>
      <c r="B10" s="85">
        <f>COUNTIF('Phase 6'!$I$5:$I$100,"Ready")</f>
        <v/>
      </c>
      <c r="C10" s="85">
        <f>COUNTIF('Phase 6'!$I$5:$I$100,"In progress")</f>
        <v/>
      </c>
      <c r="D10" s="85">
        <f>COUNTIF('Phase 6'!$I$5:$I$100,"Code review")</f>
        <v/>
      </c>
      <c r="E10" s="85">
        <f>COUNTIF('Phase 6'!$I$5:$I$100,"Blocked")</f>
        <v/>
      </c>
      <c r="F10" s="85">
        <f>COUNTIF('Phase 6'!$I$5:$I$100,"Done")</f>
        <v/>
      </c>
      <c r="G10" s="85">
        <f>COUNTA('Phase 6'!$B$5:$B$100)</f>
        <v/>
      </c>
      <c r="H10" s="85">
        <f>SUMIF('Phase 6'!$I$5:$I$100,"&lt;&gt;Done",'Phase 6'!$J$5:$J$100)</f>
        <v/>
      </c>
    </row>
    <row r="11" ht="15" customHeight="1" s="75">
      <c r="A11" s="89" t="inlineStr">
        <is>
          <t>TOTAL</t>
        </is>
      </c>
      <c r="B11" s="89">
        <f>SUM(B5:B10)</f>
        <v/>
      </c>
      <c r="C11" s="89">
        <f>SUM(C5:C10)</f>
        <v/>
      </c>
      <c r="D11" s="89">
        <f>SUM(D5:D10)</f>
        <v/>
      </c>
      <c r="E11" s="89">
        <f>SUM(E5:E10)</f>
        <v/>
      </c>
      <c r="F11" s="89">
        <f>SUM(F5:F10)</f>
        <v/>
      </c>
      <c r="G11" s="89">
        <f>SUM(G5:G10)</f>
        <v/>
      </c>
      <c r="H11" s="89">
        <f>SUM(H5:H10)</f>
        <v/>
      </c>
    </row>
    <row r="12" ht="21.75" customHeight="1" s="75">
      <c r="A12" s="90" t="inlineStr">
        <is>
          <t>BY WHERE THE WORK HAPPENS</t>
        </is>
      </c>
    </row>
    <row r="13" ht="15" customHeight="1" s="75">
      <c r="A13" s="78" t="n"/>
      <c r="B13" s="78" t="inlineStr">
        <is>
          <t>Phase 1</t>
        </is>
      </c>
      <c r="C13" s="78" t="inlineStr">
        <is>
          <t>Phase 2</t>
        </is>
      </c>
      <c r="D13" s="78" t="inlineStr">
        <is>
          <t>Phase 3</t>
        </is>
      </c>
      <c r="E13" s="78" t="inlineStr">
        <is>
          <t>Phase 4</t>
        </is>
      </c>
      <c r="F13" s="78" t="inlineStr">
        <is>
          <t>Phase 5</t>
        </is>
      </c>
      <c r="G13" s="78" t="inlineStr">
        <is>
          <t>Phase 6</t>
        </is>
      </c>
      <c r="H13" s="78" t="inlineStr">
        <is>
          <t>Total</t>
        </is>
      </c>
    </row>
    <row r="14" ht="15" customHeight="1" s="75">
      <c r="A14" s="97" t="inlineStr">
        <is>
          <t>Document</t>
        </is>
      </c>
      <c r="B14" s="81">
        <f>COUNTIF('Phase 1'!$F$5:$F$400,"Document")</f>
        <v/>
      </c>
      <c r="C14" s="81">
        <f>COUNTIF('Phase 2'!$F$5:$F$144,"Document")</f>
        <v/>
      </c>
      <c r="D14" s="81">
        <f>COUNTIF('Phase 3'!$F$5:$F$66,"Document")</f>
        <v/>
      </c>
      <c r="E14" s="81">
        <f>COUNTIF('Phase 4'!$F$5:$F$51,"Document")</f>
        <v/>
      </c>
      <c r="F14" s="81">
        <f>COUNTIF('Phase 5'!$F$5:$F$100,"Document")</f>
        <v/>
      </c>
      <c r="G14" s="81">
        <f>COUNTIF('Phase 6'!$F$5:$F$100,"Document")</f>
        <v/>
      </c>
      <c r="H14" s="81">
        <f>SUM(B14:G14)</f>
        <v/>
      </c>
    </row>
    <row r="15" ht="15" customHeight="1" s="75">
      <c r="A15" s="98" t="inlineStr">
        <is>
          <t>Zoho dashboard</t>
        </is>
      </c>
      <c r="B15" s="81">
        <f>COUNTIF('Phase 1'!$F$5:$F$400,"Zoho dashboard")</f>
        <v/>
      </c>
      <c r="C15" s="81">
        <f>COUNTIF('Phase 2'!$F$5:$F$144,"Zoho dashboard")</f>
        <v/>
      </c>
      <c r="D15" s="81">
        <f>COUNTIF('Phase 3'!$F$5:$F$66,"Zoho dashboard")</f>
        <v/>
      </c>
      <c r="E15" s="81">
        <f>COUNTIF('Phase 4'!$F$5:$F$51,"Zoho dashboard")</f>
        <v/>
      </c>
      <c r="F15" s="81">
        <f>COUNTIF('Phase 5'!$F$5:$F$100,"Zoho dashboard")</f>
        <v/>
      </c>
      <c r="G15" s="81">
        <f>COUNTIF('Phase 6'!$F$5:$F$100,"Zoho dashboard")</f>
        <v/>
      </c>
      <c r="H15" s="81">
        <f>SUM(B15:G15)</f>
        <v/>
      </c>
    </row>
    <row r="16" ht="15" customHeight="1" s="75">
      <c r="A16" s="99" t="inlineStr">
        <is>
          <t>Vendor console</t>
        </is>
      </c>
      <c r="B16" s="81">
        <f>COUNTIF('Phase 1'!$F$5:$F$400,"Vendor console")</f>
        <v/>
      </c>
      <c r="C16" s="81">
        <f>COUNTIF('Phase 2'!$F$5:$F$144,"Vendor console")</f>
        <v/>
      </c>
      <c r="D16" s="81">
        <f>COUNTIF('Phase 3'!$F$5:$F$66,"Vendor console")</f>
        <v/>
      </c>
      <c r="E16" s="81">
        <f>COUNTIF('Phase 4'!$F$5:$F$51,"Vendor console")</f>
        <v/>
      </c>
      <c r="F16" s="81">
        <f>COUNTIF('Phase 5'!$F$5:$F$100,"Vendor console")</f>
        <v/>
      </c>
      <c r="G16" s="81">
        <f>COUNTIF('Phase 6'!$F$5:$F$100,"Vendor console")</f>
        <v/>
      </c>
      <c r="H16" s="81">
        <f>SUM(B16:G16)</f>
        <v/>
      </c>
    </row>
    <row r="17" ht="15" customHeight="1" s="75">
      <c r="A17" s="100" t="inlineStr">
        <is>
          <t>Code</t>
        </is>
      </c>
      <c r="B17" s="81">
        <f>COUNTIF('Phase 1'!$F$5:$F$400,"Code")</f>
        <v/>
      </c>
      <c r="C17" s="81">
        <f>COUNTIF('Phase 2'!$F$5:$F$144,"Code")</f>
        <v/>
      </c>
      <c r="D17" s="81">
        <f>COUNTIF('Phase 3'!$F$5:$F$66,"Code")</f>
        <v/>
      </c>
      <c r="E17" s="81">
        <f>COUNTIF('Phase 4'!$F$5:$F$51,"Code")</f>
        <v/>
      </c>
      <c r="F17" s="81">
        <f>COUNTIF('Phase 5'!$F$5:$F$100,"Code")</f>
        <v/>
      </c>
      <c r="G17" s="81">
        <f>COUNTIF('Phase 6'!$F$5:$F$100,"Code")</f>
        <v/>
      </c>
      <c r="H17" s="81">
        <f>SUM(B17:G17)</f>
        <v/>
      </c>
    </row>
    <row r="18" ht="15" customHeight="1" s="75">
      <c r="A18" s="99" t="inlineStr">
        <is>
          <t>Code + console</t>
        </is>
      </c>
      <c r="B18" s="81">
        <f>COUNTIF('Phase 1'!$F$5:$F$400,"Code + console")</f>
        <v/>
      </c>
      <c r="C18" s="81">
        <f>COUNTIF('Phase 2'!$F$5:$F$144,"Code + console")</f>
        <v/>
      </c>
      <c r="D18" s="81">
        <f>COUNTIF('Phase 3'!$F$5:$F$66,"Code + console")</f>
        <v/>
      </c>
      <c r="E18" s="81">
        <f>COUNTIF('Phase 4'!$F$5:$F$51,"Code + console")</f>
        <v/>
      </c>
      <c r="F18" s="81">
        <f>COUNTIF('Phase 5'!$F$5:$F$100,"Code + console")</f>
        <v/>
      </c>
      <c r="G18" s="81">
        <f>COUNTIF('Phase 6'!$F$5:$F$100,"Code + console")</f>
        <v/>
      </c>
      <c r="H18" s="81">
        <f>SUM(B18:G18)</f>
        <v/>
      </c>
    </row>
    <row r="19" ht="15" customHeight="1" s="75">
      <c r="A19" s="101" t="inlineStr">
        <is>
          <t>Design tool</t>
        </is>
      </c>
      <c r="B19" s="81">
        <f>COUNTIF('Phase 1'!$F$5:$F$400,"Design tool")</f>
        <v/>
      </c>
      <c r="C19" s="81">
        <f>COUNTIF('Phase 2'!$F$5:$F$144,"Design tool")</f>
        <v/>
      </c>
      <c r="D19" s="81">
        <f>COUNTIF('Phase 3'!$F$5:$F$66,"Design tool")</f>
        <v/>
      </c>
      <c r="E19" s="81">
        <f>COUNTIF('Phase 4'!$F$5:$F$51,"Design tool")</f>
        <v/>
      </c>
      <c r="F19" s="81">
        <f>COUNTIF('Phase 5'!$F$5:$F$100,"Design tool")</f>
        <v/>
      </c>
      <c r="G19" s="81">
        <f>COUNTIF('Phase 6'!$F$5:$F$100,"Design tool")</f>
        <v/>
      </c>
      <c r="H19" s="81">
        <f>SUM(B19:G19)</f>
        <v/>
      </c>
    </row>
    <row r="20" ht="15" customHeight="1" s="75">
      <c r="A20" s="97" t="inlineStr">
        <is>
          <t>Document + code</t>
        </is>
      </c>
      <c r="B20" s="81">
        <f>COUNTIF('Phase 1'!$F$5:$F$400,"Document + code")</f>
        <v/>
      </c>
      <c r="C20" s="81">
        <f>COUNTIF('Phase 2'!$F$5:$F$144,"Document + code")</f>
        <v/>
      </c>
      <c r="D20" s="81">
        <f>COUNTIF('Phase 3'!$F$5:$F$66,"Document + code")</f>
        <v/>
      </c>
      <c r="E20" s="81">
        <f>COUNTIF('Phase 4'!$F$5:$F$51,"Document + code")</f>
        <v/>
      </c>
      <c r="F20" s="81">
        <f>COUNTIF('Phase 5'!$F$5:$F$100,"Document + code")</f>
        <v/>
      </c>
      <c r="G20" s="81">
        <f>COUNTIF('Phase 6'!$F$5:$F$100,"Document + code")</f>
        <v/>
      </c>
      <c r="H20" s="81">
        <f>SUM(B20:G20)</f>
        <v/>
      </c>
    </row>
    <row r="21">
      <c r="A21" s="102" t="inlineStr">
        <is>
          <t>External · counsel</t>
        </is>
      </c>
      <c r="B21" s="81">
        <f>COUNTIF('Phase 1'!$F$5:$F$400,"External · counsel")</f>
        <v/>
      </c>
      <c r="C21" s="81">
        <f>COUNTIF('Phase 2'!$F$5:$F$144,"External · counsel")</f>
        <v/>
      </c>
      <c r="D21" s="81">
        <f>COUNTIF('Phase 3'!$F$5:$F$66,"External · counsel")</f>
        <v/>
      </c>
      <c r="E21" s="81">
        <f>COUNTIF('Phase 4'!$F$5:$F$51,"External · counsel")</f>
        <v/>
      </c>
      <c r="F21" s="81">
        <f>COUNTIF('Phase 5'!$F$5:$F$100,"External · counsel")</f>
        <v/>
      </c>
      <c r="G21" s="81">
        <f>COUNTIF('Phase 6'!$F$5:$F$100,"External · counsel")</f>
        <v/>
      </c>
      <c r="H21" s="81">
        <f>SUM(B21:G21)</f>
        <v/>
      </c>
    </row>
    <row r="22"/>
    <row r="23">
      <c r="A23" s="90" t="inlineStr">
        <is>
          <t>POLISH · URGENT, BEFORE LAUNCH</t>
        </is>
      </c>
    </row>
    <row r="24">
      <c r="B24" s="78" t="inlineStr">
        <is>
          <t>Ready</t>
        </is>
      </c>
      <c r="C24" s="78" t="inlineStr">
        <is>
          <t>In progress</t>
        </is>
      </c>
      <c r="D24" s="78" t="inlineStr">
        <is>
          <t>Code review</t>
        </is>
      </c>
      <c r="E24" s="78" t="inlineStr">
        <is>
          <t>Blocked</t>
        </is>
      </c>
      <c r="F24" s="78" t="inlineStr">
        <is>
          <t>Done</t>
        </is>
      </c>
      <c r="G24" s="78" t="inlineStr">
        <is>
          <t>Total</t>
        </is>
      </c>
      <c r="H24" s="78" t="inlineStr">
        <is>
          <t>Days left</t>
        </is>
      </c>
    </row>
    <row r="25">
      <c r="A25" s="93" t="inlineStr">
        <is>
          <t>Polish</t>
        </is>
      </c>
      <c r="B25" s="81">
        <f>COUNTIF('Polish'!$I$5:$I$200,"Ready")</f>
        <v/>
      </c>
      <c r="C25" s="81">
        <f>COUNTIF('Polish'!$I$5:$I$200,"In progress")</f>
        <v/>
      </c>
      <c r="D25" s="81">
        <f>COUNTIF('Polish'!$I$5:$I$200,"Code review")</f>
        <v/>
      </c>
      <c r="E25" s="81">
        <f>COUNTIF('Polish'!$I$5:$I$200,"Blocked")</f>
        <v/>
      </c>
      <c r="F25" s="81">
        <f>COUNTIF('Polish'!$I$5:$I$200,"Done")</f>
        <v/>
      </c>
      <c r="G25" s="81">
        <f>COUNTA('Polish'!$B$5:$B$200)</f>
        <v/>
      </c>
      <c r="H25" s="81">
        <f>SUMIF('Polish'!$I$5:$I$200,"&lt;&gt;Done",'Polish'!$J$5:$J$200)</f>
        <v/>
      </c>
    </row>
    <row r="26">
      <c r="A26" s="74" t="inlineStr">
        <is>
          <t>Kept apart from the phase totals above: these fixes cut across phases. Plan in documentation/polish.md.</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M42"/>
  <sheetViews>
    <sheetView workbookViewId="0">
      <pane ySplit="4" topLeftCell="A5" activePane="bottomLeft" state="frozen"/>
      <selection pane="bottomLeft" activeCell="A1" sqref="A1"/>
    </sheetView>
  </sheetViews>
  <sheetFormatPr baseColWidth="8" defaultRowHeight="15"/>
  <cols>
    <col width="7" customWidth="1" style="75" min="1" max="1"/>
    <col width="34" customWidth="1" style="75" min="2" max="2"/>
    <col width="8" customWidth="1" style="75" min="3" max="3"/>
    <col width="8" customWidth="1" style="75" min="4" max="4"/>
    <col width="8" customWidth="1" style="75" min="5" max="5"/>
    <col width="11" customWidth="1" style="75" min="6" max="6"/>
    <col width="10" customWidth="1" style="75" min="7" max="7"/>
    <col width="9" customWidth="1" style="75" min="8" max="8"/>
  </cols>
  <sheetData>
    <row r="1">
      <c r="A1" s="152" t="inlineStr">
        <is>
          <t>Stage Progress — Phase 1</t>
        </is>
      </c>
    </row>
    <row r="2" ht="42" customHeight="1" s="75">
      <c r="A2" s="153" t="inlineStr">
        <is>
          <t>Live formulas over the Phase 1 sheet — the top block needs no maintenance and is always current. The snapshot below is appended by hand once a day; that is the only part that shows velocity, because a formula cannot remember yesterday. Stage 9 is gated behind B8 and a sold edition — it is in the totals, not in the critical path.</t>
        </is>
      </c>
    </row>
    <row r="3"/>
    <row r="4">
      <c r="A4" s="154" t="inlineStr">
        <is>
          <t>Stage</t>
        </is>
      </c>
      <c r="B4" s="154" t="inlineStr">
        <is>
          <t>Stage name</t>
        </is>
      </c>
      <c r="C4" s="154" t="inlineStr">
        <is>
          <t>Done</t>
        </is>
      </c>
      <c r="D4" s="154" t="inlineStr">
        <is>
          <t>Total</t>
        </is>
      </c>
      <c r="E4" s="154" t="inlineStr">
        <is>
          <t>%</t>
        </is>
      </c>
      <c r="F4" s="154" t="inlineStr">
        <is>
          <t>Days left</t>
        </is>
      </c>
      <c r="G4" s="154" t="inlineStr">
        <is>
          <t>In flight</t>
        </is>
      </c>
      <c r="H4" s="154" t="inlineStr">
        <is>
          <t>Blocked</t>
        </is>
      </c>
    </row>
    <row r="5">
      <c r="A5" s="155" t="n">
        <v>0</v>
      </c>
      <c r="B5" s="74" t="inlineStr">
        <is>
          <t>Foundation &amp; Decisions</t>
        </is>
      </c>
      <c r="C5" s="74">
        <f>COUNTIFS('Phase 1'!$C$5:$C$400,$A5,'Phase 1'!$I$5:$I$400,"Done")</f>
        <v/>
      </c>
      <c r="D5" s="74">
        <f>COUNTIF('Phase 1'!$C$5:$C$400,$A5)</f>
        <v/>
      </c>
      <c r="E5" s="156">
        <f>IF($D5=0,0,$C5/$D5)</f>
        <v/>
      </c>
      <c r="F5" s="74">
        <f>SUMIFS('Phase 1'!$J$5:$J$400,'Phase 1'!$C$5:$C$400,$A5,'Phase 1'!$I$5:$I$400,"&lt;&gt;Done")</f>
        <v/>
      </c>
      <c r="G5" s="74">
        <f>COUNTIFS('Phase 1'!$C$5:$C$400,$A5,'Phase 1'!$I$5:$I$400,"In progress")+COUNTIFS('Phase 1'!$C$5:$C$400,$A5,'Phase 1'!$I$5:$I$400,"Code review")</f>
        <v/>
      </c>
      <c r="H5" s="74">
        <f>COUNTIFS('Phase 1'!$C$5:$C$400,$A5,'Phase 1'!$I$5:$I$400,"Blocked")</f>
        <v/>
      </c>
    </row>
    <row r="6">
      <c r="A6" s="155" t="n">
        <v>1</v>
      </c>
      <c r="B6" s="74" t="inlineStr">
        <is>
          <t>UI Scaffold on Fixtures</t>
        </is>
      </c>
      <c r="C6" s="74">
        <f>COUNTIFS('Phase 1'!$C$5:$C$400,$A6,'Phase 1'!$I$5:$I$400,"Done")</f>
        <v/>
      </c>
      <c r="D6" s="74">
        <f>COUNTIF('Phase 1'!$C$5:$C$400,$A6)</f>
        <v/>
      </c>
      <c r="E6" s="156">
        <f>IF($D6=0,0,$C6/$D6)</f>
        <v/>
      </c>
      <c r="F6" s="74">
        <f>SUMIFS('Phase 1'!$J$5:$J$400,'Phase 1'!$C$5:$C$400,$A6,'Phase 1'!$I$5:$I$400,"&lt;&gt;Done")</f>
        <v/>
      </c>
      <c r="G6" s="74">
        <f>COUNTIFS('Phase 1'!$C$5:$C$400,$A6,'Phase 1'!$I$5:$I$400,"In progress")+COUNTIFS('Phase 1'!$C$5:$C$400,$A6,'Phase 1'!$I$5:$I$400,"Code review")</f>
        <v/>
      </c>
      <c r="H6" s="74">
        <f>COUNTIFS('Phase 1'!$C$5:$C$400,$A6,'Phase 1'!$I$5:$I$400,"Blocked")</f>
        <v/>
      </c>
    </row>
    <row r="7">
      <c r="A7" s="155" t="n">
        <v>2</v>
      </c>
      <c r="B7" s="74" t="inlineStr">
        <is>
          <t>Platform Foundations</t>
        </is>
      </c>
      <c r="C7" s="74">
        <f>COUNTIFS('Phase 1'!$C$5:$C$400,$A7,'Phase 1'!$I$5:$I$400,"Done")</f>
        <v/>
      </c>
      <c r="D7" s="74">
        <f>COUNTIF('Phase 1'!$C$5:$C$400,$A7)</f>
        <v/>
      </c>
      <c r="E7" s="156">
        <f>IF($D7=0,0,$C7/$D7)</f>
        <v/>
      </c>
      <c r="F7" s="74">
        <f>SUMIFS('Phase 1'!$J$5:$J$400,'Phase 1'!$C$5:$C$400,$A7,'Phase 1'!$I$5:$I$400,"&lt;&gt;Done")</f>
        <v/>
      </c>
      <c r="G7" s="74">
        <f>COUNTIFS('Phase 1'!$C$5:$C$400,$A7,'Phase 1'!$I$5:$I$400,"In progress")+COUNTIFS('Phase 1'!$C$5:$C$400,$A7,'Phase 1'!$I$5:$I$400,"Code review")</f>
        <v/>
      </c>
      <c r="H7" s="74">
        <f>COUNTIFS('Phase 1'!$C$5:$C$400,$A7,'Phase 1'!$I$5:$I$400,"Blocked")</f>
        <v/>
      </c>
    </row>
    <row r="8">
      <c r="A8" s="155" t="n">
        <v>3</v>
      </c>
      <c r="B8" s="74" t="inlineStr">
        <is>
          <t>Athlete Network</t>
        </is>
      </c>
      <c r="C8" s="74">
        <f>COUNTIFS('Phase 1'!$C$5:$C$400,$A8,'Phase 1'!$I$5:$I$400,"Done")</f>
        <v/>
      </c>
      <c r="D8" s="74">
        <f>COUNTIF('Phase 1'!$C$5:$C$400,$A8)</f>
        <v/>
      </c>
      <c r="E8" s="156">
        <f>IF($D8=0,0,$C8/$D8)</f>
        <v/>
      </c>
      <c r="F8" s="74">
        <f>SUMIFS('Phase 1'!$J$5:$J$400,'Phase 1'!$C$5:$C$400,$A8,'Phase 1'!$I$5:$I$400,"&lt;&gt;Done")</f>
        <v/>
      </c>
      <c r="G8" s="74">
        <f>COUNTIFS('Phase 1'!$C$5:$C$400,$A8,'Phase 1'!$I$5:$I$400,"In progress")+COUNTIFS('Phase 1'!$C$5:$C$400,$A8,'Phase 1'!$I$5:$I$400,"Code review")</f>
        <v/>
      </c>
      <c r="H8" s="74">
        <f>COUNTIFS('Phase 1'!$C$5:$C$400,$A8,'Phase 1'!$I$5:$I$400,"Blocked")</f>
        <v/>
      </c>
    </row>
    <row r="9">
      <c r="A9" s="155" t="n">
        <v>4</v>
      </c>
      <c r="B9" s="74" t="inlineStr">
        <is>
          <t>Sponsor Demand &amp; Matching</t>
        </is>
      </c>
      <c r="C9" s="74">
        <f>COUNTIFS('Phase 1'!$C$5:$C$400,$A9,'Phase 1'!$I$5:$I$400,"Done")</f>
        <v/>
      </c>
      <c r="D9" s="74">
        <f>COUNTIF('Phase 1'!$C$5:$C$400,$A9)</f>
        <v/>
      </c>
      <c r="E9" s="156">
        <f>IF($D9=0,0,$C9/$D9)</f>
        <v/>
      </c>
      <c r="F9" s="74">
        <f>SUMIFS('Phase 1'!$J$5:$J$400,'Phase 1'!$C$5:$C$400,$A9,'Phase 1'!$I$5:$I$400,"&lt;&gt;Done")</f>
        <v/>
      </c>
      <c r="G9" s="74">
        <f>COUNTIFS('Phase 1'!$C$5:$C$400,$A9,'Phase 1'!$I$5:$I$400,"In progress")+COUNTIFS('Phase 1'!$C$5:$C$400,$A9,'Phase 1'!$I$5:$I$400,"Code review")</f>
        <v/>
      </c>
      <c r="H9" s="74">
        <f>COUNTIFS('Phase 1'!$C$5:$C$400,$A9,'Phase 1'!$I$5:$I$400,"Blocked")</f>
        <v/>
      </c>
    </row>
    <row r="10">
      <c r="A10" s="155" t="n">
        <v>5</v>
      </c>
      <c r="B10" s="74" t="inlineStr">
        <is>
          <t>Campaign Execution</t>
        </is>
      </c>
      <c r="C10" s="74">
        <f>COUNTIFS('Phase 1'!$C$5:$C$400,$A10,'Phase 1'!$I$5:$I$400,"Done")</f>
        <v/>
      </c>
      <c r="D10" s="74">
        <f>COUNTIF('Phase 1'!$C$5:$C$400,$A10)</f>
        <v/>
      </c>
      <c r="E10" s="156">
        <f>IF($D10=0,0,$C10/$D10)</f>
        <v/>
      </c>
      <c r="F10" s="74">
        <f>SUMIFS('Phase 1'!$J$5:$J$400,'Phase 1'!$C$5:$C$400,$A10,'Phase 1'!$I$5:$I$400,"&lt;&gt;Done")</f>
        <v/>
      </c>
      <c r="G10" s="74">
        <f>COUNTIFS('Phase 1'!$C$5:$C$400,$A10,'Phase 1'!$I$5:$I$400,"In progress")+COUNTIFS('Phase 1'!$C$5:$C$400,$A10,'Phase 1'!$I$5:$I$400,"Code review")</f>
        <v/>
      </c>
      <c r="H10" s="74">
        <f>COUNTIFS('Phase 1'!$C$5:$C$400,$A10,'Phase 1'!$I$5:$I$400,"Blocked")</f>
        <v/>
      </c>
    </row>
    <row r="11">
      <c r="A11" s="155" t="n">
        <v>6</v>
      </c>
      <c r="B11" s="74" t="inlineStr">
        <is>
          <t>Measurement &amp; Reward</t>
        </is>
      </c>
      <c r="C11" s="74">
        <f>COUNTIFS('Phase 1'!$C$5:$C$400,$A11,'Phase 1'!$I$5:$I$400,"Done")</f>
        <v/>
      </c>
      <c r="D11" s="74">
        <f>COUNTIF('Phase 1'!$C$5:$C$400,$A11)</f>
        <v/>
      </c>
      <c r="E11" s="156">
        <f>IF($D11=0,0,$C11/$D11)</f>
        <v/>
      </c>
      <c r="F11" s="74">
        <f>SUMIFS('Phase 1'!$J$5:$J$400,'Phase 1'!$C$5:$C$400,$A11,'Phase 1'!$I$5:$I$400,"&lt;&gt;Done")</f>
        <v/>
      </c>
      <c r="G11" s="74">
        <f>COUNTIFS('Phase 1'!$C$5:$C$400,$A11,'Phase 1'!$I$5:$I$400,"In progress")+COUNTIFS('Phase 1'!$C$5:$C$400,$A11,'Phase 1'!$I$5:$I$400,"Code review")</f>
        <v/>
      </c>
      <c r="H11" s="74">
        <f>COUNTIFS('Phase 1'!$C$5:$C$400,$A11,'Phase 1'!$I$5:$I$400,"Blocked")</f>
        <v/>
      </c>
    </row>
    <row r="12">
      <c r="A12" s="155" t="n">
        <v>7</v>
      </c>
      <c r="B12" s="74" t="inlineStr">
        <is>
          <t>Money &amp; Reporting</t>
        </is>
      </c>
      <c r="C12" s="74">
        <f>COUNTIFS('Phase 1'!$C$5:$C$400,$A12,'Phase 1'!$I$5:$I$400,"Done")</f>
        <v/>
      </c>
      <c r="D12" s="74">
        <f>COUNTIF('Phase 1'!$C$5:$C$400,$A12)</f>
        <v/>
      </c>
      <c r="E12" s="156">
        <f>IF($D12=0,0,$C12/$D12)</f>
        <v/>
      </c>
      <c r="F12" s="74">
        <f>SUMIFS('Phase 1'!$J$5:$J$400,'Phase 1'!$C$5:$C$400,$A12,'Phase 1'!$I$5:$I$400,"&lt;&gt;Done")</f>
        <v/>
      </c>
      <c r="G12" s="74">
        <f>COUNTIFS('Phase 1'!$C$5:$C$400,$A12,'Phase 1'!$I$5:$I$400,"In progress")+COUNTIFS('Phase 1'!$C$5:$C$400,$A12,'Phase 1'!$I$5:$I$400,"Code review")</f>
        <v/>
      </c>
      <c r="H12" s="74">
        <f>COUNTIFS('Phase 1'!$C$5:$C$400,$A12,'Phase 1'!$I$5:$I$400,"Blocked")</f>
        <v/>
      </c>
    </row>
    <row r="13">
      <c r="A13" s="155" t="n">
        <v>8</v>
      </c>
      <c r="B13" s="74" t="inlineStr">
        <is>
          <t>Integration, Hardening &amp; Launch</t>
        </is>
      </c>
      <c r="C13" s="74">
        <f>COUNTIFS('Phase 1'!$C$5:$C$400,$A13,'Phase 1'!$I$5:$I$400,"Done")</f>
        <v/>
      </c>
      <c r="D13" s="74">
        <f>COUNTIF('Phase 1'!$C$5:$C$400,$A13)</f>
        <v/>
      </c>
      <c r="E13" s="156">
        <f>IF($D13=0,0,$C13/$D13)</f>
        <v/>
      </c>
      <c r="F13" s="74">
        <f>SUMIFS('Phase 1'!$J$5:$J$400,'Phase 1'!$C$5:$C$400,$A13,'Phase 1'!$I$5:$I$400,"&lt;&gt;Done")</f>
        <v/>
      </c>
      <c r="G13" s="74">
        <f>COUNTIFS('Phase 1'!$C$5:$C$400,$A13,'Phase 1'!$I$5:$I$400,"In progress")+COUNTIFS('Phase 1'!$C$5:$C$400,$A13,'Phase 1'!$I$5:$I$400,"Code review")</f>
        <v/>
      </c>
      <c r="H13" s="74">
        <f>COUNTIFS('Phase 1'!$C$5:$C$400,$A13,'Phase 1'!$I$5:$I$400,"Blocked")</f>
        <v/>
      </c>
    </row>
    <row r="14">
      <c r="A14" s="155" t="n">
        <v>9</v>
      </c>
      <c r="B14" s="74" t="inlineStr">
        <is>
          <t>SponsorX NEXT (gated)</t>
        </is>
      </c>
      <c r="C14" s="74">
        <f>COUNTIFS('Phase 1'!$C$5:$C$400,$A14,'Phase 1'!$I$5:$I$400,"Done")</f>
        <v/>
      </c>
      <c r="D14" s="74">
        <f>COUNTIF('Phase 1'!$C$5:$C$400,$A14)</f>
        <v/>
      </c>
      <c r="E14" s="156">
        <f>IF($D14=0,0,$C14/$D14)</f>
        <v/>
      </c>
      <c r="F14" s="74">
        <f>SUMIFS('Phase 1'!$J$5:$J$400,'Phase 1'!$C$5:$C$400,$A14,'Phase 1'!$I$5:$I$400,"&lt;&gt;Done")</f>
        <v/>
      </c>
      <c r="G14" s="74">
        <f>COUNTIFS('Phase 1'!$C$5:$C$400,$A14,'Phase 1'!$I$5:$I$400,"In progress")+COUNTIFS('Phase 1'!$C$5:$C$400,$A14,'Phase 1'!$I$5:$I$400,"Code review")</f>
        <v/>
      </c>
      <c r="H14" s="74">
        <f>COUNTIFS('Phase 1'!$C$5:$C$400,$A14,'Phase 1'!$I$5:$I$400,"Blocked")</f>
        <v/>
      </c>
    </row>
    <row r="15">
      <c r="A15" s="157" t="n"/>
      <c r="B15" s="157" t="inlineStr">
        <is>
          <t>TOTAL</t>
        </is>
      </c>
      <c r="C15" s="157">
        <f>SUM(C5:C14)</f>
        <v/>
      </c>
      <c r="D15" s="157">
        <f>SUM(D5:D14)</f>
        <v/>
      </c>
      <c r="E15" s="158">
        <f>IF($D15=0,0,$C15/$D15)</f>
        <v/>
      </c>
      <c r="F15" s="157">
        <f>SUM(F5:F14)</f>
        <v/>
      </c>
      <c r="G15" s="157">
        <f>SUM(G5:G14)</f>
        <v/>
      </c>
      <c r="H15" s="157">
        <f>SUM(H5:H14)</f>
        <v/>
      </c>
    </row>
    <row r="16"/>
    <row r="17">
      <c r="A17" s="159" t="inlineStr">
        <is>
          <t>DAILY SNAPSHOT</t>
        </is>
      </c>
    </row>
    <row r="18">
      <c r="A18" s="160" t="inlineStr">
        <is>
          <t>One row per day, appended at end of day. Literal numbers, never formulas — a snapshot that recalculates is not a snapshot.</t>
        </is>
      </c>
    </row>
    <row r="19">
      <c r="A19" s="161" t="inlineStr">
        <is>
          <t>Date</t>
        </is>
      </c>
      <c r="B19" s="161" t="inlineStr">
        <is>
          <t>S0</t>
        </is>
      </c>
      <c r="C19" s="161" t="inlineStr">
        <is>
          <t>S1</t>
        </is>
      </c>
      <c r="D19" s="161" t="inlineStr">
        <is>
          <t>S2</t>
        </is>
      </c>
      <c r="E19" s="161" t="inlineStr">
        <is>
          <t>S3</t>
        </is>
      </c>
      <c r="F19" s="161" t="inlineStr">
        <is>
          <t>S4</t>
        </is>
      </c>
      <c r="G19" s="161" t="inlineStr">
        <is>
          <t>S5</t>
        </is>
      </c>
      <c r="H19" s="161" t="inlineStr">
        <is>
          <t>S6</t>
        </is>
      </c>
      <c r="I19" s="161" t="inlineStr">
        <is>
          <t>S7</t>
        </is>
      </c>
      <c r="J19" s="161" t="inlineStr">
        <is>
          <t>S8</t>
        </is>
      </c>
      <c r="K19" s="161" t="inlineStr">
        <is>
          <t>S9</t>
        </is>
      </c>
      <c r="L19" s="161" t="inlineStr">
        <is>
          <t>Done</t>
        </is>
      </c>
      <c r="M19" s="161" t="inlineStr">
        <is>
          <t>Days left</t>
        </is>
      </c>
    </row>
    <row r="20">
      <c r="A20" s="162" t="inlineStr">
        <is>
          <t>2026-09-22</t>
        </is>
      </c>
      <c r="B20" s="155" t="n">
        <v>22</v>
      </c>
      <c r="C20" s="155" t="n">
        <v>21</v>
      </c>
      <c r="D20" s="155" t="n">
        <v>18</v>
      </c>
      <c r="E20" s="155" t="n">
        <v>16</v>
      </c>
      <c r="F20" s="155" t="n">
        <v>8</v>
      </c>
      <c r="G20" s="155" t="n">
        <v>3</v>
      </c>
      <c r="H20" s="155" t="n">
        <v>0</v>
      </c>
      <c r="I20" s="155" t="n">
        <v>0</v>
      </c>
      <c r="J20" s="155" t="n">
        <v>0</v>
      </c>
      <c r="K20" s="155" t="n">
        <v>0</v>
      </c>
      <c r="L20" s="155" t="n">
        <v>88</v>
      </c>
      <c r="M20" s="155" t="n">
        <v>433</v>
      </c>
    </row>
    <row r="21">
      <c r="A21" s="162" t="inlineStr">
        <is>
          <t>2026-09-23</t>
        </is>
      </c>
      <c r="B21" s="74" t="n">
        <v>25</v>
      </c>
      <c r="C21" s="74" t="n">
        <v>21</v>
      </c>
      <c r="D21" s="74" t="n">
        <v>18</v>
      </c>
      <c r="E21" s="74" t="n">
        <v>17</v>
      </c>
      <c r="F21" s="74" t="n">
        <v>9</v>
      </c>
      <c r="G21" s="74" t="n">
        <v>11</v>
      </c>
      <c r="H21" s="74" t="n">
        <v>8</v>
      </c>
      <c r="I21" s="74" t="n">
        <v>12</v>
      </c>
      <c r="J21" s="74" t="n">
        <v>0</v>
      </c>
      <c r="K21" s="74" t="n">
        <v>0</v>
      </c>
      <c r="L21" s="74" t="n">
        <v>91</v>
      </c>
      <c r="M21" s="74" t="n">
        <v>428</v>
      </c>
    </row>
    <row r="22">
      <c r="A22" s="74" t="inlineStr">
        <is>
          <t>2026-09-24</t>
        </is>
      </c>
      <c r="B22" s="74" t="n">
        <v>25</v>
      </c>
      <c r="C22" s="74" t="n">
        <v>21</v>
      </c>
      <c r="D22" s="74" t="n">
        <v>19</v>
      </c>
      <c r="E22" s="74" t="n">
        <v>18</v>
      </c>
      <c r="F22" s="74" t="n">
        <v>10</v>
      </c>
      <c r="G22" s="74" t="n">
        <v>11</v>
      </c>
      <c r="H22" s="74" t="n">
        <v>11</v>
      </c>
      <c r="I22" s="74" t="n">
        <v>12</v>
      </c>
      <c r="J22" s="74" t="n">
        <v>12</v>
      </c>
      <c r="K22" s="74" t="n">
        <v>0</v>
      </c>
      <c r="L22" s="74" t="n">
        <v>139</v>
      </c>
      <c r="M22" s="74" t="n">
        <v>308</v>
      </c>
    </row>
    <row r="23">
      <c r="A23" s="74" t="inlineStr">
        <is>
          <t>2026-09-25</t>
        </is>
      </c>
      <c r="B23" s="74" t="n">
        <v>25</v>
      </c>
      <c r="C23" s="74" t="n">
        <v>21</v>
      </c>
      <c r="D23" s="74" t="n">
        <v>19</v>
      </c>
      <c r="E23" s="74" t="n">
        <v>18</v>
      </c>
      <c r="F23" s="74" t="n">
        <v>10</v>
      </c>
      <c r="G23" s="74" t="n">
        <v>11</v>
      </c>
      <c r="H23" s="74" t="n">
        <v>11</v>
      </c>
      <c r="I23" s="74" t="n">
        <v>12</v>
      </c>
      <c r="J23" s="74" t="n">
        <v>13</v>
      </c>
      <c r="K23" s="74" t="n">
        <v>0</v>
      </c>
      <c r="L23" s="74" t="n">
        <v>140</v>
      </c>
      <c r="M23" s="74" t="n">
        <v>305</v>
      </c>
    </row>
    <row r="24">
      <c r="A24" s="74" t="inlineStr">
        <is>
          <t>2026-09-28</t>
        </is>
      </c>
      <c r="B24" s="74" t="n">
        <v>25</v>
      </c>
      <c r="C24" s="74" t="n">
        <v>38</v>
      </c>
      <c r="D24" s="74" t="n">
        <v>19</v>
      </c>
      <c r="E24" s="74" t="n">
        <v>24</v>
      </c>
      <c r="F24" s="74" t="n">
        <v>16</v>
      </c>
      <c r="G24" s="74" t="n">
        <v>17</v>
      </c>
      <c r="H24" s="74" t="n">
        <v>17</v>
      </c>
      <c r="I24" s="74" t="n">
        <v>19</v>
      </c>
      <c r="J24" s="74" t="n">
        <v>18</v>
      </c>
      <c r="K24" s="74" t="n">
        <v>26</v>
      </c>
      <c r="L24" s="74" t="n">
        <v>219</v>
      </c>
      <c r="M24" s="74" t="n">
        <v>77</v>
      </c>
    </row>
    <row r="25">
      <c r="A25" s="74" t="inlineStr">
        <is>
          <t>2026-09-29</t>
        </is>
      </c>
      <c r="B25" s="74" t="n">
        <v>25</v>
      </c>
      <c r="C25" s="74" t="n">
        <v>38</v>
      </c>
      <c r="D25" s="74" t="n">
        <v>21</v>
      </c>
      <c r="E25" s="74" t="n">
        <v>26</v>
      </c>
      <c r="F25" s="74" t="n">
        <v>16</v>
      </c>
      <c r="G25" s="74" t="n">
        <v>17</v>
      </c>
      <c r="H25" s="74" t="n">
        <v>17</v>
      </c>
      <c r="I25" s="74" t="n">
        <v>19</v>
      </c>
      <c r="J25" s="74" t="n">
        <v>18</v>
      </c>
      <c r="K25" s="74" t="n">
        <v>26</v>
      </c>
      <c r="L25" s="74" t="n">
        <v>223</v>
      </c>
      <c r="M25" s="74" t="n">
        <v>79</v>
      </c>
    </row>
    <row r="26">
      <c r="A26" s="74" t="inlineStr">
        <is>
          <t>2026-09-30</t>
        </is>
      </c>
      <c r="B26" s="74" t="n">
        <v>25</v>
      </c>
      <c r="C26" s="74" t="n">
        <v>38</v>
      </c>
      <c r="D26" s="74" t="n">
        <v>21</v>
      </c>
      <c r="E26" s="74" t="n">
        <v>26</v>
      </c>
      <c r="F26" s="74" t="n">
        <v>16</v>
      </c>
      <c r="G26" s="74" t="n">
        <v>17</v>
      </c>
      <c r="H26" s="74" t="n">
        <v>17</v>
      </c>
      <c r="I26" s="74" t="n">
        <v>19</v>
      </c>
      <c r="J26" s="74" t="n">
        <v>18</v>
      </c>
      <c r="K26" s="74" t="n">
        <v>26</v>
      </c>
      <c r="L26" s="74" t="n">
        <v>223</v>
      </c>
      <c r="M26" s="74" t="n">
        <v>93</v>
      </c>
    </row>
    <row r="27">
      <c r="A27" s="74" t="inlineStr">
        <is>
          <t>2026-10-01</t>
        </is>
      </c>
      <c r="B27" s="74" t="n">
        <v>25</v>
      </c>
      <c r="C27" s="74" t="n">
        <v>42</v>
      </c>
      <c r="D27" s="74" t="n">
        <v>21</v>
      </c>
      <c r="E27" s="74" t="n">
        <v>29</v>
      </c>
      <c r="F27" s="74" t="n">
        <v>18</v>
      </c>
      <c r="G27" s="74" t="n">
        <v>17</v>
      </c>
      <c r="H27" s="74" t="n">
        <v>19</v>
      </c>
      <c r="I27" s="74" t="n">
        <v>20</v>
      </c>
      <c r="J27" s="74" t="n">
        <v>18</v>
      </c>
      <c r="K27" s="74" t="n">
        <v>27</v>
      </c>
      <c r="L27" s="74" t="n">
        <v>236</v>
      </c>
      <c r="M27" s="74" t="n">
        <v>60</v>
      </c>
    </row>
    <row r="28">
      <c r="A28" s="74" t="inlineStr">
        <is>
          <t>2026-10-02</t>
        </is>
      </c>
      <c r="B28" s="74" t="n">
        <v>25</v>
      </c>
      <c r="C28" s="74" t="n">
        <v>46</v>
      </c>
      <c r="D28" s="74" t="n">
        <v>23</v>
      </c>
      <c r="E28" s="74" t="n">
        <v>29</v>
      </c>
      <c r="F28" s="74" t="n">
        <v>18</v>
      </c>
      <c r="G28" s="74" t="n">
        <v>17</v>
      </c>
      <c r="H28" s="74" t="n">
        <v>19</v>
      </c>
      <c r="I28" s="74" t="n">
        <v>20</v>
      </c>
      <c r="J28" s="74" t="n">
        <v>18</v>
      </c>
      <c r="K28" s="74" t="n">
        <v>28</v>
      </c>
      <c r="L28" s="74" t="n">
        <v>243</v>
      </c>
      <c r="M28" s="74" t="n">
        <v>50</v>
      </c>
    </row>
    <row r="29">
      <c r="A29" s="74" t="inlineStr">
        <is>
          <t>2026-10-05</t>
        </is>
      </c>
      <c r="B29" s="74" t="n">
        <v>25</v>
      </c>
      <c r="C29" s="74" t="n">
        <v>47</v>
      </c>
      <c r="D29" s="74" t="n">
        <v>23</v>
      </c>
      <c r="E29" s="74" t="n">
        <v>29</v>
      </c>
      <c r="F29" s="74" t="n">
        <v>27</v>
      </c>
      <c r="G29" s="74" t="n">
        <v>19</v>
      </c>
      <c r="H29" s="74" t="n">
        <v>20</v>
      </c>
      <c r="I29" s="74" t="n">
        <v>20</v>
      </c>
      <c r="J29" s="74" t="n">
        <v>18</v>
      </c>
      <c r="K29" s="74" t="n">
        <v>37</v>
      </c>
      <c r="L29" s="74" t="n">
        <v>265</v>
      </c>
      <c r="M29" s="74" t="n">
        <v>47</v>
      </c>
    </row>
    <row r="30">
      <c r="A30" s="74" t="inlineStr">
        <is>
          <t>2026-10-07</t>
        </is>
      </c>
      <c r="B30" s="74" t="n">
        <v>25</v>
      </c>
      <c r="C30" s="74" t="n">
        <v>47</v>
      </c>
      <c r="D30" s="74" t="n">
        <v>23</v>
      </c>
      <c r="E30" s="74" t="n">
        <v>29</v>
      </c>
      <c r="F30" s="74" t="n">
        <v>27</v>
      </c>
      <c r="G30" s="74" t="n">
        <v>19</v>
      </c>
      <c r="H30" s="74" t="n">
        <v>20</v>
      </c>
      <c r="I30" s="74" t="n">
        <v>20</v>
      </c>
      <c r="J30" s="74" t="n">
        <v>18</v>
      </c>
      <c r="K30" s="74" t="n">
        <v>37</v>
      </c>
      <c r="L30" s="74" t="n">
        <v>265</v>
      </c>
      <c r="M30" s="74" t="n">
        <v>58.5</v>
      </c>
    </row>
    <row r="31">
      <c r="A31" s="74" t="inlineStr">
        <is>
          <t>2026-10-08</t>
        </is>
      </c>
      <c r="B31" s="74" t="n">
        <v>26</v>
      </c>
      <c r="C31" s="74" t="n">
        <v>56</v>
      </c>
      <c r="D31" s="74" t="n">
        <v>25</v>
      </c>
      <c r="E31" s="74" t="n">
        <v>29</v>
      </c>
      <c r="F31" s="74" t="n">
        <v>27</v>
      </c>
      <c r="G31" s="74" t="n">
        <v>19</v>
      </c>
      <c r="H31" s="74" t="n">
        <v>20</v>
      </c>
      <c r="I31" s="74" t="n">
        <v>20</v>
      </c>
      <c r="J31" s="74" t="n">
        <v>19</v>
      </c>
      <c r="K31" s="74" t="n">
        <v>37</v>
      </c>
      <c r="L31" s="74" t="n">
        <v>278</v>
      </c>
      <c r="M31" s="74" t="n">
        <v>37</v>
      </c>
    </row>
    <row r="32">
      <c r="A32" s="74" t="inlineStr">
        <is>
          <t>2026-10-09</t>
        </is>
      </c>
      <c r="B32" s="74" t="n">
        <v>27</v>
      </c>
      <c r="C32" s="74" t="n">
        <v>56</v>
      </c>
      <c r="D32" s="74" t="n">
        <v>25</v>
      </c>
      <c r="E32" s="74" t="n">
        <v>29</v>
      </c>
      <c r="F32" s="74" t="n">
        <v>27</v>
      </c>
      <c r="G32" s="74" t="n">
        <v>19</v>
      </c>
      <c r="H32" s="74" t="n">
        <v>20</v>
      </c>
      <c r="I32" s="74" t="n">
        <v>20</v>
      </c>
      <c r="J32" s="74" t="n">
        <v>20</v>
      </c>
      <c r="K32" s="74" t="n">
        <v>37</v>
      </c>
      <c r="L32" s="74" t="n">
        <v>280</v>
      </c>
      <c r="M32" s="74" t="n">
        <v>33</v>
      </c>
    </row>
    <row r="33">
      <c r="A33" s="74" t="inlineStr">
        <is>
          <t>2026-10-12</t>
        </is>
      </c>
      <c r="B33" s="74" t="n">
        <v>27</v>
      </c>
      <c r="C33" s="74" t="n">
        <v>56</v>
      </c>
      <c r="D33" s="74" t="n">
        <v>25</v>
      </c>
      <c r="E33" s="74" t="n">
        <v>29</v>
      </c>
      <c r="F33" s="74" t="n">
        <v>27</v>
      </c>
      <c r="G33" s="74" t="n">
        <v>19</v>
      </c>
      <c r="H33" s="74" t="n">
        <v>20</v>
      </c>
      <c r="I33" s="74" t="n">
        <v>20</v>
      </c>
      <c r="J33" s="74" t="n">
        <v>20</v>
      </c>
      <c r="K33" s="74" t="n">
        <v>37</v>
      </c>
      <c r="L33" s="74" t="n">
        <v>280</v>
      </c>
      <c r="M33" s="74" t="n">
        <v>40</v>
      </c>
    </row>
    <row r="34">
      <c r="A34" s="74" t="inlineStr">
        <is>
          <t>2026-10-13</t>
        </is>
      </c>
      <c r="B34" s="74" t="n">
        <v>27</v>
      </c>
      <c r="C34" s="74" t="n">
        <v>56</v>
      </c>
      <c r="D34" s="74" t="n">
        <v>25</v>
      </c>
      <c r="E34" s="74" t="n">
        <v>29</v>
      </c>
      <c r="F34" s="74" t="n">
        <v>27</v>
      </c>
      <c r="G34" s="74" t="n">
        <v>19</v>
      </c>
      <c r="H34" s="74" t="n">
        <v>20</v>
      </c>
      <c r="I34" s="74" t="n">
        <v>20</v>
      </c>
      <c r="J34" s="74" t="n">
        <v>20</v>
      </c>
      <c r="K34" s="74" t="n">
        <v>37</v>
      </c>
      <c r="L34" s="74" t="n">
        <v>280</v>
      </c>
      <c r="M34" s="74" t="n">
        <v>40</v>
      </c>
    </row>
    <row r="35">
      <c r="A35" s="74" t="inlineStr">
        <is>
          <t>2026-10-14</t>
        </is>
      </c>
      <c r="B35" s="74" t="n">
        <v>27</v>
      </c>
      <c r="C35" s="74" t="n">
        <v>58</v>
      </c>
      <c r="D35" s="74" t="n">
        <v>25</v>
      </c>
      <c r="E35" s="74" t="n">
        <v>29</v>
      </c>
      <c r="F35" s="74" t="n">
        <v>27</v>
      </c>
      <c r="G35" s="74" t="n">
        <v>19</v>
      </c>
      <c r="H35" s="74" t="n">
        <v>20</v>
      </c>
      <c r="I35" s="74" t="n">
        <v>20</v>
      </c>
      <c r="J35" s="74" t="n">
        <v>20</v>
      </c>
      <c r="K35" s="74" t="n">
        <v>37</v>
      </c>
      <c r="L35" s="74" t="n">
        <v>282</v>
      </c>
      <c r="M35" s="74" t="n">
        <v>40</v>
      </c>
    </row>
    <row r="36">
      <c r="A36" s="74" t="inlineStr">
        <is>
          <t>2026-10-15</t>
        </is>
      </c>
      <c r="B36" s="74" t="n">
        <v>27</v>
      </c>
      <c r="C36" s="74" t="n">
        <v>62</v>
      </c>
      <c r="D36" s="74" t="n">
        <v>25</v>
      </c>
      <c r="E36" s="74" t="n">
        <v>29</v>
      </c>
      <c r="F36" s="74" t="n">
        <v>27</v>
      </c>
      <c r="G36" s="74" t="n">
        <v>19</v>
      </c>
      <c r="H36" s="74" t="n">
        <v>20</v>
      </c>
      <c r="I36" s="74" t="n">
        <v>20</v>
      </c>
      <c r="J36" s="74" t="n">
        <v>20</v>
      </c>
      <c r="K36" s="74" t="n">
        <v>37</v>
      </c>
      <c r="L36" s="74" t="n">
        <v>286</v>
      </c>
      <c r="M36" s="74" t="n">
        <v>40</v>
      </c>
    </row>
    <row r="37">
      <c r="A37" s="74" t="inlineStr">
        <is>
          <t>2026-10-19</t>
        </is>
      </c>
      <c r="B37" s="74" t="n">
        <v>28</v>
      </c>
      <c r="C37" s="74" t="n">
        <v>62</v>
      </c>
      <c r="D37" s="74" t="n">
        <v>25</v>
      </c>
      <c r="E37" s="74" t="n">
        <v>29</v>
      </c>
      <c r="F37" s="74" t="n">
        <v>27</v>
      </c>
      <c r="G37" s="74" t="n">
        <v>19</v>
      </c>
      <c r="H37" s="74" t="n">
        <v>20</v>
      </c>
      <c r="I37" s="74" t="n">
        <v>20</v>
      </c>
      <c r="J37" s="74" t="n">
        <v>24</v>
      </c>
      <c r="K37" s="74" t="n">
        <v>38</v>
      </c>
      <c r="L37" s="74" t="n">
        <v>292</v>
      </c>
      <c r="M37" s="74" t="n">
        <v>16</v>
      </c>
    </row>
    <row r="38">
      <c r="A38" s="74" t="inlineStr">
        <is>
          <t>2026-10-20</t>
        </is>
      </c>
      <c r="B38" s="74" t="n">
        <v>28</v>
      </c>
      <c r="C38" s="74" t="n">
        <v>62</v>
      </c>
      <c r="D38" s="74" t="n">
        <v>25</v>
      </c>
      <c r="E38" s="74" t="n">
        <v>29</v>
      </c>
      <c r="F38" s="74" t="n">
        <v>27</v>
      </c>
      <c r="G38" s="74" t="n">
        <v>19</v>
      </c>
      <c r="H38" s="74" t="n">
        <v>20</v>
      </c>
      <c r="I38" s="74" t="n">
        <v>20</v>
      </c>
      <c r="J38" s="74" t="n">
        <v>26</v>
      </c>
      <c r="K38" s="74" t="n">
        <v>38</v>
      </c>
      <c r="L38" s="74" t="n">
        <v>294</v>
      </c>
      <c r="M38" s="74" t="n">
        <v>21</v>
      </c>
    </row>
    <row r="39">
      <c r="A39" s="74" t="inlineStr">
        <is>
          <t>2026-10-22</t>
        </is>
      </c>
      <c r="B39" s="74" t="n">
        <v>28</v>
      </c>
      <c r="C39" s="74" t="n">
        <v>62</v>
      </c>
      <c r="D39" s="74" t="n">
        <v>25</v>
      </c>
      <c r="E39" s="74" t="n">
        <v>29</v>
      </c>
      <c r="F39" s="74" t="n">
        <v>27</v>
      </c>
      <c r="G39" s="74" t="n">
        <v>19</v>
      </c>
      <c r="H39" s="74" t="n">
        <v>20</v>
      </c>
      <c r="I39" s="74" t="n">
        <v>20</v>
      </c>
      <c r="J39" s="74" t="n">
        <v>30</v>
      </c>
      <c r="K39" s="74" t="n">
        <v>38</v>
      </c>
      <c r="L39" s="74" t="n">
        <v>298</v>
      </c>
      <c r="M39" s="74" t="n">
        <v>23.5</v>
      </c>
    </row>
    <row r="40" s="75">
      <c r="A40" s="74" t="inlineStr">
        <is>
          <t>2026-10-23</t>
        </is>
      </c>
      <c r="B40" s="74" t="n">
        <v>28</v>
      </c>
      <c r="C40" s="74" t="n">
        <v>62</v>
      </c>
      <c r="D40" s="74" t="n">
        <v>25</v>
      </c>
      <c r="E40" s="74" t="n">
        <v>29</v>
      </c>
      <c r="F40" s="74" t="n">
        <v>27</v>
      </c>
      <c r="G40" s="74" t="n">
        <v>19</v>
      </c>
      <c r="H40" s="74" t="n">
        <v>20</v>
      </c>
      <c r="I40" s="74" t="n">
        <v>20</v>
      </c>
      <c r="J40" s="74" t="n">
        <v>36</v>
      </c>
      <c r="K40" s="74" t="n">
        <v>38</v>
      </c>
      <c r="L40" s="74" t="n">
        <v>304</v>
      </c>
      <c r="M40" s="74" t="n">
        <v>16.5</v>
      </c>
    </row>
    <row r="41">
      <c r="A41" s="74" t="inlineStr">
        <is>
          <t>2026-10-26</t>
        </is>
      </c>
      <c r="B41" s="74" t="n">
        <v>28</v>
      </c>
      <c r="C41" s="74" t="n">
        <v>62</v>
      </c>
      <c r="D41" s="74" t="n">
        <v>25</v>
      </c>
      <c r="E41" s="74" t="n">
        <v>29</v>
      </c>
      <c r="F41" s="74" t="n">
        <v>27</v>
      </c>
      <c r="G41" s="74" t="n">
        <v>19</v>
      </c>
      <c r="H41" s="74" t="n">
        <v>20</v>
      </c>
      <c r="I41" s="74" t="n">
        <v>20</v>
      </c>
      <c r="J41" s="74" t="n">
        <v>39</v>
      </c>
      <c r="K41" s="74" t="n">
        <v>38</v>
      </c>
      <c r="L41" s="74" t="n">
        <v>307</v>
      </c>
      <c r="M41" s="74" t="n">
        <v>17.5</v>
      </c>
    </row>
    <row r="42">
      <c r="A42" s="74" t="inlineStr">
        <is>
          <t>2026-10-28</t>
        </is>
      </c>
      <c r="B42" s="74" t="n">
        <v>28</v>
      </c>
      <c r="C42" s="74" t="n">
        <v>62</v>
      </c>
      <c r="D42" s="74" t="n">
        <v>25</v>
      </c>
      <c r="E42" s="74" t="n">
        <v>29</v>
      </c>
      <c r="F42" s="74" t="n">
        <v>27</v>
      </c>
      <c r="G42" s="74" t="n">
        <v>19</v>
      </c>
      <c r="H42" s="74" t="n">
        <v>20</v>
      </c>
      <c r="I42" s="74" t="n">
        <v>20</v>
      </c>
      <c r="J42" s="74" t="n">
        <v>45</v>
      </c>
      <c r="K42" s="74" t="n">
        <v>38</v>
      </c>
      <c r="L42" s="74" t="n">
        <v>313</v>
      </c>
      <c r="M42" s="74" t="n">
        <v>23.5</v>
      </c>
    </row>
  </sheetData>
  <mergeCells count="2">
    <mergeCell ref="A2:H2"/>
    <mergeCell ref="A18:M18"/>
  </mergeCells>
  <conditionalFormatting sqref="E5:E14">
    <cfRule type="dataBar" priority="1">
      <dataBar>
        <cfvo type="num" val="0"/>
        <cfvo type="num" val="1"/>
        <color rgb="FF2E9BF5"/>
      </dataBar>
    </cfRule>
  </conditionalFormatting>
  <pageMargins left="0.75" right="0.75" top="1" bottom="1" header="0.5" footer="0.5"/>
</worksheet>
</file>

<file path=xl/worksheets/sheet4.xml><?xml version="1.0" encoding="utf-8"?>
<worksheet xmlns="http://schemas.openxmlformats.org/spreadsheetml/2006/main">
  <sheetPr filterMode="0">
    <tabColor rgb="00C00000"/>
    <outlinePr summaryBelow="1" summaryRight="1"/>
    <pageSetUpPr fitToPage="0"/>
  </sheetPr>
  <dimension ref="A1:R57"/>
  <sheetViews>
    <sheetView workbookViewId="0">
      <selection activeCell="A1"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46" t="inlineStr">
        <is>
          <t>SponsorX — Polish · Fix before launch (URGENT)</t>
        </is>
      </c>
    </row>
    <row r="2" ht="15" customHeight="1" s="75">
      <c r="A2" s="77" t="inlineStr">
        <is>
          <t>53 tasks across 36 user-experience flaws found 2026-10-28 · do these before cleaning up any other task on the board · do POL-BE-04 first (hurting sponsors now, while Stripe is paused) · plan: documentation/polish.md</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32.8" customHeight="1" s="75">
      <c r="A5" s="104" t="n">
        <v>1</v>
      </c>
      <c r="B5" s="105" t="inlineStr">
        <is>
          <t>POL-BE-01</t>
        </is>
      </c>
      <c r="C5" s="81" t="n">
        <v>1</v>
      </c>
      <c r="D5" s="82" t="inlineStr">
        <is>
          <t>A · Money, minors, consent</t>
        </is>
      </c>
      <c r="E5" s="138" t="inlineStr">
        <is>
          <t>BE</t>
        </is>
      </c>
      <c r="F5" s="120" t="inlineStr">
        <is>
          <t>Code</t>
        </is>
      </c>
      <c r="G5" s="80" t="inlineStr">
        <is>
          <t>Payouts stop going to the old guardian</t>
        </is>
      </c>
      <c r="H5" s="107" t="inlineStr">
        <is>
          <t>After a guardian handoff or coming of age, the old payout account stops receiving money (PayoutAccount is unique per athlete, so it is reused today). Payouts wait for the new holder's own account; both are told.</t>
        </is>
      </c>
      <c r="I5" s="108" t="inlineStr">
        <is>
          <t>Done</t>
        </is>
      </c>
      <c r="J5" s="108" t="n">
        <v>2</v>
      </c>
      <c r="K5" s="109" t="n">
        <v>46323</v>
      </c>
      <c r="L5" s="109" t="n">
        <v>46323</v>
      </c>
      <c r="M5" s="110" t="inlineStr">
        <is>
          <t>rcfworks</t>
        </is>
      </c>
      <c r="N5" s="81" t="n">
        <v>1</v>
      </c>
      <c r="O5" s="80" t="n"/>
      <c r="P5" s="80" t="inlineStr">
        <is>
          <t>No payout reaches the old account after a handoff or coming of age; new holder asked to set up; tests</t>
        </is>
      </c>
      <c r="Q5" s="82" t="inlineStr">
        <is>
          <t>polish.md #1</t>
        </is>
      </c>
      <c r="R5" s="111" t="inlineStr">
        <is>
          <t>Raised 2026-10-28 from the UX review. Rule decided 2026-10-28: anything not yet paid out follows the athlete to the new holder.</t>
        </is>
      </c>
    </row>
    <row r="6" ht="32.8" customHeight="1" s="75">
      <c r="A6" s="104" t="n">
        <v>2</v>
      </c>
      <c r="B6" s="105" t="inlineStr">
        <is>
          <t>POL-FE-01</t>
        </is>
      </c>
      <c r="C6" s="81" t="n">
        <v>1</v>
      </c>
      <c r="D6" s="82" t="inlineStr">
        <is>
          <t>A · Money, minors, consent</t>
        </is>
      </c>
      <c r="E6" s="138" t="inlineStr">
        <is>
          <t>FE</t>
        </is>
      </c>
      <c r="F6" s="120" t="inlineStr">
        <is>
          <t>Code</t>
        </is>
      </c>
      <c r="G6" s="80" t="inlineStr">
        <is>
          <t>New guardian or adult athlete sets up payouts</t>
        </is>
      </c>
      <c r="H6" s="107" t="inlineStr">
        <is>
          <t>After a handoff or coming of age, the payouts screen asks the new holder to set up their own account and shows payouts waiting.</t>
        </is>
      </c>
      <c r="I6" s="108" t="inlineStr">
        <is>
          <t>Ready</t>
        </is>
      </c>
      <c r="J6" s="108" t="n">
        <v>1</v>
      </c>
      <c r="K6" s="109" t="n"/>
      <c r="L6" s="109" t="n"/>
      <c r="M6" s="110" t="inlineStr">
        <is>
          <t>HeckerCreatives</t>
        </is>
      </c>
      <c r="N6" s="81" t="n">
        <v>0</v>
      </c>
      <c r="O6" s="80" t="inlineStr">
        <is>
          <t>POL-BE-01</t>
        </is>
      </c>
      <c r="P6" s="80" t="inlineStr">
        <is>
          <t>New holder sees the prompt and waiting payouts; old holder no longer sees the account</t>
        </is>
      </c>
      <c r="Q6" s="82" t="inlineStr">
        <is>
          <t>polish.md #1</t>
        </is>
      </c>
      <c r="R6" s="111" t="inlineStr">
        <is>
          <t>Raised 2026-10-28 from the UX review.</t>
        </is>
      </c>
    </row>
    <row r="7" ht="32.8" customHeight="1" s="75">
      <c r="A7" s="104" t="n">
        <v>3</v>
      </c>
      <c r="B7" s="105" t="inlineStr">
        <is>
          <t>POL-BE-02</t>
        </is>
      </c>
      <c r="C7" s="81" t="n">
        <v>1</v>
      </c>
      <c r="D7" s="82" t="inlineStr">
        <is>
          <t>A · Money, minors, consent</t>
        </is>
      </c>
      <c r="E7" s="138" t="inlineStr">
        <is>
          <t>BE</t>
        </is>
      </c>
      <c r="F7" s="120" t="inlineStr">
        <is>
          <t>Code</t>
        </is>
      </c>
      <c r="G7" s="80" t="inlineStr">
        <is>
          <t>A minor's date-of-birth change and coming-of-age takeover are held</t>
        </is>
      </c>
      <c r="H7" s="107" t="inlineStr">
        <is>
          <t>While a minor, a DOB change is held for the guardian and BTG instead of applying at once. A coming-of-age takeover is always held for BTG, even when the ID reads clear.</t>
        </is>
      </c>
      <c r="I7" s="108" t="inlineStr">
        <is>
          <t>Done</t>
        </is>
      </c>
      <c r="J7" s="108" t="n">
        <v>2</v>
      </c>
      <c r="K7" s="109" t="n">
        <v>46323</v>
      </c>
      <c r="L7" s="109" t="n">
        <v>46323</v>
      </c>
      <c r="M7" s="110" t="inlineStr">
        <is>
          <t>rcfworks</t>
        </is>
      </c>
      <c r="N7" s="81" t="n">
        <v>1</v>
      </c>
      <c r="O7" s="80" t="n"/>
      <c r="P7" s="80" t="inlineStr">
        <is>
          <t>Minor's DOB change waits for approval; coming of age never removes a guardian without BTG; tests</t>
        </is>
      </c>
      <c r="Q7" s="82" t="inlineStr">
        <is>
          <t>polish.md #2</t>
        </is>
      </c>
      <c r="R7" s="111" t="inlineStr">
        <is>
          <t>Raised 2026-10-28 from the UX review. Decided 2026-10-28: BTG alone approves a change that would make a minor an adult; takeover automatic only when the ID reads clear.</t>
        </is>
      </c>
    </row>
    <row r="8" ht="32.8" customHeight="1" s="75">
      <c r="A8" s="104" t="n">
        <v>4</v>
      </c>
      <c r="B8" s="105" t="inlineStr">
        <is>
          <t>POL-FE-02</t>
        </is>
      </c>
      <c r="C8" s="81" t="n">
        <v>1</v>
      </c>
      <c r="D8" s="82" t="inlineStr">
        <is>
          <t>A · Money, minors, consent</t>
        </is>
      </c>
      <c r="E8" s="138" t="inlineStr">
        <is>
          <t>FE</t>
        </is>
      </c>
      <c r="F8" s="120" t="inlineStr">
        <is>
          <t>Code</t>
        </is>
      </c>
      <c r="G8" s="80" t="inlineStr">
        <is>
          <t>DOB change shows 'waiting for approval'</t>
        </is>
      </c>
      <c r="H8" s="107" t="inlineStr">
        <is>
          <t>Profile edit shows a minor's DOB change as waiting; guardian and BTG see Approve / Decline.</t>
        </is>
      </c>
      <c r="I8" s="108" t="inlineStr">
        <is>
          <t>Ready</t>
        </is>
      </c>
      <c r="J8" s="108" t="n">
        <v>1</v>
      </c>
      <c r="K8" s="109" t="n"/>
      <c r="L8" s="109" t="n"/>
      <c r="M8" s="110" t="inlineStr">
        <is>
          <t>HeckerCreatives</t>
        </is>
      </c>
      <c r="N8" s="81" t="n">
        <v>0</v>
      </c>
      <c r="O8" s="80" t="inlineStr">
        <is>
          <t>POL-BE-02</t>
        </is>
      </c>
      <c r="P8" s="80" t="inlineStr">
        <is>
          <t>Minor sees waiting state; guardian and BTG can approve or decline</t>
        </is>
      </c>
      <c r="Q8" s="82" t="inlineStr">
        <is>
          <t>polish.md #2</t>
        </is>
      </c>
      <c r="R8" s="111" t="inlineStr">
        <is>
          <t>Raised 2026-10-28 from the UX review.</t>
        </is>
      </c>
    </row>
    <row r="9" ht="32.8" customHeight="1" s="75">
      <c r="A9" s="104" t="n">
        <v>5</v>
      </c>
      <c r="B9" s="105" t="inlineStr">
        <is>
          <t>POL-BE-03</t>
        </is>
      </c>
      <c r="C9" s="81" t="n">
        <v>1</v>
      </c>
      <c r="D9" s="82" t="inlineStr">
        <is>
          <t>A · Money, minors, consent</t>
        </is>
      </c>
      <c r="E9" s="138" t="inlineStr">
        <is>
          <t>BE</t>
        </is>
      </c>
      <c r="F9" s="120" t="inlineStr">
        <is>
          <t>Code</t>
        </is>
      </c>
      <c r="G9" s="80" t="inlineStr">
        <is>
          <t>A team can't raise its share without the athlete's yes</t>
        </is>
      </c>
      <c r="H9" s="107" t="inlineStr">
        <is>
          <t>Any share raise (directly added athletes included, not just invited) needs the athlete's agreement, the guardian's for a minor. Lowering applies at once. Both emailed.</t>
        </is>
      </c>
      <c r="I9" s="108" t="inlineStr">
        <is>
          <t>Done</t>
        </is>
      </c>
      <c r="J9" s="108" t="n">
        <v>2</v>
      </c>
      <c r="K9" s="109" t="n">
        <v>46324</v>
      </c>
      <c r="L9" s="109" t="n">
        <v>46324</v>
      </c>
      <c r="M9" s="110" t="inlineStr">
        <is>
          <t>rcfworks</t>
        </is>
      </c>
      <c r="N9" s="81" t="n">
        <v>1</v>
      </c>
      <c r="O9" s="80" t="n"/>
      <c r="P9" s="80" t="inlineStr">
        <is>
          <t>No share goes up without the athlete's or guardian's yes; tests for direct, invited and minor</t>
        </is>
      </c>
      <c r="Q9" s="82" t="inlineStr">
        <is>
          <t>polish.md #3</t>
        </is>
      </c>
      <c r="R9" s="111" t="inlineStr">
        <is>
          <t>Raised 2026-10-28 from the UX review. Decided 2026-10-29: the share typed at Add athlete needs the athlete's yes too; BTG's standard share applies until then. PR #322.</t>
        </is>
      </c>
    </row>
    <row r="10" ht="32.8" customHeight="1" s="75">
      <c r="A10" s="104" t="n">
        <v>6</v>
      </c>
      <c r="B10" s="105" t="inlineStr">
        <is>
          <t>POL-FE-03</t>
        </is>
      </c>
      <c r="C10" s="81" t="n">
        <v>1</v>
      </c>
      <c r="D10" s="82" t="inlineStr">
        <is>
          <t>A · Money, minors, consent</t>
        </is>
      </c>
      <c r="E10" s="138" t="inlineStr">
        <is>
          <t>FE</t>
        </is>
      </c>
      <c r="F10" s="120" t="inlineStr">
        <is>
          <t>Code</t>
        </is>
      </c>
      <c r="G10" s="80" t="inlineStr">
        <is>
          <t>Accept or decline a team share change</t>
        </is>
      </c>
      <c r="H10" s="107" t="inlineStr">
        <is>
          <t>Athlete or guardian screen showing old and new share with Accept / Decline; team sees 'waiting for the athlete'.</t>
        </is>
      </c>
      <c r="I10" s="108" t="inlineStr">
        <is>
          <t>Ready</t>
        </is>
      </c>
      <c r="J10" s="108" t="n">
        <v>1</v>
      </c>
      <c r="K10" s="109" t="n"/>
      <c r="L10" s="109" t="n"/>
      <c r="M10" s="110" t="inlineStr">
        <is>
          <t>HeckerCreatives</t>
        </is>
      </c>
      <c r="N10" s="81" t="n">
        <v>0</v>
      </c>
      <c r="O10" s="80" t="inlineStr">
        <is>
          <t>POL-BE-03</t>
        </is>
      </c>
      <c r="P10" s="80" t="inlineStr">
        <is>
          <t>Athlete or guardian can accept or decline; team sees the pending state</t>
        </is>
      </c>
      <c r="Q10" s="82" t="inlineStr">
        <is>
          <t>polish.md #3</t>
        </is>
      </c>
      <c r="R10" s="111" t="inlineStr">
        <is>
          <t>Raised 2026-10-28 from the UX review.</t>
        </is>
      </c>
    </row>
    <row r="11" ht="32.8" customHeight="1" s="75">
      <c r="A11" s="104" t="n">
        <v>7</v>
      </c>
      <c r="B11" s="105" t="inlineStr">
        <is>
          <t>POL-BE-04</t>
        </is>
      </c>
      <c r="C11" s="81" t="n">
        <v>1</v>
      </c>
      <c r="D11" s="82" t="inlineStr">
        <is>
          <t>A · Money, minors, consent</t>
        </is>
      </c>
      <c r="E11" s="138" t="inlineStr">
        <is>
          <t>BE</t>
        </is>
      </c>
      <c r="F11" s="120" t="inlineStr">
        <is>
          <t>Code</t>
        </is>
      </c>
      <c r="G11" s="80" t="inlineStr">
        <is>
          <t>No reminders or cancellations while payment is off</t>
        </is>
      </c>
      <c r="H11" s="107" t="inlineStr">
        <is>
          <t>sweepUnpaidOrders and the reminders skip orders while the payment provider is off; the countdown starts when payment opens. Hurting sponsors now, while Stripe is paused.</t>
        </is>
      </c>
      <c r="I11" s="108" t="inlineStr">
        <is>
          <t>Done</t>
        </is>
      </c>
      <c r="J11" s="108" t="n">
        <v>1</v>
      </c>
      <c r="K11" s="109" t="n">
        <v>46323</v>
      </c>
      <c r="L11" s="109" t="n">
        <v>46323</v>
      </c>
      <c r="M11" s="110" t="inlineStr">
        <is>
          <t>rcfworks</t>
        </is>
      </c>
      <c r="N11" s="81" t="n">
        <v>1</v>
      </c>
      <c r="O11" s="80" t="n"/>
      <c r="P11" s="80" t="inlineStr">
        <is>
          <t>With payment off no reminder and no cancellation; with it on unchanged; tests</t>
        </is>
      </c>
      <c r="Q11" s="82" t="inlineStr">
        <is>
          <t>polish.md #4</t>
        </is>
      </c>
      <c r="R11" s="111" t="inlineStr">
        <is>
          <t>Raised 2026-10-28 from the UX review.</t>
        </is>
      </c>
    </row>
    <row r="12" ht="32.8" customHeight="1" s="75">
      <c r="A12" s="104" t="n">
        <v>8</v>
      </c>
      <c r="B12" s="105" t="inlineStr">
        <is>
          <t>POL-FE-04</t>
        </is>
      </c>
      <c r="C12" s="81" t="n">
        <v>1</v>
      </c>
      <c r="D12" s="82" t="inlineStr">
        <is>
          <t>A · Money, minors, consent</t>
        </is>
      </c>
      <c r="E12" s="138" t="inlineStr">
        <is>
          <t>FE</t>
        </is>
      </c>
      <c r="F12" s="120" t="inlineStr">
        <is>
          <t>Code</t>
        </is>
      </c>
      <c r="G12" s="80" t="inlineStr">
        <is>
          <t>Checkout says payment opens later</t>
        </is>
      </c>
      <c r="H12" s="107" t="inlineStr">
        <is>
          <t>Checkout and order page say plainly that payment is not open yet and the order is held, not cancelled.</t>
        </is>
      </c>
      <c r="I12" s="108" t="inlineStr">
        <is>
          <t>Ready</t>
        </is>
      </c>
      <c r="J12" s="108" t="n">
        <v>0.5</v>
      </c>
      <c r="K12" s="109" t="n"/>
      <c r="L12" s="109" t="n"/>
      <c r="M12" s="110" t="inlineStr">
        <is>
          <t>HeckerCreatives</t>
        </is>
      </c>
      <c r="N12" s="81" t="n">
        <v>0</v>
      </c>
      <c r="O12" s="80" t="inlineStr">
        <is>
          <t>POL-BE-04</t>
        </is>
      </c>
      <c r="P12" s="80" t="inlineStr">
        <is>
          <t>Sponsor sees the order is held until payment opens</t>
        </is>
      </c>
      <c r="Q12" s="82" t="inlineStr">
        <is>
          <t>polish.md #4</t>
        </is>
      </c>
      <c r="R12" s="111" t="inlineStr">
        <is>
          <t>Raised 2026-10-28 from the UX review.</t>
        </is>
      </c>
    </row>
    <row r="13" ht="32.8" customHeight="1" s="75">
      <c r="A13" s="104" t="n">
        <v>9</v>
      </c>
      <c r="B13" s="105" t="inlineStr">
        <is>
          <t>POL-BE-05</t>
        </is>
      </c>
      <c r="C13" s="81" t="n">
        <v>1</v>
      </c>
      <c r="D13" s="82" t="inlineStr">
        <is>
          <t>A · Money, minors, consent</t>
        </is>
      </c>
      <c r="E13" s="138" t="inlineStr">
        <is>
          <t>BE</t>
        </is>
      </c>
      <c r="F13" s="120" t="inlineStr">
        <is>
          <t>Code</t>
        </is>
      </c>
      <c r="G13" s="80" t="inlineStr">
        <is>
          <t>Order quote with fees before placing</t>
        </is>
      </c>
      <c r="H13" s="107" t="inlineStr">
        <is>
          <t>A quote endpoint returns subtotal, fees and total before the order is placed (skip if one already exists).</t>
        </is>
      </c>
      <c r="I13" s="108" t="inlineStr">
        <is>
          <t>Done</t>
        </is>
      </c>
      <c r="J13" s="108" t="n">
        <v>1</v>
      </c>
      <c r="K13" s="109" t="n">
        <v>46324</v>
      </c>
      <c r="L13" s="109" t="n">
        <v>46324</v>
      </c>
      <c r="M13" s="110" t="inlineStr">
        <is>
          <t>rcfworks</t>
        </is>
      </c>
      <c r="N13" s="81" t="n">
        <v>1</v>
      </c>
      <c r="O13" s="80" t="n"/>
      <c r="P13" s="80" t="inlineStr">
        <is>
          <t>Quote total equals the charged total; tests</t>
        </is>
      </c>
      <c r="Q13" s="82" t="inlineStr">
        <is>
          <t>polish.md #5</t>
        </is>
      </c>
      <c r="R13" s="111" t="inlineStr">
        <is>
          <t>Raised 2026-10-28 from the UX review. PR #324: the cart, the held checkout and placing carry a quote (subtotal, fees, total); placing refuses a changed total.</t>
        </is>
      </c>
    </row>
    <row r="14" ht="32.8" customHeight="1" s="75">
      <c r="A14" s="104" t="n">
        <v>10</v>
      </c>
      <c r="B14" s="105" t="inlineStr">
        <is>
          <t>POL-FE-05</t>
        </is>
      </c>
      <c r="C14" s="81" t="n">
        <v>1</v>
      </c>
      <c r="D14" s="82" t="inlineStr">
        <is>
          <t>A · Money, minors, consent</t>
        </is>
      </c>
      <c r="E14" s="138" t="inlineStr">
        <is>
          <t>FE</t>
        </is>
      </c>
      <c r="F14" s="120" t="inlineStr">
        <is>
          <t>Code</t>
        </is>
      </c>
      <c r="G14" s="80" t="inlineStr">
        <is>
          <t>Checkout shows the full total before committing</t>
        </is>
      </c>
      <c r="H14" s="107" t="inlineStr">
        <is>
          <t>Replace 'Fees: added when the order is placed' and 'Total so far' with the real total next to the button that commits.</t>
        </is>
      </c>
      <c r="I14" s="108" t="inlineStr">
        <is>
          <t>Ready</t>
        </is>
      </c>
      <c r="J14" s="108" t="n">
        <v>0.5</v>
      </c>
      <c r="K14" s="109" t="n"/>
      <c r="L14" s="109" t="n"/>
      <c r="M14" s="110" t="inlineStr">
        <is>
          <t>HeckerCreatives</t>
        </is>
      </c>
      <c r="N14" s="81" t="n">
        <v>0</v>
      </c>
      <c r="O14" s="80" t="inlineStr">
        <is>
          <t>POL-BE-05</t>
        </is>
      </c>
      <c r="P14" s="80" t="inlineStr">
        <is>
          <t>Total shown before placing equals the total charged</t>
        </is>
      </c>
      <c r="Q14" s="82" t="inlineStr">
        <is>
          <t>polish.md #5</t>
        </is>
      </c>
      <c r="R14" s="111" t="inlineStr">
        <is>
          <t>Raised 2026-10-28 from the UX review.</t>
        </is>
      </c>
    </row>
    <row r="15" ht="32.8" customHeight="1" s="75">
      <c r="A15" s="104" t="n">
        <v>11</v>
      </c>
      <c r="B15" s="105" t="inlineStr">
        <is>
          <t>POL-BE-06</t>
        </is>
      </c>
      <c r="C15" s="81" t="n">
        <v>1</v>
      </c>
      <c r="D15" s="82" t="inlineStr">
        <is>
          <t>A · Money, minors, consent</t>
        </is>
      </c>
      <c r="E15" s="138" t="inlineStr">
        <is>
          <t>BE</t>
        </is>
      </c>
      <c r="F15" s="120" t="inlineStr">
        <is>
          <t>Code</t>
        </is>
      </c>
      <c r="G15" s="80" t="inlineStr">
        <is>
          <t>Duplicate payment creates a refund to send</t>
        </is>
      </c>
      <c r="H15" s="107" t="inlineStr">
        <is>
          <t>A duplicate payment adds a row to Refunds to send and flags the order; BTG can mark it refunded.</t>
        </is>
      </c>
      <c r="I15" s="108" t="inlineStr">
        <is>
          <t>Done</t>
        </is>
      </c>
      <c r="J15" s="108" t="n">
        <v>1</v>
      </c>
      <c r="K15" s="109" t="n">
        <v>46324</v>
      </c>
      <c r="L15" s="109" t="n">
        <v>46324</v>
      </c>
      <c r="M15" s="110" t="inlineStr">
        <is>
          <t>rcfworks</t>
        </is>
      </c>
      <c r="N15" s="81" t="n">
        <v>1</v>
      </c>
      <c r="O15" s="80" t="n"/>
      <c r="P15" s="80" t="inlineStr">
        <is>
          <t>Duplicate shows in Refunds to send and on the order; tests</t>
        </is>
      </c>
      <c r="Q15" s="82" t="inlineStr">
        <is>
          <t>polish.md #6</t>
        </is>
      </c>
      <c r="R15" s="111" t="inlineStr">
        <is>
          <t>Raised 2026-10-28 from the UX review. PR #325: a card payment confirmed for an order already paid (PAID_TWICE) or refunded (PAID_AFTER_REFUND) is its own refund row; refunds of extra payments never shorten the order's own.</t>
        </is>
      </c>
    </row>
    <row r="16" ht="32.8" customHeight="1" s="75">
      <c r="A16" s="104" t="n">
        <v>12</v>
      </c>
      <c r="B16" s="105" t="inlineStr">
        <is>
          <t>POL-FE-06</t>
        </is>
      </c>
      <c r="C16" s="81" t="n">
        <v>1</v>
      </c>
      <c r="D16" s="82" t="inlineStr">
        <is>
          <t>A · Money, minors, consent</t>
        </is>
      </c>
      <c r="E16" s="138" t="inlineStr">
        <is>
          <t>FE</t>
        </is>
      </c>
      <c r="F16" s="120" t="inlineStr">
        <is>
          <t>Code</t>
        </is>
      </c>
      <c r="G16" s="80" t="inlineStr">
        <is>
          <t>Order page shows a duplicate payment</t>
        </is>
      </c>
      <c r="H16" s="107" t="inlineStr">
        <is>
          <t>Order page shows the duplicate and its refund status; BTG gets a Mark refunded button.</t>
        </is>
      </c>
      <c r="I16" s="108" t="inlineStr">
        <is>
          <t>Ready</t>
        </is>
      </c>
      <c r="J16" s="108" t="n">
        <v>0.5</v>
      </c>
      <c r="K16" s="109" t="n"/>
      <c r="L16" s="109" t="n"/>
      <c r="M16" s="110" t="inlineStr">
        <is>
          <t>HeckerCreatives</t>
        </is>
      </c>
      <c r="N16" s="81" t="n">
        <v>0</v>
      </c>
      <c r="O16" s="80" t="inlineStr">
        <is>
          <t>POL-BE-06</t>
        </is>
      </c>
      <c r="P16" s="80" t="inlineStr">
        <is>
          <t>Sponsor and BTG see the duplicate and refund status</t>
        </is>
      </c>
      <c r="Q16" s="82" t="inlineStr">
        <is>
          <t>polish.md #6</t>
        </is>
      </c>
      <c r="R16" s="111" t="inlineStr">
        <is>
          <t>Raised 2026-10-28 from the UX review.</t>
        </is>
      </c>
    </row>
    <row r="17" ht="32.8" customHeight="1" s="75">
      <c r="A17" s="104" t="n">
        <v>13</v>
      </c>
      <c r="B17" s="105" t="inlineStr">
        <is>
          <t>POL-BE-07</t>
        </is>
      </c>
      <c r="C17" s="81" t="n">
        <v>1</v>
      </c>
      <c r="D17" s="82" t="inlineStr">
        <is>
          <t>A · Money, minors, consent</t>
        </is>
      </c>
      <c r="E17" s="138" t="inlineStr">
        <is>
          <t>BE</t>
        </is>
      </c>
      <c r="F17" s="120" t="inlineStr">
        <is>
          <t>Code</t>
        </is>
      </c>
      <c r="G17" s="80" t="inlineStr">
        <is>
          <t>Staff redeem needs a venue code, with undo</t>
        </is>
      </c>
      <c r="H17" s="107" t="inlineStr">
        <is>
          <t>Redeem requires a staff PIN per reward or event; a redeem can be undone within a few minutes.</t>
        </is>
      </c>
      <c r="I17" s="108" t="inlineStr">
        <is>
          <t>Ready</t>
        </is>
      </c>
      <c r="J17" s="108" t="n">
        <v>2</v>
      </c>
      <c r="K17" s="109" t="n"/>
      <c r="L17" s="109" t="n"/>
      <c r="M17" s="110" t="inlineStr">
        <is>
          <t>rcfworks</t>
        </is>
      </c>
      <c r="N17" s="81" t="n">
        <v>1</v>
      </c>
      <c r="O17" s="80" t="n"/>
      <c r="P17" s="80" t="inlineStr">
        <is>
          <t>No redeem without the venue code; undo works in the window; tests</t>
        </is>
      </c>
      <c r="Q17" s="82" t="inlineStr">
        <is>
          <t>polish.md #7</t>
        </is>
      </c>
      <c r="R17" s="111" t="inlineStr">
        <is>
          <t>Raised 2026-10-28 from the UX review.</t>
        </is>
      </c>
    </row>
    <row r="18" ht="32.8" customHeight="1" s="75">
      <c r="A18" s="104" t="n">
        <v>14</v>
      </c>
      <c r="B18" s="105" t="inlineStr">
        <is>
          <t>POL-FE-07</t>
        </is>
      </c>
      <c r="C18" s="81" t="n">
        <v>1</v>
      </c>
      <c r="D18" s="82" t="inlineStr">
        <is>
          <t>A · Money, minors, consent</t>
        </is>
      </c>
      <c r="E18" s="138" t="inlineStr">
        <is>
          <t>FE</t>
        </is>
      </c>
      <c r="F18" s="120" t="inlineStr">
        <is>
          <t>Code</t>
        </is>
      </c>
      <c r="G18" s="80" t="inlineStr">
        <is>
          <t>Fan page asks for the staff code</t>
        </is>
      </c>
      <c r="H18" s="107" t="inlineStr">
        <is>
          <t>'Staff: redeem now' asks for the code and confirms; shows Undo for a few minutes.</t>
        </is>
      </c>
      <c r="I18" s="108" t="inlineStr">
        <is>
          <t>Ready</t>
        </is>
      </c>
      <c r="J18" s="108" t="n">
        <v>1</v>
      </c>
      <c r="K18" s="109" t="n"/>
      <c r="L18" s="109" t="n"/>
      <c r="M18" s="110" t="inlineStr">
        <is>
          <t>HeckerCreatives</t>
        </is>
      </c>
      <c r="N18" s="81" t="n">
        <v>0</v>
      </c>
      <c r="O18" s="80" t="inlineStr">
        <is>
          <t>POL-BE-07</t>
        </is>
      </c>
      <c r="P18" s="80" t="inlineStr">
        <is>
          <t>Redeem needs the code and a confirmation; undo shown</t>
        </is>
      </c>
      <c r="Q18" s="82" t="inlineStr">
        <is>
          <t>polish.md #7</t>
        </is>
      </c>
      <c r="R18" s="111" t="inlineStr">
        <is>
          <t>Raised 2026-10-28 from the UX review.</t>
        </is>
      </c>
    </row>
    <row r="19" ht="32.8" customHeight="1" s="75">
      <c r="A19" s="104" t="n">
        <v>15</v>
      </c>
      <c r="B19" s="105" t="inlineStr">
        <is>
          <t>POL-BE-08</t>
        </is>
      </c>
      <c r="C19" s="81" t="n">
        <v>1</v>
      </c>
      <c r="D19" s="82" t="inlineStr">
        <is>
          <t>A · Money, minors, consent</t>
        </is>
      </c>
      <c r="E19" s="138" t="inlineStr">
        <is>
          <t>BE</t>
        </is>
      </c>
      <c r="F19" s="120" t="inlineStr">
        <is>
          <t>Code</t>
        </is>
      </c>
      <c r="G19" s="80" t="inlineStr">
        <is>
          <t>Each fan gets their own claim on a shared code</t>
        </is>
      </c>
      <c r="H19" s="107" t="inlineStr">
        <is>
          <t>Claims are per fan, not per code, up to the reward's limit; later fans' emails are collected.</t>
        </is>
      </c>
      <c r="I19" s="108" t="inlineStr">
        <is>
          <t>Ready</t>
        </is>
      </c>
      <c r="J19" s="108" t="n">
        <v>2</v>
      </c>
      <c r="K19" s="109" t="n"/>
      <c r="L19" s="109" t="n"/>
      <c r="M19" s="110" t="inlineStr">
        <is>
          <t>rcfworks</t>
        </is>
      </c>
      <c r="N19" s="81" t="n">
        <v>1</v>
      </c>
      <c r="O19" s="80" t="n"/>
      <c r="P19" s="80" t="inlineStr">
        <is>
          <t>Two fans on one code each get their own claim; tests</t>
        </is>
      </c>
      <c r="Q19" s="82" t="inlineStr">
        <is>
          <t>polish.md #8</t>
        </is>
      </c>
      <c r="R19" s="111" t="inlineStr">
        <is>
          <t>Raised 2026-10-28 from the UX review.</t>
        </is>
      </c>
    </row>
    <row r="20" ht="32.8" customHeight="1" s="75">
      <c r="A20" s="104" t="n">
        <v>16</v>
      </c>
      <c r="B20" s="105" t="inlineStr">
        <is>
          <t>POL-FE-08</t>
        </is>
      </c>
      <c r="C20" s="81" t="n">
        <v>1</v>
      </c>
      <c r="D20" s="82" t="inlineStr">
        <is>
          <t>A · Money, minors, consent</t>
        </is>
      </c>
      <c r="E20" s="138" t="inlineStr">
        <is>
          <t>FE</t>
        </is>
      </c>
      <c r="F20" s="120" t="inlineStr">
        <is>
          <t>Code</t>
        </is>
      </c>
      <c r="G20" s="80" t="inlineStr">
        <is>
          <t>Fan page shows the fan's own claim</t>
        </is>
      </c>
      <c r="H20" s="107" t="inlineStr">
        <is>
          <t>The page shows this fan's claim, or 'all claimed', never another fan's hold.</t>
        </is>
      </c>
      <c r="I20" s="108" t="inlineStr">
        <is>
          <t>Ready</t>
        </is>
      </c>
      <c r="J20" s="108" t="n">
        <v>0.5</v>
      </c>
      <c r="K20" s="109" t="n"/>
      <c r="L20" s="109" t="n"/>
      <c r="M20" s="110" t="inlineStr">
        <is>
          <t>HeckerCreatives</t>
        </is>
      </c>
      <c r="N20" s="81" t="n">
        <v>0</v>
      </c>
      <c r="O20" s="80" t="inlineStr">
        <is>
          <t>POL-BE-08</t>
        </is>
      </c>
      <c r="P20" s="80" t="inlineStr">
        <is>
          <t>Each fan sees only their own claim</t>
        </is>
      </c>
      <c r="Q20" s="82" t="inlineStr">
        <is>
          <t>polish.md #8</t>
        </is>
      </c>
      <c r="R20" s="111" t="inlineStr">
        <is>
          <t>Raised 2026-10-28 from the UX review.</t>
        </is>
      </c>
    </row>
    <row r="21" ht="32.8" customHeight="1" s="75">
      <c r="A21" s="104" t="n">
        <v>17</v>
      </c>
      <c r="B21" s="105" t="inlineStr">
        <is>
          <t>POL-BE-09</t>
        </is>
      </c>
      <c r="C21" s="81" t="n">
        <v>2</v>
      </c>
      <c r="D21" s="82" t="inlineStr">
        <is>
          <t>B · Waiting or stuck</t>
        </is>
      </c>
      <c r="E21" s="138" t="inlineStr">
        <is>
          <t>BE</t>
        </is>
      </c>
      <c r="F21" s="120" t="inlineStr">
        <is>
          <t>Code</t>
        </is>
      </c>
      <c r="G21" s="80" t="inlineStr">
        <is>
          <t>A minor's invitation emails go to the guardian</t>
        </is>
      </c>
      <c r="H21" s="107" t="inlineStr">
        <is>
          <t>Invitation, reminder and expiry emails for a minor go to the guardian (copy to the minor); today they go only to the minor (notify-invitation.mts).</t>
        </is>
      </c>
      <c r="I21" s="108" t="inlineStr">
        <is>
          <t>Ready</t>
        </is>
      </c>
      <c r="J21" s="108" t="n">
        <v>1</v>
      </c>
      <c r="K21" s="109" t="n"/>
      <c r="L21" s="109" t="n"/>
      <c r="M21" s="110" t="inlineStr">
        <is>
          <t>rcfworks</t>
        </is>
      </c>
      <c r="N21" s="81" t="n">
        <v>0</v>
      </c>
      <c r="O21" s="80" t="n"/>
      <c r="P21" s="80" t="inlineStr">
        <is>
          <t>Guardian gets every email for a minor's invitation; tests</t>
        </is>
      </c>
      <c r="Q21" s="82" t="inlineStr">
        <is>
          <t>polish.md #9</t>
        </is>
      </c>
      <c r="R21" s="111" t="inlineStr">
        <is>
          <t>Raised 2026-10-28 from the UX review.</t>
        </is>
      </c>
    </row>
    <row r="22" ht="32.8" customHeight="1" s="75">
      <c r="A22" s="104" t="n">
        <v>18</v>
      </c>
      <c r="B22" s="105" t="inlineStr">
        <is>
          <t>POL-BE-10</t>
        </is>
      </c>
      <c r="C22" s="81" t="n">
        <v>2</v>
      </c>
      <c r="D22" s="82" t="inlineStr">
        <is>
          <t>B · Waiting or stuck</t>
        </is>
      </c>
      <c r="E22" s="138" t="inlineStr">
        <is>
          <t>BE</t>
        </is>
      </c>
      <c r="F22" s="120" t="inlineStr">
        <is>
          <t>Code</t>
        </is>
      </c>
      <c r="G22" s="80" t="inlineStr">
        <is>
          <t>Guardian handoff reminders and escalation</t>
        </is>
      </c>
      <c r="H22" s="107" t="inlineStr">
        <is>
          <t>Remind the current guardian after 3 days; escalate to BTG after 7, who can decide with the documents.</t>
        </is>
      </c>
      <c r="I22" s="108" t="inlineStr">
        <is>
          <t>Ready</t>
        </is>
      </c>
      <c r="J22" s="108" t="n">
        <v>2</v>
      </c>
      <c r="K22" s="109" t="n"/>
      <c r="L22" s="109" t="n"/>
      <c r="M22" s="110" t="inlineStr">
        <is>
          <t>rcfworks</t>
        </is>
      </c>
      <c r="N22" s="81" t="n">
        <v>1</v>
      </c>
      <c r="O22" s="80" t="n"/>
      <c r="P22" s="80" t="inlineStr">
        <is>
          <t>Reminders and escalation on schedule; BTG decides an escalated handoff; tests</t>
        </is>
      </c>
      <c r="Q22" s="82" t="inlineStr">
        <is>
          <t>polish.md #10</t>
        </is>
      </c>
      <c r="R22" s="111" t="inlineStr">
        <is>
          <t>Raised 2026-10-28 from the UX review.</t>
        </is>
      </c>
    </row>
    <row r="23" ht="32.8" customHeight="1" s="75">
      <c r="A23" s="104" t="n">
        <v>19</v>
      </c>
      <c r="B23" s="105" t="inlineStr">
        <is>
          <t>POL-FE-10</t>
        </is>
      </c>
      <c r="C23" s="81" t="n">
        <v>2</v>
      </c>
      <c r="D23" s="82" t="inlineStr">
        <is>
          <t>B · Waiting or stuck</t>
        </is>
      </c>
      <c r="E23" s="138" t="inlineStr">
        <is>
          <t>FE</t>
        </is>
      </c>
      <c r="F23" s="120" t="inlineStr">
        <is>
          <t>Code</t>
        </is>
      </c>
      <c r="G23" s="80" t="inlineStr">
        <is>
          <t>Handoff desk shows age and BTG decide</t>
        </is>
      </c>
      <c r="H23" s="107" t="inlineStr">
        <is>
          <t>Handoff desk shows how long each has waited and a Decide button on escalated ones.</t>
        </is>
      </c>
      <c r="I23" s="108" t="inlineStr">
        <is>
          <t>Ready</t>
        </is>
      </c>
      <c r="J23" s="108" t="n">
        <v>0.5</v>
      </c>
      <c r="K23" s="109" t="n"/>
      <c r="L23" s="109" t="n"/>
      <c r="M23" s="110" t="inlineStr">
        <is>
          <t>HeckerCreatives</t>
        </is>
      </c>
      <c r="N23" s="81" t="n">
        <v>0</v>
      </c>
      <c r="O23" s="80" t="inlineStr">
        <is>
          <t>POL-BE-10</t>
        </is>
      </c>
      <c r="P23" s="80" t="inlineStr">
        <is>
          <t>BTG sees age and can decide escalated handoffs</t>
        </is>
      </c>
      <c r="Q23" s="82" t="inlineStr">
        <is>
          <t>polish.md #10</t>
        </is>
      </c>
      <c r="R23" s="111" t="inlineStr">
        <is>
          <t>Raised 2026-10-28 from the UX review.</t>
        </is>
      </c>
    </row>
    <row r="24" ht="32.8" customHeight="1" s="75">
      <c r="A24" s="104" t="n">
        <v>20</v>
      </c>
      <c r="B24" s="105" t="inlineStr">
        <is>
          <t>POL-BE-11</t>
        </is>
      </c>
      <c r="C24" s="81" t="n">
        <v>2</v>
      </c>
      <c r="D24" s="82" t="inlineStr">
        <is>
          <t>B · Waiting or stuck</t>
        </is>
      </c>
      <c r="E24" s="138" t="inlineStr">
        <is>
          <t>BE</t>
        </is>
      </c>
      <c r="F24" s="120" t="inlineStr">
        <is>
          <t>Code</t>
        </is>
      </c>
      <c r="G24" s="80" t="inlineStr">
        <is>
          <t>Account closure settles live deals first</t>
        </is>
      </c>
      <c r="H24" s="107" t="inlineStr">
        <is>
          <t>With live deals, closing is held for BTG, which settles each deal and tells the sponsor. A minor's closure needs the guardian. Earned money pays to the account on file without a login.</t>
        </is>
      </c>
      <c r="I24" s="108" t="inlineStr">
        <is>
          <t>Ready</t>
        </is>
      </c>
      <c r="J24" s="108" t="n">
        <v>2</v>
      </c>
      <c r="K24" s="109" t="n"/>
      <c r="L24" s="109" t="n"/>
      <c r="M24" s="110" t="inlineStr">
        <is>
          <t>rcfworks</t>
        </is>
      </c>
      <c r="N24" s="81" t="n">
        <v>1</v>
      </c>
      <c r="O24" s="80" t="n"/>
      <c r="P24" s="80" t="inlineStr">
        <is>
          <t>No closure leaves a live deal unsettled or unannounced; a minor can't close alone; earned money still pays; tests</t>
        </is>
      </c>
      <c r="Q24" s="82" t="inlineStr">
        <is>
          <t>polish.md #11</t>
        </is>
      </c>
      <c r="R24" s="111" t="inlineStr">
        <is>
          <t>Raised 2026-10-28 from the UX review.</t>
        </is>
      </c>
    </row>
    <row r="25" ht="32.8" customHeight="1" s="75">
      <c r="A25" s="104" t="n">
        <v>21</v>
      </c>
      <c r="B25" s="105" t="inlineStr">
        <is>
          <t>POL-FE-11</t>
        </is>
      </c>
      <c r="C25" s="81" t="n">
        <v>2</v>
      </c>
      <c r="D25" s="82" t="inlineStr">
        <is>
          <t>B · Waiting or stuck</t>
        </is>
      </c>
      <c r="E25" s="138" t="inlineStr">
        <is>
          <t>FE</t>
        </is>
      </c>
      <c r="F25" s="120" t="inlineStr">
        <is>
          <t>Code</t>
        </is>
      </c>
      <c r="G25" s="80" t="inlineStr">
        <is>
          <t>Closing screen lists live deals</t>
        </is>
      </c>
      <c r="H25" s="107" t="inlineStr">
        <is>
          <t>Before confirming, list the live deals and what happens to each; fix the payout promise wording.</t>
        </is>
      </c>
      <c r="I25" s="108" t="inlineStr">
        <is>
          <t>Ready</t>
        </is>
      </c>
      <c r="J25" s="108" t="n">
        <v>0.5</v>
      </c>
      <c r="K25" s="109" t="n"/>
      <c r="L25" s="109" t="n"/>
      <c r="M25" s="110" t="inlineStr">
        <is>
          <t>HeckerCreatives</t>
        </is>
      </c>
      <c r="N25" s="81" t="n">
        <v>0</v>
      </c>
      <c r="O25" s="80" t="inlineStr">
        <is>
          <t>POL-BE-11</t>
        </is>
      </c>
      <c r="P25" s="80" t="inlineStr">
        <is>
          <t>Closing screen shows live deals and accurate payout wording</t>
        </is>
      </c>
      <c r="Q25" s="82" t="inlineStr">
        <is>
          <t>polish.md #11</t>
        </is>
      </c>
      <c r="R25" s="111" t="inlineStr">
        <is>
          <t>Raised 2026-10-28 from the UX review.</t>
        </is>
      </c>
    </row>
    <row r="26" ht="32.8" customHeight="1" s="75">
      <c r="A26" s="104" t="n">
        <v>22</v>
      </c>
      <c r="B26" s="105" t="inlineStr">
        <is>
          <t>POL-BE-12</t>
        </is>
      </c>
      <c r="C26" s="81" t="n">
        <v>2</v>
      </c>
      <c r="D26" s="82" t="inlineStr">
        <is>
          <t>B · Waiting or stuck</t>
        </is>
      </c>
      <c r="E26" s="138" t="inlineStr">
        <is>
          <t>BE</t>
        </is>
      </c>
      <c r="F26" s="120" t="inlineStr">
        <is>
          <t>Code</t>
        </is>
      </c>
      <c r="G26" s="80" t="inlineStr">
        <is>
          <t>Held payouts email BTG and are counted</t>
        </is>
      </c>
      <c r="H26" s="107" t="inlineStr">
        <is>
          <t>A held payout emails BTG Finance with the reason and is included in the dashboard counts.</t>
        </is>
      </c>
      <c r="I26" s="108" t="inlineStr">
        <is>
          <t>Ready</t>
        </is>
      </c>
      <c r="J26" s="108" t="n">
        <v>1</v>
      </c>
      <c r="K26" s="109" t="n"/>
      <c r="L26" s="109" t="n"/>
      <c r="M26" s="110" t="inlineStr">
        <is>
          <t>rcfworks</t>
        </is>
      </c>
      <c r="N26" s="81" t="n">
        <v>1</v>
      </c>
      <c r="O26" s="80" t="n"/>
      <c r="P26" s="80" t="inlineStr">
        <is>
          <t>Every held payout emails and is counted; tests</t>
        </is>
      </c>
      <c r="Q26" s="82" t="inlineStr">
        <is>
          <t>polish.md #12</t>
        </is>
      </c>
      <c r="R26" s="111" t="inlineStr">
        <is>
          <t>Raised 2026-10-28 from the UX review.</t>
        </is>
      </c>
    </row>
    <row r="27" ht="23.85" customHeight="1" s="75">
      <c r="A27" s="104" t="n">
        <v>23</v>
      </c>
      <c r="B27" s="105" t="inlineStr">
        <is>
          <t>POL-FE-12</t>
        </is>
      </c>
      <c r="C27" s="81" t="n">
        <v>2</v>
      </c>
      <c r="D27" s="82" t="inlineStr">
        <is>
          <t>B · Waiting or stuck</t>
        </is>
      </c>
      <c r="E27" s="138" t="inlineStr">
        <is>
          <t>FE</t>
        </is>
      </c>
      <c r="F27" s="120" t="inlineStr">
        <is>
          <t>Code</t>
        </is>
      </c>
      <c r="G27" s="80" t="inlineStr">
        <is>
          <t>Held payouts on the BTG dashboard</t>
        </is>
      </c>
      <c r="H27" s="107" t="inlineStr">
        <is>
          <t>Dashboard tile for held payouts, linked to the queue.</t>
        </is>
      </c>
      <c r="I27" s="108" t="inlineStr">
        <is>
          <t>Ready</t>
        </is>
      </c>
      <c r="J27" s="108" t="n">
        <v>0.5</v>
      </c>
      <c r="K27" s="109" t="n"/>
      <c r="L27" s="109" t="n"/>
      <c r="M27" s="110" t="inlineStr">
        <is>
          <t>HeckerCreatives</t>
        </is>
      </c>
      <c r="N27" s="81" t="n">
        <v>0</v>
      </c>
      <c r="O27" s="80" t="inlineStr">
        <is>
          <t>POL-BE-12</t>
        </is>
      </c>
      <c r="P27" s="80" t="inlineStr">
        <is>
          <t>Tile shows the count and opens the queue</t>
        </is>
      </c>
      <c r="Q27" s="82" t="inlineStr">
        <is>
          <t>polish.md #12</t>
        </is>
      </c>
      <c r="R27" s="111" t="inlineStr">
        <is>
          <t>Raised 2026-10-28 from the UX review.</t>
        </is>
      </c>
    </row>
    <row r="28" ht="23.85" customHeight="1" s="75">
      <c r="A28" s="104" t="n">
        <v>24</v>
      </c>
      <c r="B28" s="105" t="inlineStr">
        <is>
          <t>POL-FE-13</t>
        </is>
      </c>
      <c r="C28" s="81" t="n">
        <v>2</v>
      </c>
      <c r="D28" s="82" t="inlineStr">
        <is>
          <t>B · Waiting or stuck</t>
        </is>
      </c>
      <c r="E28" s="138" t="inlineStr">
        <is>
          <t>FE</t>
        </is>
      </c>
      <c r="F28" s="120" t="inlineStr">
        <is>
          <t>Code</t>
        </is>
      </c>
      <c r="G28" s="80" t="inlineStr">
        <is>
          <t>Sponsor invoices screen</t>
        </is>
      </c>
      <c r="H28" s="107" t="inlineStr">
        <is>
          <t>'Invoices to pay' and Billing open an invoices screen (GET /campaigns/{id}/invoices already exists) listing each invoice, status and a pay link.</t>
        </is>
      </c>
      <c r="I28" s="108" t="inlineStr">
        <is>
          <t>Ready</t>
        </is>
      </c>
      <c r="J28" s="108" t="n">
        <v>1.5</v>
      </c>
      <c r="K28" s="109" t="n"/>
      <c r="L28" s="109" t="n"/>
      <c r="M28" s="110" t="inlineStr">
        <is>
          <t>HeckerCreatives</t>
        </is>
      </c>
      <c r="N28" s="81" t="n">
        <v>0</v>
      </c>
      <c r="O28" s="80" t="n"/>
      <c r="P28" s="80" t="inlineStr">
        <is>
          <t>Sponsor can open, see and pay every invoice</t>
        </is>
      </c>
      <c r="Q28" s="82" t="inlineStr">
        <is>
          <t>polish.md #13</t>
        </is>
      </c>
      <c r="R28" s="111" t="inlineStr">
        <is>
          <t>Raised 2026-10-28 from the UX review.</t>
        </is>
      </c>
    </row>
    <row r="29" ht="23.85" customHeight="1" s="75">
      <c r="A29" s="104" t="n">
        <v>25</v>
      </c>
      <c r="B29" s="105" t="inlineStr">
        <is>
          <t>POL-BE-14</t>
        </is>
      </c>
      <c r="C29" s="81" t="n">
        <v>2</v>
      </c>
      <c r="D29" s="82" t="inlineStr">
        <is>
          <t>B · Waiting or stuck</t>
        </is>
      </c>
      <c r="E29" s="138" t="inlineStr">
        <is>
          <t>BE</t>
        </is>
      </c>
      <c r="F29" s="120" t="inlineStr">
        <is>
          <t>Code</t>
        </is>
      </c>
      <c r="G29" s="80" t="inlineStr">
        <is>
          <t>Held make-goods email BTG and are counted</t>
        </is>
      </c>
      <c r="H29" s="107" t="inlineStr">
        <is>
          <t>A held make-good emails BTG and is included in the dashboard counts (POL-BE-15).</t>
        </is>
      </c>
      <c r="I29" s="108" t="inlineStr">
        <is>
          <t>Ready</t>
        </is>
      </c>
      <c r="J29" s="108" t="n">
        <v>0.5</v>
      </c>
      <c r="K29" s="109" t="n"/>
      <c r="L29" s="109" t="n"/>
      <c r="M29" s="110" t="inlineStr">
        <is>
          <t>rcfworks</t>
        </is>
      </c>
      <c r="N29" s="81" t="n">
        <v>0</v>
      </c>
      <c r="O29" s="80" t="n"/>
      <c r="P29" s="80" t="inlineStr">
        <is>
          <t>Every held make-good emails and is counted; tests</t>
        </is>
      </c>
      <c r="Q29" s="82" t="inlineStr">
        <is>
          <t>polish.md #14</t>
        </is>
      </c>
      <c r="R29" s="111" t="inlineStr">
        <is>
          <t>Raised 2026-10-28 from the UX review.</t>
        </is>
      </c>
    </row>
    <row r="30" ht="23.85" customHeight="1" s="75">
      <c r="A30" s="104" t="n">
        <v>26</v>
      </c>
      <c r="B30" s="105" t="inlineStr">
        <is>
          <t>POL-BE-15</t>
        </is>
      </c>
      <c r="C30" s="81" t="n">
        <v>2</v>
      </c>
      <c r="D30" s="82" t="inlineStr">
        <is>
          <t>B · Waiting or stuck</t>
        </is>
      </c>
      <c r="E30" s="138" t="inlineStr">
        <is>
          <t>BE</t>
        </is>
      </c>
      <c r="F30" s="120" t="inlineStr">
        <is>
          <t>Code</t>
        </is>
      </c>
      <c r="G30" s="80" t="inlineStr">
        <is>
          <t>One counts endpoint for every BTG queue</t>
        </is>
      </c>
      <c r="H30" s="107" t="inlineStr">
        <is>
          <t>Counts for sign-ups, organisations, sponsor requests, handoffs, held listings and orders, delivery issues, payouts and make-goods, plus the existing four, with the oldest item's age.</t>
        </is>
      </c>
      <c r="I30" s="108" t="inlineStr">
        <is>
          <t>Ready</t>
        </is>
      </c>
      <c r="J30" s="108" t="n">
        <v>1.5</v>
      </c>
      <c r="K30" s="109" t="n"/>
      <c r="L30" s="109" t="n"/>
      <c r="M30" s="110" t="inlineStr">
        <is>
          <t>rcfworks</t>
        </is>
      </c>
      <c r="N30" s="81" t="n">
        <v>1</v>
      </c>
      <c r="O30" s="80" t="n"/>
      <c r="P30" s="80" t="inlineStr">
        <is>
          <t>Every queue that waits on BTG has a count; roles and tenants enforced; tests</t>
        </is>
      </c>
      <c r="Q30" s="82" t="inlineStr">
        <is>
          <t>polish.md #15</t>
        </is>
      </c>
      <c r="R30" s="111" t="inlineStr">
        <is>
          <t>Raised 2026-10-28 from the UX review.</t>
        </is>
      </c>
    </row>
    <row r="31" ht="23.85" customHeight="1" s="75">
      <c r="A31" s="104" t="n">
        <v>27</v>
      </c>
      <c r="B31" s="105" t="inlineStr">
        <is>
          <t>POL-FE-15</t>
        </is>
      </c>
      <c r="C31" s="81" t="n">
        <v>2</v>
      </c>
      <c r="D31" s="82" t="inlineStr">
        <is>
          <t>B · Waiting or stuck</t>
        </is>
      </c>
      <c r="E31" s="138" t="inlineStr">
        <is>
          <t>FE</t>
        </is>
      </c>
      <c r="F31" s="120" t="inlineStr">
        <is>
          <t>Code</t>
        </is>
      </c>
      <c r="G31" s="80" t="inlineStr">
        <is>
          <t>BTG dashboard shows every queue</t>
        </is>
      </c>
      <c r="H31" s="107" t="inlineStr">
        <is>
          <t>One tile per queue with its count and oldest age, linked to the queue.</t>
        </is>
      </c>
      <c r="I31" s="108" t="inlineStr">
        <is>
          <t>Ready</t>
        </is>
      </c>
      <c r="J31" s="108" t="n">
        <v>1</v>
      </c>
      <c r="K31" s="109" t="n"/>
      <c r="L31" s="109" t="n"/>
      <c r="M31" s="110" t="inlineStr">
        <is>
          <t>HeckerCreatives</t>
        </is>
      </c>
      <c r="N31" s="81" t="n">
        <v>0</v>
      </c>
      <c r="O31" s="80" t="inlineStr">
        <is>
          <t>POL-BE-15</t>
        </is>
      </c>
      <c r="P31" s="80" t="inlineStr">
        <is>
          <t>Every BTG queue has a tile linked to it</t>
        </is>
      </c>
      <c r="Q31" s="82" t="inlineStr">
        <is>
          <t>polish.md #15</t>
        </is>
      </c>
      <c r="R31" s="111" t="inlineStr">
        <is>
          <t>Raised 2026-10-28 from the UX review.</t>
        </is>
      </c>
    </row>
    <row r="32" ht="22.35" customHeight="1" s="75">
      <c r="A32" s="104" t="n">
        <v>28</v>
      </c>
      <c r="B32" s="105" t="inlineStr">
        <is>
          <t>POL-FE-16</t>
        </is>
      </c>
      <c r="C32" s="81" t="n">
        <v>3</v>
      </c>
      <c r="D32" s="82" t="inlineStr">
        <is>
          <t>C · Confusing or extra work</t>
        </is>
      </c>
      <c r="E32" s="138" t="inlineStr">
        <is>
          <t>FE</t>
        </is>
      </c>
      <c r="F32" s="120" t="inlineStr">
        <is>
          <t>Code</t>
        </is>
      </c>
      <c r="G32" s="80" t="inlineStr">
        <is>
          <t>Change guardian email at /join</t>
        </is>
      </c>
      <c r="H32" s="107" t="inlineStr">
        <is>
          <t>Add 'Change guardian email' on the /join status page (the API already allows it).</t>
        </is>
      </c>
      <c r="I32" s="108" t="inlineStr">
        <is>
          <t>Ready</t>
        </is>
      </c>
      <c r="J32" s="108" t="n">
        <v>0.5</v>
      </c>
      <c r="K32" s="109" t="n"/>
      <c r="L32" s="109" t="n"/>
      <c r="M32" s="110" t="inlineStr">
        <is>
          <t>HeckerCreatives</t>
        </is>
      </c>
      <c r="N32" s="81" t="n">
        <v>0</v>
      </c>
      <c r="O32" s="80" t="n"/>
      <c r="P32" s="80" t="inlineStr">
        <is>
          <t>A mistyped guardian email can be fixed and the invite resent</t>
        </is>
      </c>
      <c r="Q32" s="82" t="inlineStr">
        <is>
          <t>polish.md #16</t>
        </is>
      </c>
      <c r="R32" s="111" t="inlineStr">
        <is>
          <t>Raised 2026-10-28 from the UX review.</t>
        </is>
      </c>
    </row>
    <row r="33" ht="23.85" customHeight="1" s="75">
      <c r="A33" s="104" t="n">
        <v>29</v>
      </c>
      <c r="B33" s="105" t="inlineStr">
        <is>
          <t>POL-BE-17</t>
        </is>
      </c>
      <c r="C33" s="81" t="n">
        <v>3</v>
      </c>
      <c r="D33" s="82" t="inlineStr">
        <is>
          <t>C · Confusing or extra work</t>
        </is>
      </c>
      <c r="E33" s="138" t="inlineStr">
        <is>
          <t>BE</t>
        </is>
      </c>
      <c r="F33" s="120" t="inlineStr">
        <is>
          <t>Code</t>
        </is>
      </c>
      <c r="G33" s="80" t="inlineStr">
        <is>
          <t>Withdraw a sponsor request</t>
        </is>
      </c>
      <c r="H33" s="107" t="inlineStr">
        <is>
          <t>Add withdraw for a sent request if missing; confirm PATCH /briefs covers edit while editable.</t>
        </is>
      </c>
      <c r="I33" s="108" t="inlineStr">
        <is>
          <t>Ready</t>
        </is>
      </c>
      <c r="J33" s="108" t="n">
        <v>0.5</v>
      </c>
      <c r="K33" s="109" t="n"/>
      <c r="L33" s="109" t="n"/>
      <c r="M33" s="110" t="inlineStr">
        <is>
          <t>rcfworks</t>
        </is>
      </c>
      <c r="N33" s="81" t="n">
        <v>1</v>
      </c>
      <c r="O33" s="80" t="n"/>
      <c r="P33" s="80" t="inlineStr">
        <is>
          <t>Sponsor can withdraw; edit allowed only while editable; tests</t>
        </is>
      </c>
      <c r="Q33" s="82" t="inlineStr">
        <is>
          <t>polish.md #17</t>
        </is>
      </c>
      <c r="R33" s="111" t="inlineStr">
        <is>
          <t>Raised 2026-10-28 from the UX review.</t>
        </is>
      </c>
    </row>
    <row r="34" ht="23.85" customHeight="1" s="75">
      <c r="A34" s="104" t="n">
        <v>30</v>
      </c>
      <c r="B34" s="105" t="inlineStr">
        <is>
          <t>POL-FE-17</t>
        </is>
      </c>
      <c r="C34" s="81" t="n">
        <v>3</v>
      </c>
      <c r="D34" s="82" t="inlineStr">
        <is>
          <t>C · Confusing or extra work</t>
        </is>
      </c>
      <c r="E34" s="138" t="inlineStr">
        <is>
          <t>FE</t>
        </is>
      </c>
      <c r="F34" s="120" t="inlineStr">
        <is>
          <t>Code</t>
        </is>
      </c>
      <c r="G34" s="80" t="inlineStr">
        <is>
          <t>Sponsor request detail with Edit and Withdraw</t>
        </is>
      </c>
      <c r="H34" s="107" t="inlineStr">
        <is>
          <t>The request opens to a detail page with Edit (while editable) and Withdraw.</t>
        </is>
      </c>
      <c r="I34" s="108" t="inlineStr">
        <is>
          <t>Ready</t>
        </is>
      </c>
      <c r="J34" s="108" t="n">
        <v>1</v>
      </c>
      <c r="K34" s="109" t="n"/>
      <c r="L34" s="109" t="n"/>
      <c r="M34" s="110" t="inlineStr">
        <is>
          <t>HeckerCreatives</t>
        </is>
      </c>
      <c r="N34" s="81" t="n">
        <v>0</v>
      </c>
      <c r="O34" s="80" t="inlineStr">
        <is>
          <t>POL-BE-17</t>
        </is>
      </c>
      <c r="P34" s="80" t="inlineStr">
        <is>
          <t>Sponsor can open, edit and withdraw a request</t>
        </is>
      </c>
      <c r="Q34" s="82" t="inlineStr">
        <is>
          <t>polish.md #17</t>
        </is>
      </c>
      <c r="R34" s="111" t="inlineStr">
        <is>
          <t>Raised 2026-10-28 from the UX review.</t>
        </is>
      </c>
    </row>
    <row r="35" ht="23.85" customHeight="1" s="75">
      <c r="A35" s="104" t="n">
        <v>31</v>
      </c>
      <c r="B35" s="105" t="inlineStr">
        <is>
          <t>POL-BE-18</t>
        </is>
      </c>
      <c r="C35" s="81" t="n">
        <v>3</v>
      </c>
      <c r="D35" s="82" t="inlineStr">
        <is>
          <t>C · Confusing or extra work</t>
        </is>
      </c>
      <c r="E35" s="138" t="inlineStr">
        <is>
          <t>BE</t>
        </is>
      </c>
      <c r="F35" s="120" t="inlineStr">
        <is>
          <t>Code</t>
        </is>
      </c>
      <c r="G35" s="80" t="inlineStr">
        <is>
          <t>Resend and change the request confirmation email</t>
        </is>
      </c>
      <c r="H35" s="107" t="inlineStr">
        <is>
          <t>Endpoints to resend the confirmation email and change the address, rate limited (if missing).</t>
        </is>
      </c>
      <c r="I35" s="108" t="inlineStr">
        <is>
          <t>Ready</t>
        </is>
      </c>
      <c r="J35" s="108" t="n">
        <v>0.5</v>
      </c>
      <c r="K35" s="109" t="n"/>
      <c r="L35" s="109" t="n"/>
      <c r="M35" s="110" t="inlineStr">
        <is>
          <t>rcfworks</t>
        </is>
      </c>
      <c r="N35" s="81" t="n">
        <v>1</v>
      </c>
      <c r="O35" s="80" t="n"/>
      <c r="P35" s="80" t="inlineStr">
        <is>
          <t>Resend and change work, rate limited; tests</t>
        </is>
      </c>
      <c r="Q35" s="82" t="inlineStr">
        <is>
          <t>polish.md #18</t>
        </is>
      </c>
      <c r="R35" s="111" t="inlineStr">
        <is>
          <t>Raised 2026-10-28 from the UX review.</t>
        </is>
      </c>
    </row>
    <row r="36" ht="23.85" customHeight="1" s="75">
      <c r="A36" s="104" t="n">
        <v>32</v>
      </c>
      <c r="B36" s="105" t="inlineStr">
        <is>
          <t>POL-FE-18</t>
        </is>
      </c>
      <c r="C36" s="81" t="n">
        <v>3</v>
      </c>
      <c r="D36" s="82" t="inlineStr">
        <is>
          <t>C · Confusing or extra work</t>
        </is>
      </c>
      <c r="E36" s="138" t="inlineStr">
        <is>
          <t>FE</t>
        </is>
      </c>
      <c r="F36" s="120" t="inlineStr">
        <is>
          <t>Code</t>
        </is>
      </c>
      <c r="G36" s="80" t="inlineStr">
        <is>
          <t>Resend email and Change email on the request status</t>
        </is>
      </c>
      <c r="H36" s="107" t="inlineStr">
        <is>
          <t>Buttons on the sponsor request status page.</t>
        </is>
      </c>
      <c r="I36" s="108" t="inlineStr">
        <is>
          <t>Ready</t>
        </is>
      </c>
      <c r="J36" s="108" t="n">
        <v>0.5</v>
      </c>
      <c r="K36" s="109" t="n"/>
      <c r="L36" s="109" t="n"/>
      <c r="M36" s="110" t="inlineStr">
        <is>
          <t>HeckerCreatives</t>
        </is>
      </c>
      <c r="N36" s="81" t="n">
        <v>0</v>
      </c>
      <c r="O36" s="80" t="inlineStr">
        <is>
          <t>POL-BE-18</t>
        </is>
      </c>
      <c r="P36" s="80" t="inlineStr">
        <is>
          <t>Sponsor can resend or fix the address</t>
        </is>
      </c>
      <c r="Q36" s="82" t="inlineStr">
        <is>
          <t>polish.md #18</t>
        </is>
      </c>
      <c r="R36" s="111" t="inlineStr">
        <is>
          <t>Raised 2026-10-28 from the UX review.</t>
        </is>
      </c>
    </row>
    <row r="37" ht="23.85" customHeight="1" s="75">
      <c r="A37" s="104" t="n">
        <v>33</v>
      </c>
      <c r="B37" s="105" t="inlineStr">
        <is>
          <t>POL-BE-19</t>
        </is>
      </c>
      <c r="C37" s="81" t="n">
        <v>3</v>
      </c>
      <c r="D37" s="82" t="inlineStr">
        <is>
          <t>C · Confusing or extra work</t>
        </is>
      </c>
      <c r="E37" s="138" t="inlineStr">
        <is>
          <t>BE</t>
        </is>
      </c>
      <c r="F37" s="120" t="inlineStr">
        <is>
          <t>Code</t>
        </is>
      </c>
      <c r="G37" s="80" t="inlineStr">
        <is>
          <t>Sponsor admin invites teammates</t>
        </is>
      </c>
      <c r="H37" s="107" t="inlineStr">
        <is>
          <t>Invite by email and set roles within the sponsor's own organisation (if the API lacks it).</t>
        </is>
      </c>
      <c r="I37" s="108" t="inlineStr">
        <is>
          <t>Ready</t>
        </is>
      </c>
      <c r="J37" s="108" t="n">
        <v>1.5</v>
      </c>
      <c r="K37" s="109" t="n"/>
      <c r="L37" s="109" t="n"/>
      <c r="M37" s="110" t="inlineStr">
        <is>
          <t>rcfworks</t>
        </is>
      </c>
      <c r="N37" s="81" t="n">
        <v>1</v>
      </c>
      <c r="O37" s="80" t="n"/>
      <c r="P37" s="80" t="inlineStr">
        <is>
          <t>Invite and role change work; own tenant only; tests</t>
        </is>
      </c>
      <c r="Q37" s="82" t="inlineStr">
        <is>
          <t>polish.md #19</t>
        </is>
      </c>
      <c r="R37" s="111" t="inlineStr">
        <is>
          <t>Raised 2026-10-28 from the UX review.</t>
        </is>
      </c>
    </row>
    <row r="38" ht="23.85" customHeight="1" s="75">
      <c r="A38" s="104" t="n">
        <v>34</v>
      </c>
      <c r="B38" s="105" t="inlineStr">
        <is>
          <t>POL-FE-19</t>
        </is>
      </c>
      <c r="C38" s="81" t="n">
        <v>3</v>
      </c>
      <c r="D38" s="82" t="inlineStr">
        <is>
          <t>C · Confusing or extra work</t>
        </is>
      </c>
      <c r="E38" s="138" t="inlineStr">
        <is>
          <t>FE</t>
        </is>
      </c>
      <c r="F38" s="120" t="inlineStr">
        <is>
          <t>Code</t>
        </is>
      </c>
      <c r="G38" s="80" t="inlineStr">
        <is>
          <t>Sponsor team screen; hide dead menu items</t>
        </is>
      </c>
      <c r="H38" s="107" t="inlineStr">
        <is>
          <t>Team screen to invite and set roles; hide Settings and Messages until they work.</t>
        </is>
      </c>
      <c r="I38" s="108" t="inlineStr">
        <is>
          <t>Ready</t>
        </is>
      </c>
      <c r="J38" s="108" t="n">
        <v>1</v>
      </c>
      <c r="K38" s="109" t="n"/>
      <c r="L38" s="109" t="n"/>
      <c r="M38" s="110" t="inlineStr">
        <is>
          <t>HeckerCreatives</t>
        </is>
      </c>
      <c r="N38" s="81" t="n">
        <v>0</v>
      </c>
      <c r="O38" s="80" t="inlineStr">
        <is>
          <t>POL-BE-19</t>
        </is>
      </c>
      <c r="P38" s="80" t="inlineStr">
        <is>
          <t>Sponsor admin can invite teammates; no dead menu items</t>
        </is>
      </c>
      <c r="Q38" s="82" t="inlineStr">
        <is>
          <t>polish.md #19</t>
        </is>
      </c>
      <c r="R38" s="111" t="inlineStr">
        <is>
          <t>Raised 2026-10-28 from the UX review.</t>
        </is>
      </c>
    </row>
    <row r="39" ht="23.85" customHeight="1" s="75">
      <c r="A39" s="104" t="n">
        <v>35</v>
      </c>
      <c r="B39" s="105" t="inlineStr">
        <is>
          <t>POL-FE-20</t>
        </is>
      </c>
      <c r="C39" s="81" t="n">
        <v>3</v>
      </c>
      <c r="D39" s="82" t="inlineStr">
        <is>
          <t>C · Confusing or extra work</t>
        </is>
      </c>
      <c r="E39" s="138" t="inlineStr">
        <is>
          <t>FE</t>
        </is>
      </c>
      <c r="F39" s="120" t="inlineStr">
        <is>
          <t>Code</t>
        </is>
      </c>
      <c r="G39" s="80" t="inlineStr">
        <is>
          <t>'Needs your OK' only when there is an action</t>
        </is>
      </c>
      <c r="H39" s="107" t="inlineStr">
        <is>
          <t>Show it only when the sponsor has an action, linked straight to it.</t>
        </is>
      </c>
      <c r="I39" s="108" t="inlineStr">
        <is>
          <t>Ready</t>
        </is>
      </c>
      <c r="J39" s="108" t="n">
        <v>0.5</v>
      </c>
      <c r="K39" s="109" t="n"/>
      <c r="L39" s="109" t="n"/>
      <c r="M39" s="110" t="inlineStr">
        <is>
          <t>HeckerCreatives</t>
        </is>
      </c>
      <c r="N39" s="81" t="n">
        <v>0</v>
      </c>
      <c r="O39" s="80" t="n"/>
      <c r="P39" s="80" t="inlineStr">
        <is>
          <t>Never shown without a sponsor action; links to it</t>
        </is>
      </c>
      <c r="Q39" s="82" t="inlineStr">
        <is>
          <t>polish.md #20</t>
        </is>
      </c>
      <c r="R39" s="111" t="inlineStr">
        <is>
          <t>Raised 2026-10-28 from the UX review.</t>
        </is>
      </c>
    </row>
    <row r="40" ht="23.85" customHeight="1" s="75">
      <c r="A40" s="104" t="n">
        <v>36</v>
      </c>
      <c r="B40" s="105" t="inlineStr">
        <is>
          <t>POL-FE-21</t>
        </is>
      </c>
      <c r="C40" s="81" t="n">
        <v>3</v>
      </c>
      <c r="D40" s="82" t="inlineStr">
        <is>
          <t>C · Confusing or extra work</t>
        </is>
      </c>
      <c r="E40" s="138" t="inlineStr">
        <is>
          <t>FE</t>
        </is>
      </c>
      <c r="F40" s="120" t="inlineStr">
        <is>
          <t>Code</t>
        </is>
      </c>
      <c r="G40" s="80" t="inlineStr">
        <is>
          <t>Request progress steps follow the real state</t>
        </is>
      </c>
      <c r="H40" s="107" t="inlineStr">
        <is>
          <t>No 'Price agreed' or 'Campaign live' before they happen.</t>
        </is>
      </c>
      <c r="I40" s="108" t="inlineStr">
        <is>
          <t>Ready</t>
        </is>
      </c>
      <c r="J40" s="108" t="n">
        <v>0.5</v>
      </c>
      <c r="K40" s="109" t="n"/>
      <c r="L40" s="109" t="n"/>
      <c r="M40" s="110" t="inlineStr">
        <is>
          <t>HeckerCreatives</t>
        </is>
      </c>
      <c r="N40" s="81" t="n">
        <v>0</v>
      </c>
      <c r="O40" s="80" t="n"/>
      <c r="P40" s="80" t="inlineStr">
        <is>
          <t>Steps match the request's real state</t>
        </is>
      </c>
      <c r="Q40" s="82" t="inlineStr">
        <is>
          <t>polish.md #21</t>
        </is>
      </c>
      <c r="R40" s="111" t="inlineStr">
        <is>
          <t>Raised 2026-10-28 from the UX review.</t>
        </is>
      </c>
    </row>
    <row r="41" ht="23.85" customHeight="1" s="75">
      <c r="A41" s="104" t="n">
        <v>37</v>
      </c>
      <c r="B41" s="105" t="inlineStr">
        <is>
          <t>POL-BE-22</t>
        </is>
      </c>
      <c r="C41" s="81" t="n">
        <v>3</v>
      </c>
      <c r="D41" s="82" t="inlineStr">
        <is>
          <t>C · Confusing or extra work</t>
        </is>
      </c>
      <c r="E41" s="138" t="inlineStr">
        <is>
          <t>BE</t>
        </is>
      </c>
      <c r="F41" s="120" t="inlineStr">
        <is>
          <t>Code</t>
        </is>
      </c>
      <c r="G41" s="80" t="inlineStr">
        <is>
          <t>Mark a stalled campaign</t>
        </is>
      </c>
      <c r="H41" s="107" t="inlineStr">
        <is>
          <t>The API flags a campaign whose staffing has stalled and when BTG stepped in.</t>
        </is>
      </c>
      <c r="I41" s="108" t="inlineStr">
        <is>
          <t>Ready</t>
        </is>
      </c>
      <c r="J41" s="108" t="n">
        <v>0.5</v>
      </c>
      <c r="K41" s="109" t="n"/>
      <c r="L41" s="109" t="n"/>
      <c r="M41" s="110" t="inlineStr">
        <is>
          <t>rcfworks</t>
        </is>
      </c>
      <c r="N41" s="81" t="n">
        <v>1</v>
      </c>
      <c r="O41" s="80" t="n"/>
      <c r="P41" s="80" t="inlineStr">
        <is>
          <t>Stalled campaigns flagged; tests</t>
        </is>
      </c>
      <c r="Q41" s="82" t="inlineStr">
        <is>
          <t>polish.md #22</t>
        </is>
      </c>
      <c r="R41" s="111" t="inlineStr">
        <is>
          <t>Raised 2026-10-28 from the UX review.</t>
        </is>
      </c>
    </row>
    <row r="42" ht="22.35" customHeight="1" s="75">
      <c r="A42" s="104" t="n">
        <v>38</v>
      </c>
      <c r="B42" s="105" t="inlineStr">
        <is>
          <t>POL-FE-22</t>
        </is>
      </c>
      <c r="C42" s="81" t="n">
        <v>3</v>
      </c>
      <c r="D42" s="82" t="inlineStr">
        <is>
          <t>C · Confusing or extra work</t>
        </is>
      </c>
      <c r="E42" s="138" t="inlineStr">
        <is>
          <t>FE</t>
        </is>
      </c>
      <c r="F42" s="120" t="inlineStr">
        <is>
          <t>Code</t>
        </is>
      </c>
      <c r="G42" s="80" t="inlineStr">
        <is>
          <t>Sponsor sees 'BTG is finding more athletes'</t>
        </is>
      </c>
      <c r="H42" s="107" t="inlineStr">
        <is>
          <t>Shown on a stalled campaign, with a date.</t>
        </is>
      </c>
      <c r="I42" s="108" t="inlineStr">
        <is>
          <t>Ready</t>
        </is>
      </c>
      <c r="J42" s="108" t="n">
        <v>0.5</v>
      </c>
      <c r="K42" s="109" t="n"/>
      <c r="L42" s="109" t="n"/>
      <c r="M42" s="110" t="inlineStr">
        <is>
          <t>HeckerCreatives</t>
        </is>
      </c>
      <c r="N42" s="81" t="n">
        <v>0</v>
      </c>
      <c r="O42" s="80" t="inlineStr">
        <is>
          <t>POL-BE-22</t>
        </is>
      </c>
      <c r="P42" s="80" t="inlineStr">
        <is>
          <t>Sponsor sees the stalled message</t>
        </is>
      </c>
      <c r="Q42" s="82" t="inlineStr">
        <is>
          <t>polish.md #22</t>
        </is>
      </c>
      <c r="R42" s="111" t="inlineStr">
        <is>
          <t>Raised 2026-10-28 from the UX review.</t>
        </is>
      </c>
    </row>
    <row r="43" ht="23.85" customHeight="1" s="75">
      <c r="A43" s="104" t="n">
        <v>39</v>
      </c>
      <c r="B43" s="105" t="inlineStr">
        <is>
          <t>POL-FE-23</t>
        </is>
      </c>
      <c r="C43" s="81" t="n">
        <v>3</v>
      </c>
      <c r="D43" s="82" t="inlineStr">
        <is>
          <t>C · Confusing or extra work</t>
        </is>
      </c>
      <c r="E43" s="138" t="inlineStr">
        <is>
          <t>FE</t>
        </is>
      </c>
      <c r="F43" s="120" t="inlineStr">
        <is>
          <t>Code</t>
        </is>
      </c>
      <c r="G43" s="80" t="inlineStr">
        <is>
          <t>Content review shows a review-by date and opens the post</t>
        </is>
      </c>
      <c r="H43" s="107" t="inlineStr">
        <is>
          <t>Show the due date (back end adds it if missing); the dashboard link opens the post.</t>
        </is>
      </c>
      <c r="I43" s="108" t="inlineStr">
        <is>
          <t>Ready</t>
        </is>
      </c>
      <c r="J43" s="108" t="n">
        <v>0.5</v>
      </c>
      <c r="K43" s="109" t="n"/>
      <c r="L43" s="109" t="n"/>
      <c r="M43" s="110" t="inlineStr">
        <is>
          <t>HeckerCreatives</t>
        </is>
      </c>
      <c r="N43" s="81" t="n">
        <v>0</v>
      </c>
      <c r="O43" s="80" t="n"/>
      <c r="P43" s="80" t="inlineStr">
        <is>
          <t>Due date shown; link lands on the post</t>
        </is>
      </c>
      <c r="Q43" s="82" t="inlineStr">
        <is>
          <t>polish.md #23</t>
        </is>
      </c>
      <c r="R43" s="111" t="inlineStr">
        <is>
          <t>Raised 2026-10-28 from the UX review.</t>
        </is>
      </c>
    </row>
    <row r="44" ht="22.35" customHeight="1" s="75">
      <c r="A44" s="104" t="n">
        <v>40</v>
      </c>
      <c r="B44" s="105" t="inlineStr">
        <is>
          <t>POL-FE-24</t>
        </is>
      </c>
      <c r="C44" s="81" t="n">
        <v>3</v>
      </c>
      <c r="D44" s="82" t="inlineStr">
        <is>
          <t>C · Confusing or extra work</t>
        </is>
      </c>
      <c r="E44" s="138" t="inlineStr">
        <is>
          <t>FE</t>
        </is>
      </c>
      <c r="F44" s="120" t="inlineStr">
        <is>
          <t>Code</t>
        </is>
      </c>
      <c r="G44" s="80" t="inlineStr">
        <is>
          <t>Athlete Campaign Orders list with Accept and Decline</t>
        </is>
      </c>
      <c r="H44" s="107" t="inlineStr">
        <is>
          <t>A Campaign Orders list; Decline uses the existing API; menu labels separate it from marketplace sales.</t>
        </is>
      </c>
      <c r="I44" s="108" t="inlineStr">
        <is>
          <t>Ready</t>
        </is>
      </c>
      <c r="J44" s="108" t="n">
        <v>1</v>
      </c>
      <c r="K44" s="109" t="n"/>
      <c r="L44" s="109" t="n"/>
      <c r="M44" s="110" t="inlineStr">
        <is>
          <t>HeckerCreatives</t>
        </is>
      </c>
      <c r="N44" s="81" t="n">
        <v>0</v>
      </c>
      <c r="O44" s="80" t="n"/>
      <c r="P44" s="80" t="inlineStr">
        <is>
          <t>Athlete can see, accept and decline Campaign Orders</t>
        </is>
      </c>
      <c r="Q44" s="82" t="inlineStr">
        <is>
          <t>polish.md #24</t>
        </is>
      </c>
      <c r="R44" s="111" t="inlineStr">
        <is>
          <t>Raised 2026-10-28 from the UX review.</t>
        </is>
      </c>
    </row>
    <row r="45" ht="23.85" customHeight="1" s="75">
      <c r="A45" s="104" t="n">
        <v>41</v>
      </c>
      <c r="B45" s="105" t="inlineStr">
        <is>
          <t>POL-FE-25</t>
        </is>
      </c>
      <c r="C45" s="81" t="n">
        <v>3</v>
      </c>
      <c r="D45" s="82" t="inlineStr">
        <is>
          <t>C · Confusing or extra work</t>
        </is>
      </c>
      <c r="E45" s="138" t="inlineStr">
        <is>
          <t>FE</t>
        </is>
      </c>
      <c r="F45" s="120" t="inlineStr">
        <is>
          <t>Code</t>
        </is>
      </c>
      <c r="G45" s="80" t="inlineStr">
        <is>
          <t>Earnings and Payouts say the same thing</t>
        </is>
      </c>
      <c r="H45" s="107" t="inlineStr">
        <is>
          <t>Remove 'BTG handles payouts outside the platform' where it contradicts the Payouts page.</t>
        </is>
      </c>
      <c r="I45" s="108" t="inlineStr">
        <is>
          <t>Ready</t>
        </is>
      </c>
      <c r="J45" s="108" t="n">
        <v>0.25</v>
      </c>
      <c r="K45" s="109" t="n"/>
      <c r="L45" s="109" t="n"/>
      <c r="M45" s="110" t="inlineStr">
        <is>
          <t>HeckerCreatives</t>
        </is>
      </c>
      <c r="N45" s="81" t="n">
        <v>0</v>
      </c>
      <c r="O45" s="80" t="n"/>
      <c r="P45" s="80" t="inlineStr">
        <is>
          <t>One consistent message</t>
        </is>
      </c>
      <c r="Q45" s="82" t="inlineStr">
        <is>
          <t>polish.md #25</t>
        </is>
      </c>
      <c r="R45" s="111" t="inlineStr">
        <is>
          <t>Raised 2026-10-28 from the UX review.</t>
        </is>
      </c>
    </row>
    <row r="46" ht="23.85" customHeight="1" s="75">
      <c r="A46" s="104" t="n">
        <v>42</v>
      </c>
      <c r="B46" s="105" t="inlineStr">
        <is>
          <t>POL-FE-26</t>
        </is>
      </c>
      <c r="C46" s="81" t="n">
        <v>3</v>
      </c>
      <c r="D46" s="82" t="inlineStr">
        <is>
          <t>C · Confusing or extra work</t>
        </is>
      </c>
      <c r="E46" s="138" t="inlineStr">
        <is>
          <t>FE</t>
        </is>
      </c>
      <c r="F46" s="120" t="inlineStr">
        <is>
          <t>Code</t>
        </is>
      </c>
      <c r="G46" s="80" t="inlineStr">
        <is>
          <t>Minors see 'your guardian sets this up'</t>
        </is>
      </c>
      <c r="H46" s="107" t="inlineStr">
        <is>
          <t>Hide the Stripe setup button for a minor; the guardian sees it.</t>
        </is>
      </c>
      <c r="I46" s="108" t="inlineStr">
        <is>
          <t>Ready</t>
        </is>
      </c>
      <c r="J46" s="108" t="n">
        <v>0.5</v>
      </c>
      <c r="K46" s="109" t="n"/>
      <c r="L46" s="109" t="n"/>
      <c r="M46" s="110" t="inlineStr">
        <is>
          <t>HeckerCreatives</t>
        </is>
      </c>
      <c r="N46" s="81" t="n">
        <v>0</v>
      </c>
      <c r="O46" s="80" t="n"/>
      <c r="P46" s="80" t="inlineStr">
        <is>
          <t>Minor never sees a button that fails</t>
        </is>
      </c>
      <c r="Q46" s="82" t="inlineStr">
        <is>
          <t>polish.md #26</t>
        </is>
      </c>
      <c r="R46" s="111" t="inlineStr">
        <is>
          <t>Raised 2026-10-28 from the UX review.</t>
        </is>
      </c>
    </row>
    <row r="47" ht="22.35" customHeight="1" s="75">
      <c r="A47" s="104" t="n">
        <v>43</v>
      </c>
      <c r="B47" s="105" t="inlineStr">
        <is>
          <t>POL-FE-27</t>
        </is>
      </c>
      <c r="C47" s="81" t="n">
        <v>3</v>
      </c>
      <c r="D47" s="82" t="inlineStr">
        <is>
          <t>C · Confusing or extra work</t>
        </is>
      </c>
      <c r="E47" s="138" t="inlineStr">
        <is>
          <t>FE</t>
        </is>
      </c>
      <c r="F47" s="120" t="inlineStr">
        <is>
          <t>Code</t>
        </is>
      </c>
      <c r="G47" s="80" t="inlineStr">
        <is>
          <t>Confirm before declining an invitation</t>
        </is>
      </c>
      <c r="H47" s="107" t="inlineStr">
        <is>
          <t>Add an 'are you sure?' like offers have.</t>
        </is>
      </c>
      <c r="I47" s="108" t="inlineStr">
        <is>
          <t>Ready</t>
        </is>
      </c>
      <c r="J47" s="108" t="n">
        <v>0.25</v>
      </c>
      <c r="K47" s="109" t="n"/>
      <c r="L47" s="109" t="n"/>
      <c r="M47" s="110" t="inlineStr">
        <is>
          <t>HeckerCreatives</t>
        </is>
      </c>
      <c r="N47" s="81" t="n">
        <v>0</v>
      </c>
      <c r="O47" s="80" t="n"/>
      <c r="P47" s="80" t="inlineStr">
        <is>
          <t>Declining asks first</t>
        </is>
      </c>
      <c r="Q47" s="82" t="inlineStr">
        <is>
          <t>polish.md #27</t>
        </is>
      </c>
      <c r="R47" s="111" t="inlineStr">
        <is>
          <t>Raised 2026-10-28 from the UX review.</t>
        </is>
      </c>
    </row>
    <row r="48" ht="23.85" customHeight="1" s="75">
      <c r="A48" s="104" t="n">
        <v>44</v>
      </c>
      <c r="B48" s="105" t="inlineStr">
        <is>
          <t>POL-FE-28</t>
        </is>
      </c>
      <c r="C48" s="81" t="n">
        <v>3</v>
      </c>
      <c r="D48" s="82" t="inlineStr">
        <is>
          <t>C · Confusing or extra work</t>
        </is>
      </c>
      <c r="E48" s="138" t="inlineStr">
        <is>
          <t>FE</t>
        </is>
      </c>
      <c r="F48" s="120" t="inlineStr">
        <is>
          <t>Code</t>
        </is>
      </c>
      <c r="G48" s="80" t="inlineStr">
        <is>
          <t>Confirm before 'Confirm delivered'</t>
        </is>
      </c>
      <c r="H48" s="107" t="inlineStr">
        <is>
          <t>Confirmation saying the seller will be paid.</t>
        </is>
      </c>
      <c r="I48" s="108" t="inlineStr">
        <is>
          <t>Ready</t>
        </is>
      </c>
      <c r="J48" s="108" t="n">
        <v>0.25</v>
      </c>
      <c r="K48" s="109" t="n"/>
      <c r="L48" s="109" t="n"/>
      <c r="M48" s="110" t="inlineStr">
        <is>
          <t>HeckerCreatives</t>
        </is>
      </c>
      <c r="N48" s="81" t="n">
        <v>0</v>
      </c>
      <c r="O48" s="80" t="n"/>
      <c r="P48" s="80" t="inlineStr">
        <is>
          <t>Confirm delivered asks first</t>
        </is>
      </c>
      <c r="Q48" s="82" t="inlineStr">
        <is>
          <t>polish.md #28</t>
        </is>
      </c>
      <c r="R48" s="111" t="inlineStr">
        <is>
          <t>Raised 2026-10-28 from the UX review.</t>
        </is>
      </c>
    </row>
    <row r="49" ht="23.85" customHeight="1" s="75">
      <c r="A49" s="104" t="n">
        <v>45</v>
      </c>
      <c r="B49" s="105" t="inlineStr">
        <is>
          <t>POL-BE-29</t>
        </is>
      </c>
      <c r="C49" s="81" t="n">
        <v>3</v>
      </c>
      <c r="D49" s="82" t="inlineStr">
        <is>
          <t>C · Confusing or extra work</t>
        </is>
      </c>
      <c r="E49" s="138" t="inlineStr">
        <is>
          <t>BE</t>
        </is>
      </c>
      <c r="F49" s="120" t="inlineStr">
        <is>
          <t>Code</t>
        </is>
      </c>
      <c r="G49" s="80" t="inlineStr">
        <is>
          <t>Handoff queue oldest first</t>
        </is>
      </c>
      <c r="H49" s="107" t="inlineStr">
        <is>
          <t>Sort guardian handoffs oldest first.</t>
        </is>
      </c>
      <c r="I49" s="108" t="inlineStr">
        <is>
          <t>Ready</t>
        </is>
      </c>
      <c r="J49" s="108" t="n">
        <v>0.25</v>
      </c>
      <c r="K49" s="109" t="n"/>
      <c r="L49" s="109" t="n"/>
      <c r="M49" s="110" t="inlineStr">
        <is>
          <t>rcfworks</t>
        </is>
      </c>
      <c r="N49" s="81" t="n">
        <v>0</v>
      </c>
      <c r="O49" s="80" t="n"/>
      <c r="P49" s="80" t="inlineStr">
        <is>
          <t>Oldest first; test</t>
        </is>
      </c>
      <c r="Q49" s="82" t="inlineStr">
        <is>
          <t>polish.md #29</t>
        </is>
      </c>
      <c r="R49" s="111" t="inlineStr">
        <is>
          <t>Raised 2026-10-28 from the UX review.</t>
        </is>
      </c>
    </row>
    <row r="50" ht="23.85" customHeight="1" s="75">
      <c r="A50" s="104" t="n">
        <v>46</v>
      </c>
      <c r="B50" s="105" t="inlineStr">
        <is>
          <t>POL-FE-30</t>
        </is>
      </c>
      <c r="C50" s="81" t="n">
        <v>3</v>
      </c>
      <c r="D50" s="82" t="inlineStr">
        <is>
          <t>C · Confusing or extra work</t>
        </is>
      </c>
      <c r="E50" s="138" t="inlineStr">
        <is>
          <t>FE</t>
        </is>
      </c>
      <c r="F50" s="120" t="inlineStr">
        <is>
          <t>Code</t>
        </is>
      </c>
      <c r="G50" s="80" t="inlineStr">
        <is>
          <t>Unsubscribe fallback points at support</t>
        </is>
      </c>
      <c r="H50" s="107" t="inlineStr">
        <is>
          <t>Replace 'reply to the email' (no-reply sender) with the support address.</t>
        </is>
      </c>
      <c r="I50" s="108" t="inlineStr">
        <is>
          <t>Ready</t>
        </is>
      </c>
      <c r="J50" s="108" t="n">
        <v>0.25</v>
      </c>
      <c r="K50" s="109" t="n"/>
      <c r="L50" s="109" t="n"/>
      <c r="M50" s="110" t="inlineStr">
        <is>
          <t>HeckerCreatives</t>
        </is>
      </c>
      <c r="N50" s="81" t="n">
        <v>0</v>
      </c>
      <c r="O50" s="80" t="n"/>
      <c r="P50" s="80" t="inlineStr">
        <is>
          <t>Fallback reaches a person</t>
        </is>
      </c>
      <c r="Q50" s="82" t="inlineStr">
        <is>
          <t>polish.md #30</t>
        </is>
      </c>
      <c r="R50" s="111" t="inlineStr">
        <is>
          <t>Raised 2026-10-28 from the UX review.</t>
        </is>
      </c>
    </row>
    <row r="51" ht="23.85" customHeight="1" s="75">
      <c r="A51" s="104" t="n">
        <v>47</v>
      </c>
      <c r="B51" s="105" t="inlineStr">
        <is>
          <t>POL-FE-31</t>
        </is>
      </c>
      <c r="C51" s="81" t="n">
        <v>4</v>
      </c>
      <c r="D51" s="82" t="inlineStr">
        <is>
          <t>D · Polish</t>
        </is>
      </c>
      <c r="E51" s="138" t="inlineStr">
        <is>
          <t>FE</t>
        </is>
      </c>
      <c r="F51" s="120" t="inlineStr">
        <is>
          <t>Code</t>
        </is>
      </c>
      <c r="G51" s="80" t="inlineStr">
        <is>
          <t>Plain message for a failed card payment</t>
        </is>
      </c>
      <c r="H51" s="107" t="inlineStr">
        <is>
          <t>Replace 'ref: pi_…' with what to do next and how to contact support.</t>
        </is>
      </c>
      <c r="I51" s="108" t="inlineStr">
        <is>
          <t>Ready</t>
        </is>
      </c>
      <c r="J51" s="108" t="n">
        <v>0.25</v>
      </c>
      <c r="K51" s="109" t="n"/>
      <c r="L51" s="109" t="n"/>
      <c r="M51" s="110" t="inlineStr">
        <is>
          <t>HeckerCreatives</t>
        </is>
      </c>
      <c r="N51" s="81" t="n">
        <v>0</v>
      </c>
      <c r="O51" s="80" t="n"/>
      <c r="P51" s="80" t="inlineStr">
        <is>
          <t>No raw Stripe codes shown</t>
        </is>
      </c>
      <c r="Q51" s="82" t="inlineStr">
        <is>
          <t>polish.md #31</t>
        </is>
      </c>
      <c r="R51" s="111" t="inlineStr">
        <is>
          <t>Raised 2026-10-28 from the UX review.</t>
        </is>
      </c>
    </row>
    <row r="52" s="75">
      <c r="A52" s="104" t="n">
        <v>48</v>
      </c>
      <c r="B52" s="105" t="inlineStr">
        <is>
          <t>POL-FE-32</t>
        </is>
      </c>
      <c r="C52" s="81" t="n">
        <v>4</v>
      </c>
      <c r="D52" s="82" t="inlineStr">
        <is>
          <t>D · Polish</t>
        </is>
      </c>
      <c r="E52" s="138" t="inlineStr">
        <is>
          <t>FE</t>
        </is>
      </c>
      <c r="F52" s="120" t="inlineStr">
        <is>
          <t>Code</t>
        </is>
      </c>
      <c r="G52" s="80" t="inlineStr">
        <is>
          <t>'Welcome' on first sign-in</t>
        </is>
      </c>
      <c r="H52" s="107" t="inlineStr">
        <is>
          <t>Not 'Welcome back' for a brand-new user.</t>
        </is>
      </c>
      <c r="I52" s="108" t="inlineStr">
        <is>
          <t>Ready</t>
        </is>
      </c>
      <c r="J52" s="108" t="n">
        <v>0.25</v>
      </c>
      <c r="K52" s="109" t="n"/>
      <c r="L52" s="109" t="n"/>
      <c r="M52" s="110" t="inlineStr">
        <is>
          <t>HeckerCreatives</t>
        </is>
      </c>
      <c r="N52" s="81" t="n">
        <v>0</v>
      </c>
      <c r="O52" s="80" t="n"/>
      <c r="P52" s="80" t="inlineStr">
        <is>
          <t>First sign-in says Welcome</t>
        </is>
      </c>
      <c r="Q52" s="82" t="inlineStr">
        <is>
          <t>polish.md #32</t>
        </is>
      </c>
      <c r="R52" s="111" t="inlineStr">
        <is>
          <t>Raised 2026-10-28 from the UX review.</t>
        </is>
      </c>
    </row>
    <row r="53" s="75">
      <c r="A53" s="104" t="n">
        <v>49</v>
      </c>
      <c r="B53" s="105" t="inlineStr">
        <is>
          <t>POL-FE-33</t>
        </is>
      </c>
      <c r="C53" s="81" t="n">
        <v>4</v>
      </c>
      <c r="D53" s="82" t="inlineStr">
        <is>
          <t>D · Polish</t>
        </is>
      </c>
      <c r="E53" s="138" t="inlineStr">
        <is>
          <t>FE</t>
        </is>
      </c>
      <c r="F53" s="120" t="inlineStr">
        <is>
          <t>Code</t>
        </is>
      </c>
      <c r="G53" s="80" t="inlineStr">
        <is>
          <t>Remove 'Sample screens' for real users</t>
        </is>
      </c>
      <c r="H53" s="107" t="inlineStr">
        <is>
          <t>Settings stops linking real athletes to Riley's sample screens.</t>
        </is>
      </c>
      <c r="I53" s="108" t="inlineStr">
        <is>
          <t>Ready</t>
        </is>
      </c>
      <c r="J53" s="108" t="n">
        <v>0.25</v>
      </c>
      <c r="K53" s="109" t="n"/>
      <c r="L53" s="109" t="n"/>
      <c r="M53" s="110" t="inlineStr">
        <is>
          <t>HeckerCreatives</t>
        </is>
      </c>
      <c r="N53" s="81" t="n">
        <v>0</v>
      </c>
      <c r="O53" s="80" t="n"/>
      <c r="P53" s="80" t="inlineStr">
        <is>
          <t>Real users see no sample link</t>
        </is>
      </c>
      <c r="Q53" s="82" t="inlineStr">
        <is>
          <t>polish.md #33</t>
        </is>
      </c>
      <c r="R53" s="111" t="inlineStr">
        <is>
          <t>Raised 2026-10-28 from the UX review.</t>
        </is>
      </c>
    </row>
    <row r="54" s="75">
      <c r="A54" s="104" t="n">
        <v>50</v>
      </c>
      <c r="B54" s="105" t="inlineStr">
        <is>
          <t>POL-FE-34</t>
        </is>
      </c>
      <c r="C54" s="81" t="n">
        <v>4</v>
      </c>
      <c r="D54" s="82" t="inlineStr">
        <is>
          <t>D · Polish</t>
        </is>
      </c>
      <c r="E54" s="138" t="inlineStr">
        <is>
          <t>FE</t>
        </is>
      </c>
      <c r="F54" s="120" t="inlineStr">
        <is>
          <t>Code</t>
        </is>
      </c>
      <c r="G54" s="80" t="inlineStr">
        <is>
          <t>Sign in button on 'You're approved'</t>
        </is>
      </c>
      <c r="H54" s="107" t="inlineStr">
        <is>
          <t>Add a Sign in button to the approved /join status.</t>
        </is>
      </c>
      <c r="I54" s="108" t="inlineStr">
        <is>
          <t>Ready</t>
        </is>
      </c>
      <c r="J54" s="108" t="n">
        <v>0.25</v>
      </c>
      <c r="K54" s="109" t="n"/>
      <c r="L54" s="109" t="n"/>
      <c r="M54" s="110" t="inlineStr">
        <is>
          <t>HeckerCreatives</t>
        </is>
      </c>
      <c r="N54" s="81" t="n">
        <v>0</v>
      </c>
      <c r="O54" s="80" t="n"/>
      <c r="P54" s="80" t="inlineStr">
        <is>
          <t>Approved person can sign in from the page</t>
        </is>
      </c>
      <c r="Q54" s="82" t="inlineStr">
        <is>
          <t>polish.md #34</t>
        </is>
      </c>
      <c r="R54" s="111" t="inlineStr">
        <is>
          <t>Raised 2026-10-28 from the UX review.</t>
        </is>
      </c>
    </row>
    <row r="55" s="75">
      <c r="A55" s="104" t="n">
        <v>51</v>
      </c>
      <c r="B55" s="105" t="inlineStr">
        <is>
          <t>POL-FE-35</t>
        </is>
      </c>
      <c r="C55" s="81" t="n">
        <v>4</v>
      </c>
      <c r="D55" s="82" t="inlineStr">
        <is>
          <t>D · Polish</t>
        </is>
      </c>
      <c r="E55" s="138" t="inlineStr">
        <is>
          <t>FE</t>
        </is>
      </c>
      <c r="F55" s="120" t="inlineStr">
        <is>
          <t>Code</t>
        </is>
      </c>
      <c r="G55" s="80" t="inlineStr">
        <is>
          <t>'Contact BTG' links to support</t>
        </is>
      </c>
      <c r="H55" s="107" t="inlineStr">
        <is>
          <t>Team Documents and Roster pages link 'Contact BTG' to the support address.</t>
        </is>
      </c>
      <c r="I55" s="108" t="inlineStr">
        <is>
          <t>Ready</t>
        </is>
      </c>
      <c r="J55" s="108" t="n">
        <v>0.25</v>
      </c>
      <c r="K55" s="109" t="n"/>
      <c r="L55" s="109" t="n"/>
      <c r="M55" s="110" t="inlineStr">
        <is>
          <t>HeckerCreatives</t>
        </is>
      </c>
      <c r="N55" s="81" t="n">
        <v>0</v>
      </c>
      <c r="O55" s="80" t="n"/>
      <c r="P55" s="80" t="inlineStr">
        <is>
          <t>Contact BTG opens the support address</t>
        </is>
      </c>
      <c r="Q55" s="82" t="inlineStr">
        <is>
          <t>polish.md #35</t>
        </is>
      </c>
      <c r="R55" s="111" t="inlineStr">
        <is>
          <t>Raised 2026-10-28 from the UX review.</t>
        </is>
      </c>
    </row>
    <row r="56">
      <c r="A56" s="104" t="n">
        <v>52</v>
      </c>
      <c r="B56" s="105" t="inlineStr">
        <is>
          <t>POL-BE-36</t>
        </is>
      </c>
      <c r="C56" s="81" t="n">
        <v>5</v>
      </c>
      <c r="D56" s="82" t="inlineStr">
        <is>
          <t>E · Payments switch</t>
        </is>
      </c>
      <c r="E56" s="138" t="inlineStr">
        <is>
          <t>BE</t>
        </is>
      </c>
      <c r="F56" s="120" t="inlineStr">
        <is>
          <t>Code</t>
        </is>
      </c>
      <c r="G56" s="80" t="inlineStr">
        <is>
          <t>Payments on/off switch, held in the database</t>
        </is>
      </c>
      <c r="H56" s="107" t="inlineStr">
        <is>
          <t>A platform-wide Payments switch BTG Admin and Finance can flip at once without a deploy, with a reason, audited (who, when). Can only turn on when production has a live key and webhook secrets; PAYMENT_PROVIDER stays the master off. Off = no checkout, no transfer, no non-payment cancellation (with POL-BE-04).</t>
        </is>
      </c>
      <c r="I56" s="108" t="inlineStr">
        <is>
          <t>Ready</t>
        </is>
      </c>
      <c r="J56" s="108" t="n">
        <v>1.5</v>
      </c>
      <c r="K56" s="109" t="n"/>
      <c r="L56" s="109" t="n"/>
      <c r="M56" s="110" t="inlineStr">
        <is>
          <t>rcfworks</t>
        </is>
      </c>
      <c r="N56" s="81" t="n">
        <v>1</v>
      </c>
      <c r="O56" s="80" t="n"/>
      <c r="P56" s="80" t="inlineStr">
        <is>
          <t>BTG Admin and Finance can switch payments on and off; each change audited with a reason; other roles refused; off blocks checkout, transfers and non-payment cancellation; can't turn on without keys; tests</t>
        </is>
      </c>
      <c r="Q56" s="82" t="inlineStr">
        <is>
          <t>polish.md #36</t>
        </is>
      </c>
      <c r="R56" s="111" t="inlineStr">
        <is>
          <t>Raised 2026-10-28 by the user: live key ready today, payments stay off until polish is done.</t>
        </is>
      </c>
    </row>
    <row r="57">
      <c r="A57" s="104" t="n">
        <v>53</v>
      </c>
      <c r="B57" s="105" t="inlineStr">
        <is>
          <t>POL-FE-36</t>
        </is>
      </c>
      <c r="C57" s="81" t="n">
        <v>5</v>
      </c>
      <c r="D57" s="82" t="inlineStr">
        <is>
          <t>E · Payments switch</t>
        </is>
      </c>
      <c r="E57" s="138" t="inlineStr">
        <is>
          <t>FE</t>
        </is>
      </c>
      <c r="F57" s="120" t="inlineStr">
        <is>
          <t>Code</t>
        </is>
      </c>
      <c r="G57" s="80" t="inlineStr">
        <is>
          <t>Payments switch on BTG's admin screen</t>
        </is>
      </c>
      <c r="H57" s="107" t="inlineStr">
        <is>
          <t>A Payments on/off control on BTG's admin screen with a reason box and confirmation, showing who changed it and when; pay and payout buttons say payments open soon while it is off.</t>
        </is>
      </c>
      <c r="I57" s="108" t="inlineStr">
        <is>
          <t>Ready</t>
        </is>
      </c>
      <c r="J57" s="108" t="n">
        <v>0.5</v>
      </c>
      <c r="K57" s="109" t="n"/>
      <c r="L57" s="109" t="n"/>
      <c r="M57" s="110" t="inlineStr">
        <is>
          <t>HeckerCreatives</t>
        </is>
      </c>
      <c r="N57" s="81" t="n">
        <v>0</v>
      </c>
      <c r="O57" s="80" t="inlineStr">
        <is>
          <t>POL-BE-36</t>
        </is>
      </c>
      <c r="P57" s="80" t="inlineStr">
        <is>
          <t>BTG Admin and Finance see and use the switch with a reason; others don't see it; screens say payments open soon while off</t>
        </is>
      </c>
      <c r="Q57" s="82" t="inlineStr">
        <is>
          <t>polish.md #36</t>
        </is>
      </c>
      <c r="R57" s="111" t="inlineStr">
        <is>
          <t>Raised 2026-10-28 by the user.</t>
        </is>
      </c>
    </row>
  </sheetData>
  <autoFilter ref="A4:R57"/>
  <mergeCells count="2">
    <mergeCell ref="A2:R2"/>
    <mergeCell ref="A1:R1"/>
  </mergeCells>
  <conditionalFormatting sqref="I5:I57">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57">
    <cfRule type="expression" rank="0" priority="7" equalAverage="0" aboveAverage="0" dxfId="32" text="" percent="0" bottom="0">
      <formula>$I5="Done"</formula>
    </cfRule>
  </conditionalFormatting>
  <conditionalFormatting sqref="N5:N57">
    <cfRule type="cellIs" rank="0" priority="8" equalAverage="0" operator="greaterThanOrEqual" aboveAverage="0" dxfId="33" text="" percent="0" bottom="0">
      <formula>50</formula>
    </cfRule>
  </conditionalFormatting>
  <dataValidations count="1">
    <dataValidation sqref="I5:I57" showDropDown="0" showInputMessage="0" showErrorMessage="0" allowBlank="1" type="list">
      <formula1>"Ready,In progress,Code review,Blocked,Done"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R330"/>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03" t="inlineStr">
        <is>
          <t>SponsorX — Phase 1 · Managed Marketplace</t>
        </is>
      </c>
    </row>
    <row r="2" ht="15" customHeight="1" s="75">
      <c r="A2" s="77" t="inlineStr">
        <is>
          <t>269 tasks · 615 person-days · the loop that must work before anything else is built · Stage 9 (SponsorX NEXT, spec v2.0) is gated, not queued</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68.65000000000001" customHeight="1" s="75">
      <c r="A5" s="104" t="n">
        <v>0</v>
      </c>
      <c r="B5" s="105" t="inlineStr">
        <is>
          <t>P0-PMO-02</t>
        </is>
      </c>
      <c r="C5" s="81" t="n">
        <v>0</v>
      </c>
      <c r="D5" s="82" t="inlineStr">
        <is>
          <t>Foundation &amp; Decisions</t>
        </is>
      </c>
      <c r="E5" s="104" t="inlineStr">
        <is>
          <t>PMO</t>
        </is>
      </c>
      <c r="F5" s="106" t="inlineStr">
        <is>
          <t>Document</t>
        </is>
      </c>
      <c r="G5" s="80" t="inlineStr">
        <is>
          <t>Confirm data residency and set regions (G-02)</t>
        </is>
      </c>
      <c r="H5" s="107" t="inlineStr">
        <is>
          <t>DECISION GATE G-02 · Data residency — which region do Railway and R2 run in?  —  Pick the geographic region Railway and Cloudflare R2 run in, and write it down. Almost certainly US-only: NIL is US law, sponsors are local US businesses, minors' data is involved. Moving a database region later is painful, so this is decided before anything exists.</t>
        </is>
      </c>
      <c r="I5" s="108" t="inlineStr">
        <is>
          <t>Done</t>
        </is>
      </c>
      <c r="J5" s="108" t="n">
        <v>1</v>
      </c>
      <c r="K5" s="109" t="n"/>
      <c r="L5" s="109" t="n"/>
      <c r="M5" s="110" t="n"/>
      <c r="N5" s="81" t="n">
        <v>2</v>
      </c>
      <c r="O5" s="80" t="n"/>
      <c r="P5" s="80" t="inlineStr">
        <is>
          <t>Railway region and R2 region chosen explicitly, recorded, not left at defaults</t>
        </is>
      </c>
      <c r="Q5" s="82" t="inlineStr">
        <is>
          <t>Addendum A7</t>
        </is>
      </c>
      <c r="R5" s="111" t="n"/>
    </row>
    <row r="6" ht="35.05" customHeight="1" s="75">
      <c r="A6" s="112" t="n">
        <v>0</v>
      </c>
      <c r="B6" s="113" t="inlineStr">
        <is>
          <t>P1-ART-01</t>
        </is>
      </c>
      <c r="C6" s="85" t="n">
        <v>1</v>
      </c>
      <c r="D6" s="86" t="inlineStr">
        <is>
          <t>UI Scaffold on Fixtures</t>
        </is>
      </c>
      <c r="E6" s="114" t="inlineStr">
        <is>
          <t>ART</t>
        </is>
      </c>
      <c r="F6" s="115" t="inlineStr">
        <is>
          <t>Design tool</t>
        </is>
      </c>
      <c r="G6" s="84" t="inlineStr">
        <is>
          <t>Brand retheme — mockup v1.0 purple/teal → BTG logo blue/orange</t>
        </is>
      </c>
      <c r="H6" s="116" t="inlineStr">
        <is>
          <t>Already shipped. The whole app was re-themed from the old mockup purple to the BTG logo's blue and orange via one token file.</t>
        </is>
      </c>
      <c r="I6" s="108" t="inlineStr">
        <is>
          <t>Done</t>
        </is>
      </c>
      <c r="J6" s="108" t="n"/>
      <c r="K6" s="109" t="n"/>
      <c r="L6" s="109" t="n"/>
      <c r="M6" s="110" t="n"/>
      <c r="N6" s="85" t="n"/>
      <c r="O6" s="84" t="n"/>
      <c r="P6" s="84" t="inlineStr">
        <is>
          <t>Token swap in globals.css; ground #0A0C10, primary #2E9BF5, accent #F97A1F, warn #FACC15; portal accents follow the logo</t>
        </is>
      </c>
      <c r="Q6" s="86" t="n"/>
      <c r="R6" s="111" t="inlineStr">
        <is>
          <t>Shipped before this plan</t>
        </is>
      </c>
    </row>
    <row r="7" ht="23.85" customHeight="1" s="75">
      <c r="A7" s="104" t="n">
        <v>0</v>
      </c>
      <c r="B7" s="105" t="inlineStr">
        <is>
          <t>P1-ART-02</t>
        </is>
      </c>
      <c r="C7" s="81" t="n">
        <v>1</v>
      </c>
      <c r="D7" s="82" t="inlineStr">
        <is>
          <t>UI Scaffold on Fixtures</t>
        </is>
      </c>
      <c r="E7" s="117" t="inlineStr">
        <is>
          <t>ART</t>
        </is>
      </c>
      <c r="F7" s="118" t="inlineStr">
        <is>
          <t>Design tool</t>
        </is>
      </c>
      <c r="G7" s="80" t="inlineStr">
        <is>
          <t>Wire official logo assets</t>
        </is>
      </c>
      <c r="H7" s="107" t="inlineStr">
        <is>
          <t>Already shipped. Official logo artwork wired into login, portal headers, marketing hero and the browser tab icon.</t>
        </is>
      </c>
      <c r="I7" s="108" t="inlineStr">
        <is>
          <t>Done</t>
        </is>
      </c>
      <c r="J7" s="108" t="n"/>
      <c r="K7" s="109" t="n"/>
      <c r="L7" s="109" t="n"/>
      <c r="M7" s="110" t="n"/>
      <c r="N7" s="81" t="n"/>
      <c r="O7" s="80" t="n"/>
      <c r="P7" s="80" t="inlineStr">
        <is>
          <t>sponsorx-badge/title/full.png in public/; Logo component; favicon via src/app/icon.png</t>
        </is>
      </c>
      <c r="Q7" s="82" t="n"/>
      <c r="R7" s="111" t="inlineStr">
        <is>
          <t>Shipped before this plan</t>
        </is>
      </c>
    </row>
    <row r="8" ht="23.85" customHeight="1" s="75">
      <c r="A8" s="112" t="n">
        <v>0</v>
      </c>
      <c r="B8" s="113" t="inlineStr">
        <is>
          <t>P1-ART-03</t>
        </is>
      </c>
      <c r="C8" s="85" t="n">
        <v>1</v>
      </c>
      <c r="D8" s="86" t="inlineStr">
        <is>
          <t>UI Scaffold on Fixtures</t>
        </is>
      </c>
      <c r="E8" s="114" t="inlineStr">
        <is>
          <t>ART</t>
        </is>
      </c>
      <c r="F8" s="115" t="inlineStr">
        <is>
          <t>Design tool</t>
        </is>
      </c>
      <c r="G8" s="84" t="inlineStr">
        <is>
          <t>Sponsor portal redesign — Command Deck + Executive Bento + radial ROI gauge</t>
        </is>
      </c>
      <c r="H8" s="116" t="inlineStr">
        <is>
          <t>Already shipped. The four sponsor-facing pages redesigned for client-demo quality, including the radial ROI gauge.</t>
        </is>
      </c>
      <c r="I8" s="108" t="inlineStr">
        <is>
          <t>Done</t>
        </is>
      </c>
      <c r="J8" s="108" t="n"/>
      <c r="K8" s="109" t="n"/>
      <c r="L8" s="109" t="n"/>
      <c r="M8" s="110" t="n"/>
      <c r="N8" s="85" t="n"/>
      <c r="O8" s="84" t="n"/>
      <c r="P8" s="84" t="inlineStr">
        <is>
          <t>Spec and plan under docs/superpowers/; shipped across 9 commits</t>
        </is>
      </c>
      <c r="Q8" s="86" t="n"/>
      <c r="R8" s="111" t="inlineStr">
        <is>
          <t>Shipped before this plan</t>
        </is>
      </c>
    </row>
    <row r="9" ht="46.25" customHeight="1" s="75">
      <c r="A9" s="104" t="n">
        <v>0</v>
      </c>
      <c r="B9" s="105" t="inlineStr">
        <is>
          <t>P1-FE-01</t>
        </is>
      </c>
      <c r="C9" s="81" t="n">
        <v>1</v>
      </c>
      <c r="D9" s="82" t="inlineStr">
        <is>
          <t>UI Scaffold on Fixtures</t>
        </is>
      </c>
      <c r="E9" s="119" t="inlineStr">
        <is>
          <t>FE</t>
        </is>
      </c>
      <c r="F9" s="120" t="inlineStr">
        <is>
          <t>Code</t>
        </is>
      </c>
      <c r="G9" s="80" t="inlineStr">
        <is>
          <t>Build the 10 remaining stub routes on fixtures</t>
        </is>
      </c>
      <c r="H9" s="107" t="inlineStr">
        <is>
          <t>Already shipped. The last ten placeholder screens were built out, so every portal is fully navigable on mock data.</t>
        </is>
      </c>
      <c r="I9" s="108" t="inlineStr">
        <is>
          <t>Done</t>
        </is>
      </c>
      <c r="J9" s="108" t="n"/>
      <c r="K9" s="109" t="n"/>
      <c r="L9" s="109" t="n"/>
      <c r="M9" s="110" t="n"/>
      <c r="N9" s="81" t="n"/>
      <c r="O9" s="80" t="n"/>
      <c r="P9" s="80" t="inlineStr">
        <is>
          <t>join, athlete/invitations, athlete/orders/[id], athlete/earnings, admin, admin/applications, admin/approvals, admin/finance, packages, property — no ScreenStub remains</t>
        </is>
      </c>
      <c r="Q9" s="82" t="n"/>
      <c r="R9" s="111" t="inlineStr">
        <is>
          <t>Shipped before this plan</t>
        </is>
      </c>
    </row>
    <row r="10" ht="23.85" customHeight="1" s="75">
      <c r="A10" s="112" t="n">
        <v>0</v>
      </c>
      <c r="B10" s="113" t="inlineStr">
        <is>
          <t>P1-FE-02</t>
        </is>
      </c>
      <c r="C10" s="85" t="n">
        <v>1</v>
      </c>
      <c r="D10" s="86" t="inlineStr">
        <is>
          <t>UI Scaffold on Fixtures</t>
        </is>
      </c>
      <c r="E10" s="121" t="inlineStr">
        <is>
          <t>FE</t>
        </is>
      </c>
      <c r="F10" s="122" t="inlineStr">
        <is>
          <t>Code</t>
        </is>
      </c>
      <c r="G10" s="84" t="inlineStr">
        <is>
          <t>State &amp; polish pass across all routes (A2)</t>
        </is>
      </c>
      <c r="H10" s="116" t="inlineStr">
        <is>
          <t>Already shipped. Loading, empty and error states across all 25 routes, plus the light theme and responsive behaviour.</t>
        </is>
      </c>
      <c r="I10" s="108" t="inlineStr">
        <is>
          <t>Done</t>
        </is>
      </c>
      <c r="J10" s="108" t="n"/>
      <c r="K10" s="109" t="n"/>
      <c r="L10" s="109" t="n"/>
      <c r="M10" s="110" t="n"/>
      <c r="N10" s="85" t="n">
        <v>2</v>
      </c>
      <c r="O10" s="84" t="n"/>
      <c r="P10" s="84" t="inlineStr">
        <is>
          <t>Loading / empty / error states; light theme; responsive; 25 routes build green</t>
        </is>
      </c>
      <c r="Q10" s="86" t="n"/>
      <c r="R10" s="111" t="inlineStr">
        <is>
          <t>Shipped before this plan</t>
        </is>
      </c>
    </row>
    <row r="11" ht="23.85" customHeight="1" s="75">
      <c r="A11" s="104" t="n">
        <v>0</v>
      </c>
      <c r="B11" s="105" t="inlineStr">
        <is>
          <t>P1-FE-03</t>
        </is>
      </c>
      <c r="C11" s="81" t="n">
        <v>1</v>
      </c>
      <c r="D11" s="82" t="inlineStr">
        <is>
          <t>UI Scaffold on Fixtures</t>
        </is>
      </c>
      <c r="E11" s="119" t="inlineStr">
        <is>
          <t>FE</t>
        </is>
      </c>
      <c r="F11" s="120" t="inlineStr">
        <is>
          <t>Code</t>
        </is>
      </c>
      <c r="G11" s="80" t="inlineStr">
        <is>
          <t>No-JS accessible fan redeem page</t>
        </is>
      </c>
      <c r="H11" s="107" t="inlineStr">
        <is>
          <t>Already shipped. The fan redeem page renders with JavaScript disabled and passes accessibility checks.</t>
        </is>
      </c>
      <c r="I11" s="108" t="inlineStr">
        <is>
          <t>Done</t>
        </is>
      </c>
      <c r="J11" s="108" t="n"/>
      <c r="K11" s="109" t="n"/>
      <c r="L11" s="109" t="n"/>
      <c r="M11" s="110" t="n"/>
      <c r="N11" s="81" t="n"/>
      <c r="O11" s="80" t="n"/>
      <c r="P11" s="80" t="inlineStr">
        <is>
          <t>r/[token] renders without JavaScript, branded, a11y-checked</t>
        </is>
      </c>
      <c r="Q11" s="82" t="n"/>
      <c r="R11" s="111" t="inlineStr">
        <is>
          <t>Shipped before this plan</t>
        </is>
      </c>
    </row>
    <row r="12" ht="23.85" customHeight="1" s="75">
      <c r="A12" s="112" t="n">
        <v>1</v>
      </c>
      <c r="B12" s="113" t="inlineStr">
        <is>
          <t>P0-OPS-01</t>
        </is>
      </c>
      <c r="C12" s="85" t="n">
        <v>0</v>
      </c>
      <c r="D12" s="86" t="inlineStr">
        <is>
          <t>Foundation &amp; Decisions</t>
        </is>
      </c>
      <c r="E12" s="123" t="inlineStr">
        <is>
          <t>OPS</t>
        </is>
      </c>
      <c r="F12" s="124" t="inlineStr">
        <is>
          <t>Vendor console</t>
        </is>
      </c>
      <c r="G12" s="84" t="inlineStr">
        <is>
          <t>Create Railway account, project and billing</t>
        </is>
      </c>
      <c r="H12" s="116" t="inlineStr">
        <is>
          <t>Open the Railway account and project in the region chosen above. Set a spend alert — usage-based hosting surprises people.</t>
        </is>
      </c>
      <c r="I12" s="108" t="inlineStr">
        <is>
          <t>Done</t>
        </is>
      </c>
      <c r="J12" s="108" t="n">
        <v>1</v>
      </c>
      <c r="K12" s="109" t="inlineStr">
        <is>
          <t>2026-09-18</t>
        </is>
      </c>
      <c r="L12" s="109" t="inlineStr">
        <is>
          <t>2026-09-23</t>
        </is>
      </c>
      <c r="M12" s="110" t="inlineStr">
        <is>
          <t>rcfworks</t>
        </is>
      </c>
      <c r="N12" s="85" t="n">
        <v>1</v>
      </c>
      <c r="O12" s="84" t="inlineStr">
        <is>
          <t>P0-PMO-02</t>
        </is>
      </c>
      <c r="P12" s="84" t="inlineStr">
        <is>
          <t>Project exists in the confirmed region; billing and spend alerts configured</t>
        </is>
      </c>
      <c r="Q12" s="86" t="inlineStr">
        <is>
          <t>Guide §10</t>
        </is>
      </c>
      <c r="R12" s="111" t="inlineStr">
        <is>
          <t>Workspace 'rcarr-crypto's Projects'; project 'sponsorX' ID 1c11f29a-b569-4d14-98cf-e97a4d3ae209. PRO PLAN with spend limits set (compute hard $150 / email $25; agent hard $20 / email $20) - that half of the acceptance is met. REOPENED 2026-09-18: the region half is NOT met. Read from the Railway CLI, `region` is null on the service instance in BOTH environments - nothing was ever set explicitly. Railway therefore placed them by default: staging landed on US East, production landed on 'sfo' (San Francisco). The US East chip read in the console on 2026-09-18 was staging's. G-02 requires us-east4-eqdc4a, so production currently violates data residency. Fix is one serviceInstanceUpdate per environment setting region='us-east4-eqdc4a'; closes as soon as that is applied and must happen before Postgres exists under P2-OPS-01, because moving a database region later is exactly what G-02 was written to avoid. 2026-09-18 update: multiRegionConfig set to us-east4-eqdc4a on web in BOTH environments (the legacy `region` field is inert - Railway reads multiRegionConfig). web's running deployment still reports sfo and will move on its next redeploy, which this session is not permitted to trigger. CLOSED 2026-09-18: web's running deployment now reports multiRegionConfig {us-east4-eqdc4a: 1}. Both halves of the acceptance are met - region confirmed in the live deployment, billing and spend limits configured. 2026-09-18: set back to In progress under rcfworks at the user's instruction, so the whole Railway / Clerk / backend-setup cluster reads as one owned workstream. THE WORK ITSELF IS FINISHED and was completed on 2026-09-18 - the Date Done column still holds it. Status here signals ownership of the workstream, not that the work is outstanding. CLOSED 2026-09-23, verified in the console. PROJECT: sponsorX, environments production and staging; production runs web + Postgres-production. REGION: web is US East (Virginia, USA), matching A7's us-east4-eqdc4a. BILLING: Pro Workspace, card ending 1115, billing email rcarr@icarrefound.org. OWNERSHIP: the workspace reads 'rcarr-crypto's Project' — a personal workspace, confirmed by the user as the owner's own account and the one holding Pro; that is the BTG-controlled account for this purpose and the question is settled. SPEND ALERTS: compute hard limit $50 / email alert $25; agent hard limit $5 / alert $0 because nothing here uses Railway agents. Current usage $1.35 with $2.71 projected for the period against $20 included, so the limits are headroom against a runaway rather than a budget.</t>
        </is>
      </c>
    </row>
    <row r="13" ht="32.8" customHeight="1" s="75">
      <c r="A13" s="104" t="n">
        <v>2</v>
      </c>
      <c r="B13" s="105" t="inlineStr">
        <is>
          <t>P0-PMO-07</t>
        </is>
      </c>
      <c r="C13" s="81" t="n">
        <v>0</v>
      </c>
      <c r="D13" s="82" t="inlineStr">
        <is>
          <t>Foundation &amp; Decisions</t>
        </is>
      </c>
      <c r="E13" s="104" t="inlineStr">
        <is>
          <t>PMO</t>
        </is>
      </c>
      <c r="F13" s="106" t="inlineStr">
        <is>
          <t>Document</t>
        </is>
      </c>
      <c r="G13" s="80" t="inlineStr">
        <is>
          <t>Author the RBAC matrix (§38 deliverable)</t>
        </is>
      </c>
      <c r="H13" s="107" t="inlineStr">
        <is>
          <t>A table: each of the 12 user roles down one side, every Phase 1 resource across the top, allow/deny in each cell. This table literally becomes the automated test suite later, so it has to be agreed by humans first.</t>
        </is>
      </c>
      <c r="I13" s="108" t="inlineStr">
        <is>
          <t>Done</t>
        </is>
      </c>
      <c r="J13" s="108" t="n">
        <v>3</v>
      </c>
      <c r="K13" s="109" t="inlineStr">
        <is>
          <t>2026-09-14</t>
        </is>
      </c>
      <c r="L13" s="109" t="inlineStr">
        <is>
          <t>2026-09-14</t>
        </is>
      </c>
      <c r="M13" s="110" t="inlineStr">
        <is>
          <t>rcfworks</t>
        </is>
      </c>
      <c r="N13" s="81" t="n">
        <v>3</v>
      </c>
      <c r="O13" s="80" t="n"/>
      <c r="P13" s="80" t="inlineStr">
        <is>
          <t>All 12 roles × every Phase 1 resource, in a table, agreed — this becomes the authz test suite</t>
        </is>
      </c>
      <c r="Q13" s="82" t="inlineStr">
        <is>
          <t>§8, §38</t>
        </is>
      </c>
      <c r="R13" s="111" t="inlineStr">
        <is>
          <t>2026-09-14 DRAFTED, awaiting sign-off - documentation/SponsorX-RBAC-Matrix.md v0.1. 12 roles from blueprint S8 (which the graphify-converted copy has LOST - read the Drive original). Roles map 1:1 to the Prisma Role enum in the Implementation Guide V2. Task wording amended by PR in the phase doc: the original described a flat roles x resources grid, which cannot express ownership (PROPERTY_MGR may read own-property athletes, not other-property). Now 4 axes: role x resource(+field) x action x ownership. 85 active test cases + 3 deferred, in the S09 CASES format ready to lift into authz.matrix.test.ts. NOT DONE: acceptance requires 'agreed'; 5 open decisions D1-D5 need human answers (D1 guardian accept for minor - S8 explicitly defers; D2 athlete sees sponsor price; D3 property mgr sees roster earnings - legal; D4 sales sees athlete rates; D5 athlete sees own score). | DONE 2026-09-14. All five decisions adopted at the RESTRICTIVE option, so each can only be loosened later by a deliberate recorded decision: D1 guardian authorises AND athlete accepts (both required for a minor); D2 athlete does not see sponsor price; D3 property mgr does not see individual earnings; D4 sales cannot see athlete rates; D5 athlete sees tier not factor scores. Matrix promoted to v1.0, 91 active test cases, no deferred rows. D1 and D3 remain SUBJECT TO LEGAL CONFIRMATION - D1 ties to the open guardian e-signature question, D3 to whatever school/club agreements say; confirmation can only ratify or tighten, so neither blocks.</t>
        </is>
      </c>
    </row>
    <row r="14" ht="32.8" customHeight="1" s="75">
      <c r="A14" s="112" t="n">
        <v>2.5</v>
      </c>
      <c r="B14" s="113" t="inlineStr">
        <is>
          <t>P0-OPS-06</t>
        </is>
      </c>
      <c r="C14" s="85" t="n">
        <v>0</v>
      </c>
      <c r="D14" s="86" t="inlineStr">
        <is>
          <t>Foundation &amp; Decisions</t>
        </is>
      </c>
      <c r="E14" s="123" t="inlineStr">
        <is>
          <t>OPS</t>
        </is>
      </c>
      <c r="F14" s="124" t="inlineStr">
        <is>
          <t>Vendor console</t>
        </is>
      </c>
      <c r="G14" s="84" t="inlineStr">
        <is>
          <t>Register the SponsorX domain and hold the DNS</t>
        </is>
      </c>
      <c r="H14" s="116" t="inlineStr">
        <is>
          <t>Buy the domain the whole product is addressed at, and keep control of its DNS. Nothing in the programme registers one, yet three separate threads assume it exists.</t>
        </is>
      </c>
      <c r="I14" s="108" t="inlineStr">
        <is>
          <t>Done</t>
        </is>
      </c>
      <c r="J14" s="108" t="n">
        <v>1</v>
      </c>
      <c r="K14" s="109" t="inlineStr">
        <is>
          <t>2026-09-18</t>
        </is>
      </c>
      <c r="L14" s="109" t="n">
        <v>46288</v>
      </c>
      <c r="M14" s="110" t="inlineStr">
        <is>
          <t>management</t>
        </is>
      </c>
      <c r="N14" s="85" t="n">
        <v>1</v>
      </c>
      <c r="O14" s="84" t="inlineStr">
        <is>
          <t>None</t>
        </is>
      </c>
      <c r="P14" s="84" t="inlineStr">
        <is>
          <t>Domain registered to a BTG-controlled account with auto-renew and registrar lock on; DNS managed somewhere the team can add records; the chosen name recorded in .claude/stack-decision.md</t>
        </is>
      </c>
      <c r="Q14" s="86" t="inlineStr">
        <is>
          <t>§38, Guide §10</t>
        </is>
      </c>
      <c r="R14" s="111" t="inlineStr">
        <is>
          <t>Raised 2026-09-18. NOT A TASK DEPENDENCY - a real-world prerequisite the Depends On column cannot express, which is why three tasks have been quietly waiting on it. Blocks: P0-OPS-03 (a Clerk PRODUCTION instance needs a domain - that row has sat In progress since 2026-09-14 for exactly this), P2-OPS-11 (HTTP error rate needs web to be reachable, and web has no public domain in either environment), and SHORT_LINK_DOMAIN for the fan QR and tracking routes, which Guide §10 says must be owned rather than a third-party shortener. FINDING 2026-09-18: sponsorx.com is ALREADY REGISTERED to someone else (AWS nameservers), as are sponsorx.io, .app, .co and .pro. The Implementation Guide assumes sponsorx.com and app.sponsorx.com throughout, so that assumption is dead and the guide needs correcting once a name is chosen. No DNS records found for: sponsorx.us, sponsorx.dev, sponsorx.team, sponsorx.network, sponsorx.sport, btgsponsorx.com, joinsponsorx.com - availability must still be confirmed at a registrar, since no DNS is not the same as unregistered. IN PROGRESS 2026-09-18, HANDED TO MANAGEMENT: the developer has no card access, so the purchase itself is management's to complete. Everything up to payment is prepared - Cloudflare account exists (Rcarr@icarrefound.org), RECOMMENDED NAME sponsorx.us at $6.50/yr (exact brand, and the .us US-nexus requirement matches NIL being US law and the US-only residency decision); fallback sponsorx.net at $11.86 if WHOIS privacy is wanted, because .us publishes registrant data with no redaction option. Registrant: Organization = the legal entity (NOT a personal name), contact rcarr@icarrefound.org, +1 443 985 3256, 2601 Pennsylvania Ave, Baltimore, MD 21217, United States. After purchase: turn auto-renew AND registrar lock on, add no DNS records yet. | 2026-09-28: sponsorx.net NOW SERVES PRODUCTION. Railway custom domain on production web (CNAME @ → c0ojxycv.up.railway.app, DNS only; TXT _railway-verify), verified, TLS certificate valid; public pages 200, portals redirect to /login, sign-in page uses the live Clerk instance (clerk.sponsorx.net). Records added in the Cloudflare dashboard by the user — the repo's CLOUDFLARE_API_TOKEN is account-scoped with no DNS permission on the zone. Row stays In progress: auto-renew + registrar lock and the stack-decision.md note are the acceptance items not yet confirmed. | 2026-10-09: DONE — every clause was met on 2026-09-23 and recorded in .claude/stack-decision.md ("The domain — sponsorx.net"): Cloudflare account, auto-renew on (2027-08-19), registrar lock on, DNS on Cloudflare. Re-checked 2026-10-09: whois clientTransferProhibited, expires 2027-09-18, NS garrett/raegan.ns.cloudflare.com, https://sponsorx.net 200. The row was left In progress by mistake.</t>
        </is>
      </c>
    </row>
    <row r="15" ht="32.8" customHeight="1" s="75">
      <c r="A15" s="112" t="n">
        <v>3</v>
      </c>
      <c r="B15" s="113" t="inlineStr">
        <is>
          <t>P0-OPS-03</t>
        </is>
      </c>
      <c r="C15" s="85" t="n">
        <v>0</v>
      </c>
      <c r="D15" s="86" t="inlineStr">
        <is>
          <t>Foundation &amp; Decisions</t>
        </is>
      </c>
      <c r="E15" s="123" t="inlineStr">
        <is>
          <t>OPS</t>
        </is>
      </c>
      <c r="F15" s="124" t="inlineStr">
        <is>
          <t>Vendor console</t>
        </is>
      </c>
      <c r="G15" s="84" t="inlineStr">
        <is>
          <t>Create Clerk application (dev + production instances)</t>
        </is>
      </c>
      <c r="H15" s="116" t="inlineStr">
        <is>
          <t>Create the Clerk account with separate dev and production instances. Clerk handles login, passwords and MFA only — it never stores who belongs to which tenant or what they can do.</t>
        </is>
      </c>
      <c r="I15" s="108" t="inlineStr">
        <is>
          <t>Done</t>
        </is>
      </c>
      <c r="J15" s="108" t="n">
        <v>1</v>
      </c>
      <c r="K15" s="109" t="inlineStr">
        <is>
          <t>2026-09-14</t>
        </is>
      </c>
      <c r="L15" s="109" t="n">
        <v>46311</v>
      </c>
      <c r="M15" s="110" t="inlineStr">
        <is>
          <t>rcfworks</t>
        </is>
      </c>
      <c r="N15" s="85" t="n">
        <v>2</v>
      </c>
      <c r="O15" s="84" t="n"/>
      <c r="P15" s="84" t="inlineStr">
        <is>
          <t>Both instances exist (amended 2026-10-16 by the user: the MFA half is P2-INT-02's, closed when Clerk Pro is bought at launch)</t>
        </is>
      </c>
      <c r="Q15" s="86" t="inlineStr">
        <is>
          <t>Addendum A4, §26</t>
        </is>
      </c>
      <c r="R15" s="111" t="inlineStr">
        <is>
          <t>2026-10-16 DONE (rcfworks, the user's decision): both instances exist and production signs in on clerk.sponsorx.net; the MFA half of the old Done-when moved to P2-INT-02, which says the same thing. | 2026-09-14: Clerk account created, DEVELOPMENT instance 'SponsorXDev' exists. Free tier, no Pro purchased - MFA is Pro-only ($20/mo) and is a launch cost per provisioning sequence step 16, not now. PRODUCTION INSTANCE DELIBERATELY DEFERRED at the user's direction: it needs a domain BTG does not have yet, and there is nothing to deploy. Task stays In progress because 'Done when' requires both instances. No Clerk SDK installed - that is code work behind the B0 no-new-dependencies rule. 2026-09-21: PRODUCTION INSTANCE CREATED, so both instances now exist. The 2026-09-14 development instance 'SponsorXDev' was gone from the ICARRE FOUNDATION workspace (Applications list empty), so the application was recreated as 'SponsorX' - one Clerk application holds BOTH instances, which is why the old Dev-suffixed name was wrong. Settings: Consumer project type (NOT B2B - B2B turns on Clerk Organizations for roles, and Addendum A4 puts tenancy and roles in Postgres); Organizations off for the same reason; sign-in Email only, with phone off per G-06 (SMS out of Phase 1) and Google off to avoid a Google Cloud OAuth consent screen no task covers. app_3JcMVfla0x1djZe95U38EcsxfRP; dev ins_3JcMVgKOWFsPxVEQknFjjWg8d8k; prod ins_3JcQVIy69lPJqNJb4XcS0PHDe2o. PRODUCTION DOMAIN sponsorx.net, VERIFIED - the five CNAMEs were written by Cloudflare Domain Connect ('Configure automatically'), not by hand, which also guarantees they are DNS-only rather than proxied: clerk -&gt; frontend-api.clerk.services, accounts -&gt; accounts.clerk.services, clkmail -&gt; mail.p7c0i8jb74bp.clerk.services, clk._domainkey -&gt; dkim1..., clk2._domainkey -&gt; dkim2... All five confirmed resolving on 1.1.1.1 and 8.8.8.8, and SSL has since ISSUED for both clerk.sponsorx.net and accounts.sponsorx.net (Google Trust Services WE1, valid from 2026-09-21). No _dmarc TXT exists on the zone; Clerk did not add one and it is not one of the five, so it did not block verification. STILL IN PROGRESS - the 'Done when' has two halves and only the first is met. On the Hobby plan ALL THREE MFA strategies are Pro-badged: SMS verification (also unavailable because phone numbers are off, correct per G-06), Authenticator application, and Backup codes; 'Require multi-factor authentication' needs at least one strategy enabled, so it is unreachable too. This matches the 2026-09-14 finding and stays a launch cost at provisioning sequence step 16. Keys NOT captured anywhere yet - pk_live/sk_live go into Railway when P2-INT-01 installs the SDK, not into a local .env.local, per the B0 no-new-dependencies rule. 2026-09-21 DECISION: Phase 1 proceeds on the Hobby plan; the MFA half of this row's 'Done when' is deferred to launch by choice and the reasoning is recorded on P2-INT-02. | 2026-10-02 (HeckerCreatives, via Claude): NEW FINDING: the development instance is at Clerk's 100-user cap ('You have reached your limit of 100 users') — no new identity can be created: a new developer cannot sign up, and browser tests or walkthroughs needing a login they have not created before fail. Clear stale test users in the dashboard (e2e.* and old QA addresses). Not done here — deleting identities is the owner's call. | 2026-10-09 AUDIT: NOT MET — both instances exist (production clerk.sponsorx.net serves sign-in), but the production instance has NO MFA strategy enabled (authenticator app, backup codes, phone all off; second factor not required — read from clerk.sponsorx.net/v1/environment). Needs Clerk Pro, deferred to launch on 2026-09-21. Closes with P2-INT-02.</t>
        </is>
      </c>
    </row>
    <row r="16" ht="43.25" customHeight="1" s="75">
      <c r="A16" s="112" t="n">
        <v>7</v>
      </c>
      <c r="B16" s="113" t="inlineStr">
        <is>
          <t>P0-DATA-01</t>
        </is>
      </c>
      <c r="C16" s="85" t="n">
        <v>0</v>
      </c>
      <c r="D16" s="86" t="inlineStr">
        <is>
          <t>Foundation &amp; Decisions</t>
        </is>
      </c>
      <c r="E16" s="129" t="inlineStr">
        <is>
          <t>DATA</t>
        </is>
      </c>
      <c r="F16" s="130" t="inlineStr">
        <is>
          <t>Document</t>
        </is>
      </c>
      <c r="G16" s="84" t="inlineStr">
        <is>
          <t>Define the metric provenance taxonomy</t>
        </is>
      </c>
      <c r="H16" s="116" t="inlineStr">
        <is>
          <t>Agree the five honesty labels for numbers: verified by API, verified by a human checking, self-reported by the athlete, estimated, or attributed. Write the rule for when each applies.</t>
        </is>
      </c>
      <c r="I16" s="108" t="inlineStr">
        <is>
          <t>Done</t>
        </is>
      </c>
      <c r="J16" s="108" t="n">
        <v>1</v>
      </c>
      <c r="K16" s="109" t="inlineStr">
        <is>
          <t>2026-09-14</t>
        </is>
      </c>
      <c r="L16" s="109" t="inlineStr">
        <is>
          <t>2026-09-14</t>
        </is>
      </c>
      <c r="M16" s="110" t="inlineStr">
        <is>
          <t>rcfworks</t>
        </is>
      </c>
      <c r="N16" s="85" t="n">
        <v>1</v>
      </c>
      <c r="O16" s="84" t="n"/>
      <c r="P16" s="84" t="inlineStr">
        <is>
          <t>The five labels (verified-API / verified-manual / self-reported / estimated / attributed) defined with a written rule for when each applies</t>
        </is>
      </c>
      <c r="Q16" s="86" t="inlineStr">
        <is>
          <t>§22, §26</t>
        </is>
      </c>
      <c r="R16" s="111" t="inlineStr">
        <is>
          <t>2026-09-14 DRAFTED - documentation/SponsorX-Metric-Provenance-Taxonomy.md v0.1. Five labels defined with qualification rules and who may assign each. Adds the two rules the blueprint never gave: a DERIVED value takes the weakest of its inputs, and a ROLLUP takes the weakest of its parts; ATTRIBUTED propagates upward and sits off the strength ladder. Proposes splitting provenance into two fields - source (the five labels) and retrieval (the named path) - because the codebase already uses both conventions in one field. AUDIT FOUND 6 ISSUES, 3 high severity and 2 of those on the sponsor-facing report: F-1 campaign Total Views labelled VERIFIED_MANUAL but built from SELF_REPORTED athlete figures; F-2 Cost per View / per Engagement inherit the wrong provenance; F-3 'Primary Age' and 'Core Age' are audience demographics, out of scope for Phase 1 - remove, do not relabel. NOT DONE: 2 open decisions D1 (does VERIFIED_API cover our own instrumentation) and D2 (is the weakest-input rollup rule too harsh). No code changed. | FIXES APPLIED 2026-09-14 to src/lib/fixtures.ts: F-1 sponsor-report Total Views and Engagements VERIFIED_MANUAL -&gt; SELF_REPORTED (rollups of athlete-reported figures); F-2 Cost per View and Cost per Engagement follow their weakest input; F-3 'Primary Age' and 'Core Age' REMOVED from property and athlete stats - demographics are out of Phase 1 scope with no retrieval path. Each edit carries a comment citing the rule. F-4/F-5/F-6 outstanding, none on the sponsor report. BUILD VERIFIED 2026-09-14: npm ci + npm run build clean (27 routes, 21 static pages), tsc --noEmit clean, lint 0 errors / 1 pre-existing warning in t/[code]/route.ts. | DONE 2026-09-14, both decisions taken. D1: a SIXTH label added - VERIFIED_SYSTEM for events SponsorX records itself (QR scan, redemption), displayed as 'measured', and it outranks VERIFIED_API because we can audit ours end to end. VERIFIED_API narrows to mean an outside platform and its name is finally accurate. Costs one Prisma enum value. D2: rollups SHOW THEIR MIX with percentages, falling back to the weakest label only where a single value must fit. Implemented: SourceLabel takes six labels; Leads Generated and Rewards Redeemed -&gt; VERIFIED_SYSTEM (F-4). Build, typecheck and lint clean. STILL OPEN, neither on the sponsor report: F-5 property stats need stated evidence; F-6 homepage counters need the two-field source/retrieval change, which is a fixture SHAPE change and must land in the Prisma model too.</t>
        </is>
      </c>
    </row>
    <row r="17" ht="43.25" customHeight="1" s="75">
      <c r="A17" s="104" t="n">
        <v>8</v>
      </c>
      <c r="B17" s="105" t="inlineStr">
        <is>
          <t>P0-PMO-08</t>
        </is>
      </c>
      <c r="C17" s="81" t="n">
        <v>0</v>
      </c>
      <c r="D17" s="82" t="inlineStr">
        <is>
          <t>Foundation &amp; Decisions</t>
        </is>
      </c>
      <c r="E17" s="104" t="inlineStr">
        <is>
          <t>PMO</t>
        </is>
      </c>
      <c r="F17" s="106" t="inlineStr">
        <is>
          <t>Document</t>
        </is>
      </c>
      <c r="G17" s="80" t="inlineStr">
        <is>
          <t>Author the Zoho module + field mapping document (§38 deliverable)</t>
        </is>
      </c>
      <c r="H17" s="107" t="inlineStr">
        <is>
          <t>Map every SponsorX record to its Zoho equivalent, field by field, and say which system wins when they disagree. Without this, the two systems quietly drift apart.</t>
        </is>
      </c>
      <c r="I17" s="108" t="inlineStr">
        <is>
          <t>Done</t>
        </is>
      </c>
      <c r="J17" s="108" t="n">
        <v>3</v>
      </c>
      <c r="K17" s="109" t="inlineStr">
        <is>
          <t>2026-09-11</t>
        </is>
      </c>
      <c r="L17" s="109" t="inlineStr">
        <is>
          <t>2026-09-14</t>
        </is>
      </c>
      <c r="M17" s="110" t="inlineStr">
        <is>
          <t>rcfworks</t>
        </is>
      </c>
      <c r="N17" s="81" t="n">
        <v>2</v>
      </c>
      <c r="O17" s="80" t="n"/>
      <c r="P17" s="80" t="inlineStr">
        <is>
          <t>Every object in §18 mapped field-by-field, with direction and system-of-record owner per field</t>
        </is>
      </c>
      <c r="Q17" s="82" t="inlineStr">
        <is>
          <t>§18, §38</t>
        </is>
      </c>
      <c r="R17" s="111" t="inlineStr">
        <is>
          <t>2026-09-14 CORRECTION: row read Ready but the deliverable shipped 2026-09-11 - documentation/SponsorX-Zoho-Field-Mapping.md, all nine S18 objects mapped field by field. The Claude outputs copy never received that update. Awaiting review; one open item O-1 (Invoice/Payment Reference mapping) which is why Books credentials stay deferred. | REVIEWED + APPROVED 2026-09-14 by rcfworks. Approved WITH O-1 CARRIED. Eight of the nine S18 objects are mapped field by field; the ninth (Invoice/Payment Reference) stays open as O-1 because it depends on the Phase 1 payment policy, which is deliberately on the backburner. The eight mapped objects are what the sync gets built from, so holding the whole document for a deferred question helps nobody. Reopen if O-1 changes any mapped field.</t>
        </is>
      </c>
    </row>
    <row r="18" ht="43.25" customHeight="1" s="75">
      <c r="A18" s="112" t="n">
        <v>9</v>
      </c>
      <c r="B18" s="113" t="inlineStr">
        <is>
          <t>P0-OPS-02</t>
        </is>
      </c>
      <c r="C18" s="85" t="n">
        <v>0</v>
      </c>
      <c r="D18" s="86" t="inlineStr">
        <is>
          <t>Foundation &amp; Decisions</t>
        </is>
      </c>
      <c r="E18" s="123" t="inlineStr">
        <is>
          <t>OPS</t>
        </is>
      </c>
      <c r="F18" s="124" t="inlineStr">
        <is>
          <t>Vendor console</t>
        </is>
      </c>
      <c r="G18" s="84" t="inlineStr">
        <is>
          <t>Create Cloudflare R2 account and two buckets</t>
        </is>
      </c>
      <c r="H18" s="116" t="inlineStr">
        <is>
          <t>Set up Cloudflare R2 with two buckets: one private for contracts and draft creative, one public for published video. Different security rules — they must not share a policy.</t>
        </is>
      </c>
      <c r="I18" s="108" t="inlineStr">
        <is>
          <t>Done</t>
        </is>
      </c>
      <c r="J18" s="108" t="n">
        <v>1</v>
      </c>
      <c r="K18" s="109" t="inlineStr">
        <is>
          <t>2026-09-18</t>
        </is>
      </c>
      <c r="L18" s="109" t="inlineStr">
        <is>
          <t>2026-09-21</t>
        </is>
      </c>
      <c r="M18" s="110" t="inlineStr">
        <is>
          <t>rcfworks</t>
        </is>
      </c>
      <c r="N18" s="85" t="n">
        <v>2</v>
      </c>
      <c r="O18" s="84" t="inlineStr">
        <is>
          <t>P0-PMO-02</t>
        </is>
      </c>
      <c r="P18" s="84" t="inlineStr">
        <is>
          <t>Private and public buckets exist with separate policies; region set explicitly</t>
        </is>
      </c>
      <c r="Q18" s="86" t="inlineStr">
        <is>
          <t>Addendum A8</t>
        </is>
      </c>
      <c r="R18" s="111" t="inlineStr">
        <is>
          <t xml:space="preserve"> DONE 2026-09-21. R2 WAS NOT ENABLED AT ALL until today - this row had sat In progress since 2026-09-18 with empty notes, and the account's R2 page was still the activation screen. Worth knowing that an In progress row with no notes may mean 'not started'. Both buckets now exist, both pinned to EASTERN NORTH AMERICA (ENAM) by an explicit location hint. THE DEFAULT WOULD HAVE BEEN WRONG: Cloudflare's 'Automatic' placement offered ASIA PACIFIC on both creation screens, which would have put athlete agreements and minors' data outside the US-only residency decision (G-02) and a continent away from Railway's us-east4. Bucket location is PERMANENT, so this was a one-shot choice. Note R2's 'Specify jurisdiction' option does not help here - its only jurisdictions are eu and fedramp - so a location hint is the correct mechanism. SEPARATE POLICIES, which is the acceptance: sponsorx-private has Public Access DISABLED and no public hostname at all; sponsorx-public has the Public Development URL enabled at https://pub-7d82e60511bb4bdc9198b547f4e37fe9.r2.dev. VERIFIED FROM OUTSIDE THE ACCOUNT: the public host answers 404 from R2 itself (Server: cloudflare) for a missing object, proving it serves; the S3 API endpoint returns 400 for unsigned requests to BOTH buckets, proving that path always requires a signature. S3 API ENDPOINT for the backend's S3_ENDPOINT: https://0a10106029579f2496ccf0956745525c.r2.cloudflarestorage.com (the hex string is the Cloudflare account id; not a secret on its own). STILL TO DO, BELONGS ELSEWHERE: (1) the r2.dev URL is rate-limited and Cloudflare says explicitly it is not for production - a CUSTOM DOMAIN such as cdn.sponsorx.net should replace it before launch, and it is available today because sponsorx.net is in this same Cloudflare account. (2) A CORS POLICY on sponsorx-private is required before a phone can PUT to a presigned URL from a browser - cross-origin uploads fail without it. That belongs to P2-BE-08 once the app's real hostnames are known.</t>
        </is>
      </c>
    </row>
    <row r="19" ht="35.05" customHeight="1" s="75">
      <c r="A19" s="104" t="n">
        <v>10</v>
      </c>
      <c r="B19" s="105" t="inlineStr">
        <is>
          <t>P0-PMO-01</t>
        </is>
      </c>
      <c r="C19" s="81" t="n">
        <v>0</v>
      </c>
      <c r="D19" s="82" t="inlineStr">
        <is>
          <t>Foundation &amp; Decisions</t>
        </is>
      </c>
      <c r="E19" s="104" t="inlineStr">
        <is>
          <t>PMO</t>
        </is>
      </c>
      <c r="F19" s="106" t="inlineStr">
        <is>
          <t>Document</t>
        </is>
      </c>
      <c r="G19" s="80" t="inlineStr">
        <is>
          <t>Write the Phase 1 payment policy (G-01)</t>
        </is>
      </c>
      <c r="H19" s="107" t="inlineStr">
        <is>
          <t>DECISION GATE G-01 · Phase 1 payment policy — do we track payment status only, and collect no tax IDs?  —  One page stating that Phase 1 only tracks whether an athlete has been paid; money moves outside the system, no tax IDs collected. Required before any code touches earnings.</t>
        </is>
      </c>
      <c r="I19" s="108" t="inlineStr">
        <is>
          <t>Done</t>
        </is>
      </c>
      <c r="J19" s="108" t="n">
        <v>1</v>
      </c>
      <c r="K19" s="109" t="inlineStr">
        <is>
          <t>2026-09-15</t>
        </is>
      </c>
      <c r="L19" s="109" t="inlineStr">
        <is>
          <t>2026-09-17</t>
        </is>
      </c>
      <c r="M19" s="110" t="inlineStr">
        <is>
          <t>rcfworks</t>
        </is>
      </c>
      <c r="N19" s="81" t="n">
        <v>1</v>
      </c>
      <c r="O19" s="80" t="n"/>
      <c r="P19" s="80" t="inlineStr">
        <is>
          <t>One page, signed by whoever runs payouts, stating earnings-status-only and no tax ID collection</t>
        </is>
      </c>
      <c r="Q19" s="82" t="inlineStr">
        <is>
          <t>§37, Addendum A6</t>
        </is>
      </c>
      <c r="R19" s="111" t="inlineStr">
        <is>
          <t>Drafted 2026-09-15 as documentation/SponsorX-Phase1-Payment-Policy.md v0.1 and uploaded to the review folder in Google Drive as a Doc. Codifies the answer already settled in CLAUDE.md, the build roadmap and Addendum A6: earnings STATUS only, no tax ID, no bank details, money moves outside SponsorX. Six earning states match P7-BE-01's acceptance. NOT Done: acceptance requires a signature from whoever runs athlete payouts (rcfworks or Rodney). One open item for the signer - confirm nothing in the manual payout process pushes a tax ID into the app anyway. HELD at Code review 2026-09-16: approval needed is a signature from whoever runs athlete payouts, not a technical sign-off. Everything technical in it is agreed.</t>
        </is>
      </c>
    </row>
    <row r="20" ht="32.8" customHeight="1" s="75">
      <c r="A20" s="104" t="n">
        <v>12</v>
      </c>
      <c r="B20" s="105" t="inlineStr">
        <is>
          <t>P0-PMO-11</t>
        </is>
      </c>
      <c r="C20" s="81" t="n">
        <v>0</v>
      </c>
      <c r="D20" s="82" t="inlineStr">
        <is>
          <t>Foundation &amp; Decisions</t>
        </is>
      </c>
      <c r="E20" s="104" t="inlineStr">
        <is>
          <t>PMO</t>
        </is>
      </c>
      <c r="F20" s="120" t="inlineStr">
        <is>
          <t>Code</t>
        </is>
      </c>
      <c r="G20" s="80" t="inlineStr">
        <is>
          <t>Re-verify and pin all dependency versions</t>
        </is>
      </c>
      <c r="H20" s="107" t="inlineStr">
        <is>
          <t>Check every library version against the registry and pin it exactly. A minor version bump breaking the build on a Tuesday is a cost a two-person team cannot absorb.</t>
        </is>
      </c>
      <c r="I20" s="108" t="inlineStr">
        <is>
          <t>Done</t>
        </is>
      </c>
      <c r="J20" s="108" t="n">
        <v>1</v>
      </c>
      <c r="K20" s="109" t="inlineStr">
        <is>
          <t>2026-09-15</t>
        </is>
      </c>
      <c r="L20" s="109" t="inlineStr">
        <is>
          <t>2026-09-15</t>
        </is>
      </c>
      <c r="M20" s="110" t="inlineStr">
        <is>
          <t>rcfworks</t>
        </is>
      </c>
      <c r="N20" s="81" t="n">
        <v>1</v>
      </c>
      <c r="O20" s="80" t="n"/>
      <c r="P20" s="80" t="inlineStr">
        <is>
          <t>Every package in Guide §01 re-checked against the registry and pinned exactly, no carets</t>
        </is>
      </c>
      <c r="Q20" s="82" t="inlineStr">
        <is>
          <t>Guide §01</t>
        </is>
      </c>
      <c r="R20" s="111" t="inlineStr">
        <is>
          <t>Registry re-verified 2026-09-15: 19 Guide §01 packages + 8 package.json toolchain packages. 7 carets removed; lockfile specs refreshed. npm run build passes. Open finding for P2-BE-01: @types/node pinned 20.19.43 but runtime is Node 24.21.0.</t>
        </is>
      </c>
    </row>
    <row r="21" ht="32.8" customHeight="1" s="75">
      <c r="A21" s="112" t="n">
        <v>13</v>
      </c>
      <c r="B21" s="113" t="inlineStr">
        <is>
          <t>P0-PMO-03</t>
        </is>
      </c>
      <c r="C21" s="85" t="n">
        <v>0</v>
      </c>
      <c r="D21" s="86" t="inlineStr">
        <is>
          <t>Foundation &amp; Decisions</t>
        </is>
      </c>
      <c r="E21" s="112" t="inlineStr">
        <is>
          <t>PMO</t>
        </is>
      </c>
      <c r="F21" s="130" t="inlineStr">
        <is>
          <t>Document</t>
        </is>
      </c>
      <c r="G21" s="84" t="inlineStr">
        <is>
          <t>Select transactional email provider (G-04)</t>
        </is>
      </c>
      <c r="H21" s="116" t="inlineStr">
        <is>
          <t>DECISION GATE G-04 · Transactional email provider — Resend, Postmark or SES?  —  Choose who sends your emails — Resend, Postmark or SES. The whole campaign loop is email, so this is not optional, but it is a small decision.</t>
        </is>
      </c>
      <c r="I21" s="108" t="inlineStr">
        <is>
          <t>Done</t>
        </is>
      </c>
      <c r="J21" s="108" t="n">
        <v>1</v>
      </c>
      <c r="K21" s="109" t="inlineStr">
        <is>
          <t>2026-09-15</t>
        </is>
      </c>
      <c r="L21" s="109" t="inlineStr">
        <is>
          <t>2026-09-16</t>
        </is>
      </c>
      <c r="M21" s="110" t="inlineStr">
        <is>
          <t>rcfworks</t>
        </is>
      </c>
      <c r="N21" s="85" t="n">
        <v>2</v>
      </c>
      <c r="O21" s="84" t="n"/>
      <c r="P21" s="84" t="inlineStr">
        <is>
          <t>Vendor chosen; single send-interface abstraction agreed so it stays reversible</t>
        </is>
      </c>
      <c r="Q21" s="86" t="inlineStr">
        <is>
          <t>Addendum A1</t>
        </is>
      </c>
      <c r="R21" s="111" t="inlineStr">
        <is>
          <t>Decided 2026-09-15: RESEND, behind a single internal send interface (no feature code imports the SDK; templates ours not the vendor's; sends queued not inline). Postmark is the fallback, not SES. Doc in repo + Drive review folder. Blocker noted: every provider needs DNS verification and BTG has no domain. APPROVED 2026-09-16: technical approval given, moved Code review -&gt; Done.</t>
        </is>
      </c>
    </row>
    <row r="22" ht="43.25" customHeight="1" s="75">
      <c r="A22" s="104" t="n">
        <v>14</v>
      </c>
      <c r="B22" s="105" t="inlineStr">
        <is>
          <t>P0-PMO-05</t>
        </is>
      </c>
      <c r="C22" s="81" t="n">
        <v>0</v>
      </c>
      <c r="D22" s="82" t="inlineStr">
        <is>
          <t>Foundation &amp; Decisions</t>
        </is>
      </c>
      <c r="E22" s="104" t="inlineStr">
        <is>
          <t>PMO</t>
        </is>
      </c>
      <c r="F22" s="106" t="inlineStr">
        <is>
          <t>Document</t>
        </is>
      </c>
      <c r="G22" s="80" t="inlineStr">
        <is>
          <t>Confirm the sponsor report deliverable format (G-07)</t>
        </is>
      </c>
      <c r="H22" s="107" t="inlineStr">
        <is>
          <t>DECISION GATE G-07 · Sponsor report format — is a downloadable PDF required, or is the screen enough?  —  Decide whether sponsors need a downloadable PDF report, or whether the on-screen report is enough. This determines whether a whole PDF-rendering job gets built.</t>
        </is>
      </c>
      <c r="I22" s="108" t="inlineStr">
        <is>
          <t>Done</t>
        </is>
      </c>
      <c r="J22" s="108" t="n">
        <v>1</v>
      </c>
      <c r="K22" s="109" t="inlineStr">
        <is>
          <t>2026-09-15</t>
        </is>
      </c>
      <c r="L22" s="109" t="inlineStr">
        <is>
          <t>2026-09-16</t>
        </is>
      </c>
      <c r="M22" s="110" t="inlineStr">
        <is>
          <t>rcfworks</t>
        </is>
      </c>
      <c r="N22" s="81" t="n">
        <v>3</v>
      </c>
      <c r="O22" s="80" t="n"/>
      <c r="P22" s="80" t="inlineStr">
        <is>
          <t>Written answer on whether a rendered PDF is required or screen 12 suffices</t>
        </is>
      </c>
      <c r="Q22" s="82" t="inlineStr">
        <is>
          <t>Addendum A10</t>
        </is>
      </c>
      <c r="R22" s="111" t="inlineStr">
        <is>
          <t>Recommended 2026-09-15: a FILE is required (the renewal signer often never logs in), but in Phase 1 via a PRINT STYLESHEET, not a server-rendered PDF. Separating 'sponsor needs a file' from 'system must render it unattended' is what removes the PDF worker. Provenance labels must survive into print. Doc in repo + Drive. APPROVED 2026-09-16: technical approval given, moved Code review -&gt; Done.</t>
        </is>
      </c>
    </row>
    <row r="23" ht="35.05" customHeight="1" s="75">
      <c r="A23" s="112" t="n">
        <v>15</v>
      </c>
      <c r="B23" s="113" t="inlineStr">
        <is>
          <t>P0-PMO-09</t>
        </is>
      </c>
      <c r="C23" s="85" t="n">
        <v>0</v>
      </c>
      <c r="D23" s="86" t="inlineStr">
        <is>
          <t>Foundation &amp; Decisions</t>
        </is>
      </c>
      <c r="E23" s="112" t="inlineStr">
        <is>
          <t>PMO</t>
        </is>
      </c>
      <c r="F23" s="130" t="inlineStr">
        <is>
          <t>Document</t>
        </is>
      </c>
      <c r="G23" s="84" t="inlineStr">
        <is>
          <t>Confirm the SX-01…SX-07 job catalogue economics</t>
        </is>
      </c>
      <c r="H23" s="116" t="inlineStr">
        <is>
          <t>Have the business confirm the seven job types (SX-01 to SX-07) and their pay/price bands. These numbers get loaded into the database as the rate card.</t>
        </is>
      </c>
      <c r="I23" s="108" t="inlineStr">
        <is>
          <t>Done</t>
        </is>
      </c>
      <c r="J23" s="108" t="n">
        <v>1</v>
      </c>
      <c r="K23" s="109" t="inlineStr">
        <is>
          <t>2026-09-15</t>
        </is>
      </c>
      <c r="L23" s="109" t="inlineStr">
        <is>
          <t>2026-09-17</t>
        </is>
      </c>
      <c r="M23" s="110" t="inlineStr">
        <is>
          <t>rcfworks</t>
        </is>
      </c>
      <c r="N23" s="85" t="n">
        <v>1</v>
      </c>
      <c r="O23" s="84" t="n"/>
      <c r="P23" s="84" t="inlineStr">
        <is>
          <t>Base pay and sell price bands confirmed by the business; these seed NilJob</t>
        </is>
      </c>
      <c r="Q23" s="86" t="inlineStr">
        <is>
          <t>§5</t>
        </is>
      </c>
      <c r="R23" s="111" t="inlineStr">
        <is>
          <t>Transcribed from §5 2026-09-15; awaiting business confirmation. FINDING: the §6 tier multiplier is applied to athlete pay but nothing protects the sell floor - at the top of the base band a Premium (1.5x) athlete costs MORE than the sell floor on ALL SEVEN jobs (SX-07 is -$375; SX-02/03/04/06 are -$25; SX-01 is exactly $0). Creator tier also goes negative on SX-07. Midpoint margins are healthy and consistent at 60-67%. Recommended fix: a floor rule (price &gt;= athlete cost x 1.4). HELD at Code review 2026-09-16: the outstanding approval is commercial, not technical. The document reports that athlete cost exceeds the sell floor on all seven jobs at the top of the base band with a Premium athlete (SX-07 by $375, SX-01 landing at exactly $0) and recommends a floor rule of price &gt;= athlete cost x 1.4. Closing it needs a pricing decision from whoever owns rate cards. RESOLVED 2026-09-18: the margin collision is answered by P0-PMO-13 - floor rule at 1.4x with per-tier derived sell floors; SX-07 sell floor rises to $1,050.</t>
        </is>
      </c>
    </row>
    <row r="24" ht="32.8" customHeight="1" s="75">
      <c r="A24" s="104" t="n">
        <v>16</v>
      </c>
      <c r="B24" s="105" t="inlineStr">
        <is>
          <t>P0-PMO-10</t>
        </is>
      </c>
      <c r="C24" s="81" t="n">
        <v>0</v>
      </c>
      <c r="D24" s="82" t="inlineStr">
        <is>
          <t>Foundation &amp; Decisions</t>
        </is>
      </c>
      <c r="E24" s="104" t="inlineStr">
        <is>
          <t>PMO</t>
        </is>
      </c>
      <c r="F24" s="106" t="inlineStr">
        <is>
          <t>Document</t>
        </is>
      </c>
      <c r="G24" s="80" t="inlineStr">
        <is>
          <t>Confirm the six sponsor packages and their inventory</t>
        </is>
      </c>
      <c r="H24" s="107" t="inlineStr">
        <is>
          <t>Confirm the six sponsor packages — Test Drive through Season Partner — with prices, athlete counts and what is included in each.</t>
        </is>
      </c>
      <c r="I24" s="108" t="inlineStr">
        <is>
          <t>Done</t>
        </is>
      </c>
      <c r="J24" s="108" t="n">
        <v>1</v>
      </c>
      <c r="K24" s="109" t="inlineStr">
        <is>
          <t>2026-09-15</t>
        </is>
      </c>
      <c r="L24" s="109" t="inlineStr">
        <is>
          <t>2026-09-17</t>
        </is>
      </c>
      <c r="M24" s="110" t="inlineStr">
        <is>
          <t>rcfworks</t>
        </is>
      </c>
      <c r="N24" s="81" t="n">
        <v>1</v>
      </c>
      <c r="O24" s="80" t="n"/>
      <c r="P24" s="80" t="inlineStr">
        <is>
          <t>Name, price band, athlete count and inventory JSON confirmed per package</t>
        </is>
      </c>
      <c r="Q24" s="82" t="inlineStr">
        <is>
          <t>§7</t>
        </is>
      </c>
      <c r="R24" s="111" t="inlineStr">
        <is>
          <t>Transcribed from §7 2026-09-15; awaiting business confirmation. FINDING: no package states which NIL jobs it contains, and price is fixed while athlete count is a range - Athlete Takeover at ~$10k swings from 83% margin to -31% depending on job mix. Cannot be seeded as a priced product until inventory is expressed in job codes; proposed line items included. Also: Local Blitz and 10-Athlete Blitz overlap at $2,500/10 athletes; 'iMC/BTG feature' has no cost line. HELD at Code review 2026-09-16: the outstanding approval is commercial, not technical. Packages cannot be seeded until each names its job codes; Athlete Takeover swings 83% to -31% margin on job mix alone. Needs a pricing/inventory decision, then it can close. RESOLVED 2026-09-18: line items, the Blitz overlap and the iMC/BTG feature are all answered by P0-PMO-13; P3-BE-11 can now seed.</t>
        </is>
      </c>
    </row>
    <row r="25" ht="32.8" customHeight="1" s="75">
      <c r="A25" s="104" t="n">
        <v>16.5</v>
      </c>
      <c r="B25" s="105" t="inlineStr">
        <is>
          <t>P0-PMO-13</t>
        </is>
      </c>
      <c r="C25" s="81" t="n">
        <v>0</v>
      </c>
      <c r="D25" s="82" t="inlineStr">
        <is>
          <t>Foundation &amp; Decisions</t>
        </is>
      </c>
      <c r="E25" s="104" t="inlineStr">
        <is>
          <t>PMO</t>
        </is>
      </c>
      <c r="F25" s="106" t="inlineStr">
        <is>
          <t>Document</t>
        </is>
      </c>
      <c r="G25" s="80" t="inlineStr">
        <is>
          <t>Decide the margin floor rule and tier-derived sell floors</t>
        </is>
      </c>
      <c r="H25" s="107" t="inlineStr">
        <is>
          <t>Answer the commercial question P0-PMO-09 and P0-PMO-10 documented but could not close: sponsor price may never fall below athlete cost x 1.4, and each job carries a sell floor derived from that rule at each athlete tier.</t>
        </is>
      </c>
      <c r="I25" s="108" t="inlineStr">
        <is>
          <t>Done</t>
        </is>
      </c>
      <c r="J25" s="108" t="n">
        <v>1</v>
      </c>
      <c r="K25" s="109" t="inlineStr">
        <is>
          <t>2026-09-18</t>
        </is>
      </c>
      <c r="L25" s="109" t="inlineStr">
        <is>
          <t>2026-09-18</t>
        </is>
      </c>
      <c r="M25" s="110" t="inlineStr">
        <is>
          <t>rcfworks</t>
        </is>
      </c>
      <c r="N25" s="81" t="n">
        <v>4</v>
      </c>
      <c r="O25" s="80" t="inlineStr">
        <is>
          <t>None</t>
        </is>
      </c>
      <c r="P25" s="80" t="inlineStr">
        <is>
          <t>Floor multiple, per-tier derived sell floors, the SX-07 band correction and the six packages job-code line items all recorded in a decision document</t>
        </is>
      </c>
      <c r="Q25" s="82" t="inlineStr">
        <is>
          <t>§5, §6, §7</t>
        </is>
      </c>
      <c r="R25" s="111" t="inlineStr">
        <is>
          <t>Raised 2026-09-18 from the pricing-collision analysis. Decision: floor rule at 1.4x (workbook option 1), with per-tier sell floors derived as base-band-top x tier multiplier x 1.4 rather than negotiated by hand. SX-07 sell band floor rises $750 to $1,050 because its base top equalled its old floor. Package line items adopted as proposed in P0-PMO-10 section 3; Local Blitz narrowed to $1,500-$2,400 / 5-9 athletes so 10-Athlete Blitz is a distinct product; iMC/BTG feature becomes a non-NIL inventory line with a record. ASSUMPTION recorded in the decision document: the sell-band floor is a real floor, so the rule is a hard block, not a warning - a discountable floor makes it decorative. Enforced by P3-BE-12.</t>
        </is>
      </c>
    </row>
    <row r="26" ht="43.25" customHeight="1" s="75">
      <c r="A26" s="112" t="n">
        <v>17</v>
      </c>
      <c r="B26" s="113" t="inlineStr">
        <is>
          <t>P0-DATA-03</t>
        </is>
      </c>
      <c r="C26" s="85" t="n">
        <v>0</v>
      </c>
      <c r="D26" s="86" t="inlineStr">
        <is>
          <t>Foundation &amp; Decisions</t>
        </is>
      </c>
      <c r="E26" s="129" t="inlineStr">
        <is>
          <t>DATA</t>
        </is>
      </c>
      <c r="F26" s="130" t="inlineStr">
        <is>
          <t>Document</t>
        </is>
      </c>
      <c r="G26" s="84" t="inlineStr">
        <is>
          <t>Define Content Value Score v1 factors and weights</t>
        </is>
      </c>
      <c r="H26" s="116" t="inlineStr">
        <is>
          <t>Agree the seven things that make up an athlete's score and how much each counts. Phase 1 is rules-based and manual; the algorithm comes much later.</t>
        </is>
      </c>
      <c r="I26" s="108" t="inlineStr">
        <is>
          <t>Done</t>
        </is>
      </c>
      <c r="J26" s="108" t="n">
        <v>1</v>
      </c>
      <c r="K26" s="109" t="inlineStr">
        <is>
          <t>2026-09-15</t>
        </is>
      </c>
      <c r="L26" s="109" t="inlineStr">
        <is>
          <t>2026-09-16</t>
        </is>
      </c>
      <c r="M26" s="110" t="inlineStr">
        <is>
          <t>rcfworks</t>
        </is>
      </c>
      <c r="N26" s="85" t="n">
        <v>1</v>
      </c>
      <c r="O26" s="84" t="n"/>
      <c r="P26" s="84" t="inlineStr">
        <is>
          <t>The seven §14 factors, their weights, and the manual inputs each depends on</t>
        </is>
      </c>
      <c r="Q26" s="86" t="inlineStr">
        <is>
          <t>§14</t>
        </is>
      </c>
      <c r="R26" s="111" t="inlineStr">
        <is>
          <t>Transcribed from §14 2026-09-15; awaiting confirmation. Seven factors totalling 100%: Engagement 25, Content Quality 20, Audience 15, Reliability 15, Geography 10, Sport/Brand Fit 10, Sponsor Performance 5. FINDING: only 20% (Reliability + Sponsor Performance) is system-observed; 50% is self-reported by the athlete being scored - so the score must never display as a bare number. Open: new-athlete handling (20% of score has no history) and who may see the score. APPROVED 2026-09-16: technical approval given, moved Code review -&gt; Done.</t>
        </is>
      </c>
    </row>
    <row r="27" ht="43.25" customHeight="1" s="75">
      <c r="A27" s="112" t="n">
        <v>19</v>
      </c>
      <c r="B27" s="113" t="inlineStr">
        <is>
          <t>P0-ART-01</t>
        </is>
      </c>
      <c r="C27" s="85" t="n">
        <v>0</v>
      </c>
      <c r="D27" s="86" t="inlineStr">
        <is>
          <t>Foundation &amp; Decisions</t>
        </is>
      </c>
      <c r="E27" s="114" t="inlineStr">
        <is>
          <t>ART</t>
        </is>
      </c>
      <c r="F27" s="115" t="inlineStr">
        <is>
          <t>Design tool</t>
        </is>
      </c>
      <c r="G27" s="84" t="inlineStr">
        <is>
          <t>Produce the ERD as a distributable diagram (§38 deliverable)</t>
        </is>
      </c>
      <c r="H27" s="116" t="inlineStr">
        <is>
          <t>Draw the database diagram so a developer can see the whole data model on one page. Needs the RBAC matrix first so the relationships are right.</t>
        </is>
      </c>
      <c r="I27" s="108" t="inlineStr">
        <is>
          <t>Done</t>
        </is>
      </c>
      <c r="J27" s="108" t="n">
        <v>3</v>
      </c>
      <c r="K27" s="109" t="inlineStr">
        <is>
          <t>2026-09-16</t>
        </is>
      </c>
      <c r="L27" s="109" t="inlineStr">
        <is>
          <t>2026-09-17</t>
        </is>
      </c>
      <c r="M27" s="110" t="inlineStr">
        <is>
          <t>rcfworks</t>
        </is>
      </c>
      <c r="N27" s="85" t="n">
        <v>1</v>
      </c>
      <c r="O27" s="84" t="inlineStr">
        <is>
          <t>P0-PMO-07</t>
        </is>
      </c>
      <c r="P27" s="84" t="inlineStr">
        <is>
          <t>All Phase 1 tables from §20 with relationships, readable at print size</t>
        </is>
      </c>
      <c r="Q27" s="86" t="inlineStr">
        <is>
          <t>§20, §38</t>
        </is>
      </c>
      <c r="R27" s="111" t="inlineStr">
        <is>
          <t>2026-09-14: unblocked - its only dependency P0-PMO-07 (RBAC matrix) completed today. Status corrected Blocked -&gt; Ready. Format decided 2026-09-16: drawn as Mermaid committed in documentation/, not in a design tool. The ERD has to stay in sync with the Prisma schema P2-BE-02 builds, so it must diff in git and regenerate; SVG/PNG exported from it satisfies "readable at print size". Claude Design is reserved for the visual ART tasks (P1-ART-05/06/07, P4-ART-01, P5-ART-01). Built 2026-09-16. Mermaid source documentation/diagrams/SponsorX-Phase1-ERD.mmd; rendered to SponsorX-Phase1-ERD.pdf, one A0 landscape sheet (prints at A0, scales to A1/A2) plus .svg. All 29 Implementation-Guide-V2 models drawn with relationships, PK/FK/UK and state columns; tenantId deliberately not drawn as an FK since it is an application-enforced scoping column (S26). COVERAGE FINDING, for P2-BE-02 to settle: five S20 tables are not modelled in V2 at all - sponsor_contacts, athlete_content_capabilities, athlete_brand_preferences, integration_connections - and roles/user_roles are collapsed into a Role[] array on User, which conflicts with S20 and CLAUDE.md and cannot carry a grant's scope or grantor. athlete_brand_preferences is the sharp one: S26's conflict check needs the athlete's restricted categories and only the sponsor side exists today. payouts is deliberately absent per G-01, not a gap. Full table-by-table audit in documentation/diagrams/README.md.</t>
        </is>
      </c>
    </row>
    <row r="28" ht="32.8" customHeight="1" s="75">
      <c r="A28" s="104" t="n">
        <v>20</v>
      </c>
      <c r="B28" s="105" t="inlineStr">
        <is>
          <t>P0-ART-02</t>
        </is>
      </c>
      <c r="C28" s="81" t="n">
        <v>0</v>
      </c>
      <c r="D28" s="82" t="inlineStr">
        <is>
          <t>Foundation &amp; Decisions</t>
        </is>
      </c>
      <c r="E28" s="117" t="inlineStr">
        <is>
          <t>ART</t>
        </is>
      </c>
      <c r="F28" s="118" t="inlineStr">
        <is>
          <t>Design tool</t>
        </is>
      </c>
      <c r="G28" s="80" t="inlineStr">
        <is>
          <t>Produce the state-machine diagrams (§38 deliverable)</t>
        </is>
      </c>
      <c r="H28" s="107" t="inlineStr">
        <is>
          <t>Draw the eight lifecycle diagrams — how an application, an invitation, a campaign order, a deliverable etc. move between states. Developers build directly from these.</t>
        </is>
      </c>
      <c r="I28" s="108" t="inlineStr">
        <is>
          <t>Done</t>
        </is>
      </c>
      <c r="J28" s="108" t="n">
        <v>3</v>
      </c>
      <c r="K28" s="109" t="inlineStr">
        <is>
          <t>2026-09-16</t>
        </is>
      </c>
      <c r="L28" s="109" t="inlineStr">
        <is>
          <t>2026-09-17</t>
        </is>
      </c>
      <c r="M28" s="110" t="inlineStr">
        <is>
          <t>rcfworks</t>
        </is>
      </c>
      <c r="N28" s="81" t="n"/>
      <c r="O28" s="80" t="n"/>
      <c r="P28" s="80" t="inlineStr">
        <is>
          <t>All eight §21 state machines drawn; athlete onboarding and Campaign Order are the two §38 names explicitly</t>
        </is>
      </c>
      <c r="Q28" s="82" t="inlineStr">
        <is>
          <t>§21, §38</t>
        </is>
      </c>
      <c r="R28" s="111" t="inlineStr">
        <is>
          <t>Format decided 2026-09-16: the eight state machines drawn as Mermaid stateDiagram-v2 committed in documentation/, not in a design tool. Developers build enums directly from these and P2-BE-02 consumes them, so they must diff in git alongside the schema; SVG/PNG exported for distribution. Built 2026-09-16. Eight Mermaid sources in documentation/diagrams/state-machines/; rendered to SponsorX-Phase1-State-Machines.pdf, 9 pages A3 portrait (cover + one machine per page) plus per-machine .svg. All eight S21 machines drawn including the two S38 names explicitly - Athlete Application and Campaign Order. Every unlabelled arrow is verbatim from S21. NINE arrows across six machines are labelled '(derived)': S21 gives forward paths only, leaving dead ends where a review requests changes, a payment hold is resolved or a pause is lifted. Those are proposals for P2-BE-02 to confirm when the enums and transition guards are written, not established requirements.</t>
        </is>
      </c>
    </row>
    <row r="29" ht="23.85" customHeight="1" s="75">
      <c r="A29" s="112" t="n">
        <v>21</v>
      </c>
      <c r="B29" s="113" t="inlineStr">
        <is>
          <t>P0-DATA-02</t>
        </is>
      </c>
      <c r="C29" s="85" t="n">
        <v>0</v>
      </c>
      <c r="D29" s="86" t="inlineStr">
        <is>
          <t>Foundation &amp; Decisions</t>
        </is>
      </c>
      <c r="E29" s="129" t="inlineStr">
        <is>
          <t>DATA</t>
        </is>
      </c>
      <c r="F29" s="130" t="inlineStr">
        <is>
          <t>Document</t>
        </is>
      </c>
      <c r="G29" s="84" t="inlineStr">
        <is>
          <t>Define the reward event taxonomy (§38 deliverable)</t>
        </is>
      </c>
      <c r="H29" s="116" t="inlineStr">
        <is>
          <t>Define exactly what counts as a scan, a landing, a claim and a redemption. If these are fuzzy, the whole reward funnel measures nothing.</t>
        </is>
      </c>
      <c r="I29" s="108" t="inlineStr">
        <is>
          <t>Done</t>
        </is>
      </c>
      <c r="J29" s="108" t="n">
        <v>1</v>
      </c>
      <c r="K29" s="109" t="inlineStr">
        <is>
          <t>2026-09-15</t>
        </is>
      </c>
      <c r="L29" s="109" t="inlineStr">
        <is>
          <t>2026-09-16</t>
        </is>
      </c>
      <c r="M29" s="110" t="inlineStr">
        <is>
          <t>rcfworks</t>
        </is>
      </c>
      <c r="N29" s="85" t="n"/>
      <c r="O29" s="84" t="inlineStr">
        <is>
          <t>None</t>
        </is>
      </c>
      <c r="P29" s="84" t="inlineStr">
        <is>
          <t>SCAN / LANDING / CLAIM / REDEEM defined with the exact trigger for each</t>
        </is>
      </c>
      <c r="Q29" s="86" t="inlineStr">
        <is>
          <t>§16, §38</t>
        </is>
      </c>
      <c r="R29" s="111" t="inlineStr">
        <is>
          <t>Defined 2026-09-15. SCAN (URL requested, before render, counts every request), LANDING (200 with reward content), CLAIM (consent given + token issued, deduped per fan - it IS the consent record), REDEEM (token marked used, once forever, enforced by a partial unique index). Only REDEEM is business outcome; presenting SCAN as a result is overselling. All four are verified-api. APPROVED 2026-09-16: technical approval given, moved Code review -&gt; Done.</t>
        </is>
      </c>
    </row>
    <row r="30" ht="23.85" customHeight="1" s="75">
      <c r="A30" s="112" t="n">
        <v>23</v>
      </c>
      <c r="B30" s="113" t="inlineStr">
        <is>
          <t>P0-OPS-04</t>
        </is>
      </c>
      <c r="C30" s="85" t="n">
        <v>0</v>
      </c>
      <c r="D30" s="86" t="inlineStr">
        <is>
          <t>Foundation &amp; Decisions</t>
        </is>
      </c>
      <c r="E30" s="123" t="inlineStr">
        <is>
          <t>OPS</t>
        </is>
      </c>
      <c r="F30" s="131" t="inlineStr">
        <is>
          <t>Zoho dashboard</t>
        </is>
      </c>
      <c r="G30" s="84" t="inlineStr">
        <is>
          <t>Provision Zoho API credentials and sandbox</t>
        </is>
      </c>
      <c r="H30" s="116" t="inlineStr">
        <is>
          <t>Get Zoho API credentials and a sandbox org, so sync can be built without touching real sales data.</t>
        </is>
      </c>
      <c r="I30" s="108" t="inlineStr">
        <is>
          <t>Done</t>
        </is>
      </c>
      <c r="J30" s="108" t="n">
        <v>1</v>
      </c>
      <c r="K30" s="109" t="inlineStr">
        <is>
          <t>2026-09-11</t>
        </is>
      </c>
      <c r="L30" s="109" t="inlineStr">
        <is>
          <t>2026-09-14</t>
        </is>
      </c>
      <c r="M30" s="110" t="inlineStr">
        <is>
          <t>rcfworks</t>
        </is>
      </c>
      <c r="N30" s="85" t="n"/>
      <c r="O30" s="84" t="n"/>
      <c r="P30" s="84" t="inlineStr">
        <is>
          <t>Client ID, secret and refresh token issued; a sandbox or test org available for sync development</t>
        </is>
      </c>
      <c r="Q30" s="86" t="inlineStr">
        <is>
          <t>§18</t>
        </is>
      </c>
      <c r="R30" s="111" t="inlineStr">
        <is>
          <t>In progress 2026-09-11. SPEC COMPLETE — documentation/SponsorX-Zoho-Credentials-and-Sandbox.md gives the exact OAuth scope list, the Railway env var contract and the two console runbooks. Scoped to Zoho CRM only; Books credentials deferred because the Invoice/Payment Reference mapping is still OPEN as O-1 (§7.7) and provisioning against a guess means reissuing. Scope list grants READ/CREATE/UPDATE and NO DELETE on any module, because §6.3 suspends records and never deletes them - so ZohoCRM.modules.ALL would only ever permit a violation of the mapping. REMAINING, both console click-work with no API: (1) create a Self Client at api-console.zoho.com and exchange a grant token for a refresh token, secrets going straight to Railway and never into chat, git or a ticket; (2) create the sandbox at Setup &gt; Developer Space &gt; Sandbox and report which sandbox types the edition offers, since a configuration-only sandbox cannot rehearse P8-INT-07's backfill against realistic volumes. The sandbox will inherit Content_Partners and the five SponsorX_ID fields, since Zoho clones from production. NOTE: licence paid_expiry is 2026-09-18 - confirm the renewal before issuing long-lived tokens. | 2026-09-14: authorising account decided - rcfworks@gmail.com, INTERIM. TWO KEYS, not a transfer (doc S9 rewritten 2026-09-14): dev key under rcfworks@gmail.com, production key created separately by Rodney under rcarr@icarrefound.org. Both valid at once; Rodney must create his own - it cannot be made for him. Dev key must never be what production runs on. Scope line flattened to paste-ready (S2.1a, 24 scopes). Sandbox type still unread - connector cannot answer, needs eyes on Setup page (S5 step 6). Railway absent, so secrets held in a password manager until sequence step 14. BLOCKER: Zoho licence paid_expiry 2026-09-18. | 2026-09-14 CREDENTIALS HALF DONE: Self Client created under rcfworks@gmail.com, all 24 scopes granted (none trimmed), refresh token issued and VERIFIED - GET /crm/v8/settings/modules returned HTTP 200 with 56 modules incl. Content_Partners. Acceptance criterion 2 met. Secrets in macOS Keychain, not Railway (P0-OPS-01 unstarted). REMAINING: sandbox (S5) - the only thing between this task and Done. | SANDBOX REQUESTED 2026-09-14: 'SponsorX-Dev', type Sample Data, provisioning (Zoho gives no ETA). Edition offers all three types - Configuration / Sample Data / Partial Data; Partial Data rejected deliberately because it copies real contacts and deals into a break-it environment (privacy call, not technical). Sandbox page is under Data Administration, not Developer Space. Web access via crmsandbox.zoho.com. STILL OPEN: sandbox token strategy (acceptance criterion 3). | DONE 2026-09-14. Sandbox SponsorX-Dev live (Sample Data) at crmsandbox.zoho.com/crm/sponsorxdev. Token strategy answered: the SAME Self Client serves both orgs - the sandbox appears under a 'Sandbox' heading on the API console Select Portal screen, and choosing it yields a separate refresh token. No sandbox token minted - nothing consumes one yet; whoever builds the sync issues it first. CAVEAT: secrets are in macOS Keychain, not Railway (P0-OPS-01 unstarted) - they move under P2-OPS-04. 2026-09-18: set back to In progress under rcfworks at the user's instruction, so the whole Railway / Clerk / backend-setup cluster reads as one owned workstream. THE WORK ITSELF IS FINISHED and was completed on 2026-09-14 - the Date Done column still holds it. Status here signals ownership of the workstream, not that the work is outstanding. CLOSED 2026-09-23. The work finished 2026-09-14; the row was held In progress from 2026-09-18 to signal ownership of the workstream, which the note itself says. Re-verified live today through the CRM connector: org 749122837 'iCARRe Foundation', type production, Zoho One Enterprise, 7 licences, paid_expiry 2026-10-18 — which clears the old blocker, recorded when expiry read 2026-09-18. Credentials: Self Client under rcfworks@gmail.com, 24 scopes, refresh token verified against /settings/modules. Sandbox: SponsorX-Dev, Sample Data, live at crmsandbox.zoho.com/crm/sponsorxdev. Deliberately NOT done and previously agreed: no sandbox refresh token minted (nothing consumes one; whoever builds the sync issues it) and no production key created (Rodney must create his own under rcarr@icarrefound.org). Secrets are in macOS Keychain and move to Railway under P2-OPS-04.</t>
        </is>
      </c>
    </row>
    <row r="31" ht="23.85" customHeight="1" s="75">
      <c r="A31" s="104" t="n">
        <v>24</v>
      </c>
      <c r="B31" s="105" t="inlineStr">
        <is>
          <t>P0-OPS-05</t>
        </is>
      </c>
      <c r="C31" s="81" t="n">
        <v>0</v>
      </c>
      <c r="D31" s="82" t="inlineStr">
        <is>
          <t>Foundation &amp; Decisions</t>
        </is>
      </c>
      <c r="E31" s="132" t="inlineStr">
        <is>
          <t>OPS</t>
        </is>
      </c>
      <c r="F31" s="133" t="inlineStr">
        <is>
          <t>Zoho dashboard</t>
        </is>
      </c>
      <c r="G31" s="80" t="inlineStr">
        <is>
          <t>Create the Athlete / Content Partner custom module in Zoho</t>
        </is>
      </c>
      <c r="H31" s="107" t="inlineStr">
        <is>
          <t>Click-work in the Zoho CRM admin UI: Setup → Modules and Fields → Create Module, then add the fields the mapping document specifies. This is the only object in §18 with no home in your CRM — Accounts, Contacts, Leads, Deals, Tasks and Campaigns all exist as stock modules already. It must come AFTER P0-PMO-08, because the mapping document is what says which fields the module needs; building it first means building it twice. rcfworks@gmail.com holds the Administrator profile, so no one else's permission is required.</t>
        </is>
      </c>
      <c r="I31" s="108" t="inlineStr">
        <is>
          <t>Done</t>
        </is>
      </c>
      <c r="J31" s="108" t="n">
        <v>3</v>
      </c>
      <c r="K31" s="109" t="inlineStr">
        <is>
          <t>2026-09-11</t>
        </is>
      </c>
      <c r="L31" s="109" t="inlineStr">
        <is>
          <t>2026-09-11</t>
        </is>
      </c>
      <c r="M31" s="110" t="inlineStr">
        <is>
          <t>rcfworks</t>
        </is>
      </c>
      <c r="N31" s="81" t="n"/>
      <c r="O31" s="80" t="inlineStr">
        <is>
          <t>P0-PMO-08</t>
        </is>
      </c>
      <c r="P31" s="80" t="inlineStr">
        <is>
          <t>The Athlete / Content Partner custom module exists in Zoho with every field the mapping document specifies, and its API name is recorded for the sync code to use</t>
        </is>
      </c>
      <c r="Q31" s="82" t="inlineStr">
        <is>
          <t>§18, §38</t>
        </is>
      </c>
      <c r="R31" s="111" t="inlineStr">
        <is>
          <t>2026-09-14 CORRECTION: row read Blocked but the work was completed 2026-09-11 and the Claude outputs copy never received that update. VERIFIED LIVE 2026-09-14 via the Zoho CRM API - GET /crm/v8/settings/modules returns the Content_Partners custom module (label 'Content Partners') in org 749122837. It demonstrably exists. 2026-09-18: set back to In progress under rcfworks at the user's instruction, so the whole Railway / Clerk / backend-setup cluster reads as one owned workstream. THE WORK ITSELF IS FINISHED and was completed on 2026-09-11 - the Date Done column still holds it. Status here signals ownership of the workstream, not that the work is outstanding. CLOSED 2026-09-23. Work finished 2026-09-11, held In progress from 2026-09-18 for workstream ownership. RE-VERIFIED LIVE TODAY through the connector, field by field against §6.2.1 of SponsorX-Zoho-Field-Mapping.md: Content_Partners carries all eleven — Name, SponsorX_ID, Public_Profile_URL, Sport, Home_State, Tier, Network_Status, Approved_On, Guardian_Auth_Required, Property_Name, Last_Synced (27 fields total, 10 custom plus the display field). API name for the sync code is Content_Partners, recorded in the mapping document. Carry forward for whoever writes the sync: Zoho prepends -None- to every picklist as its empty option, so send an omitted field rather than that literal; and mandatory is a LAYOUT property that the field-creation API cannot set, so §6.2's Req column is not enforced in Zoho for SponsorX_ID, Sport and Network_Status.</t>
        </is>
      </c>
    </row>
    <row r="32" ht="23.85" customHeight="1" s="75">
      <c r="A32" s="112" t="n">
        <v>25</v>
      </c>
      <c r="B32" s="113" t="inlineStr">
        <is>
          <t>P0-PMO-04</t>
        </is>
      </c>
      <c r="C32" s="85" t="n">
        <v>0</v>
      </c>
      <c r="D32" s="86" t="inlineStr">
        <is>
          <t>Foundation &amp; Decisions</t>
        </is>
      </c>
      <c r="E32" s="112" t="inlineStr">
        <is>
          <t>PMO</t>
        </is>
      </c>
      <c r="F32" s="130" t="inlineStr">
        <is>
          <t>Document</t>
        </is>
      </c>
      <c r="G32" s="84" t="inlineStr">
        <is>
          <t>Decide SMS in/out for Phase 1 (G-06)</t>
        </is>
      </c>
      <c r="H32" s="116" t="inlineStr">
        <is>
          <t>DECISION GATE G-06 · SMS in Phase 1 — in or out? Default is out.  —  Decide whether text messages are in Phase 1. Default is no — it adds a vendor for little gain right now.</t>
        </is>
      </c>
      <c r="I32" s="108" t="inlineStr">
        <is>
          <t>Done</t>
        </is>
      </c>
      <c r="J32" s="108" t="n">
        <v>1</v>
      </c>
      <c r="K32" s="109" t="inlineStr">
        <is>
          <t>2026-09-15</t>
        </is>
      </c>
      <c r="L32" s="109" t="inlineStr">
        <is>
          <t>2026-09-16</t>
        </is>
      </c>
      <c r="M32" s="110" t="inlineStr">
        <is>
          <t>rcfworks</t>
        </is>
      </c>
      <c r="N32" s="85" t="n"/>
      <c r="O32" s="84" t="n"/>
      <c r="P32" s="84" t="inlineStr">
        <is>
          <t>Written decision; if out, no TWILIO_* appears in any environment</t>
        </is>
      </c>
      <c r="Q32" s="86" t="inlineStr">
        <is>
          <t>Addendum A1</t>
        </is>
      </c>
      <c r="R32" s="111" t="inlineStr">
        <is>
          <t>Decided 2026-09-15: SMS is OUT of Phase 1. Compliance surface (consent, opt-out, quiet hours, plus parental consent for minors) is not worth adding while the fan-PII reward funnel is still unreviewed. Already enforced - no twilio package installed by P2-BE-01, and no TWILIO_* in any environment. Returns behind the G-04 send interface as one more adapter. APPROVED 2026-09-16: technical approval given, moved Code review -&gt; Done.</t>
        </is>
      </c>
    </row>
    <row r="33" ht="32.8" customHeight="1" s="75">
      <c r="A33" s="104" t="n">
        <v>26</v>
      </c>
      <c r="B33" s="105" t="inlineStr">
        <is>
          <t>P0-PMO-06</t>
        </is>
      </c>
      <c r="C33" s="81" t="n">
        <v>0</v>
      </c>
      <c r="D33" s="82" t="inlineStr">
        <is>
          <t>Foundation &amp; Decisions</t>
        </is>
      </c>
      <c r="E33" s="104" t="inlineStr">
        <is>
          <t>PMO</t>
        </is>
      </c>
      <c r="F33" s="106" t="inlineStr">
        <is>
          <t>Document</t>
        </is>
      </c>
      <c r="G33" s="80" t="inlineStr">
        <is>
          <t>Confirm the PDF worker has a real requirement</t>
        </is>
      </c>
      <c r="H33" s="107" t="inlineStr">
        <is>
          <t>PDF generation appears nowhere in the 39-section blueprint, yet it shaped the entire hosting decision. Confirm somebody actually needs it before it shapes anything else.</t>
        </is>
      </c>
      <c r="I33" s="108" t="inlineStr">
        <is>
          <t>Done</t>
        </is>
      </c>
      <c r="J33" s="108" t="n">
        <v>1</v>
      </c>
      <c r="K33" s="109" t="inlineStr">
        <is>
          <t>2026-09-15</t>
        </is>
      </c>
      <c r="L33" s="109" t="inlineStr">
        <is>
          <t>2026-09-16</t>
        </is>
      </c>
      <c r="M33" s="110" t="inlineStr">
        <is>
          <t>rcfworks</t>
        </is>
      </c>
      <c r="N33" s="81" t="n"/>
      <c r="O33" s="80" t="inlineStr">
        <is>
          <t>P0-PMO-05</t>
        </is>
      </c>
      <c r="P33" s="80" t="inlineStr">
        <is>
          <t>Either a stated requirement or a decision to drop it — it shaped the hosting architecture and appears in none of the 39 sections</t>
        </is>
      </c>
      <c r="Q33" s="82" t="inlineStr">
        <is>
          <t>Addendum A10</t>
        </is>
      </c>
      <c r="R33" s="111" t="inlineStr">
        <is>
          <t>Recommended 2026-09-15: DROP the PDF worker from Phase 1; keep the worker service itself (queue, Zoho sync, rollups, geo, image derivatives still need it). No stated requirement exists in any of the blueprint's 39 sections. Returns if a report must be emailed on a schedule, auto-attached to an invoice, or archived as an immutable artefact. APPROVED 2026-09-16: technical approval given, moved Code review -&gt; Done.</t>
        </is>
      </c>
    </row>
    <row r="34" ht="23.85" customHeight="1" s="75">
      <c r="A34" s="112" t="n">
        <v>27</v>
      </c>
      <c r="B34" s="113" t="inlineStr">
        <is>
          <t>P0-PMO-12</t>
        </is>
      </c>
      <c r="C34" s="85" t="n">
        <v>0</v>
      </c>
      <c r="D34" s="86" t="inlineStr">
        <is>
          <t>Foundation &amp; Decisions</t>
        </is>
      </c>
      <c r="E34" s="112" t="inlineStr">
        <is>
          <t>PMO</t>
        </is>
      </c>
      <c r="F34" s="130" t="inlineStr">
        <is>
          <t>Document</t>
        </is>
      </c>
      <c r="G34" s="84" t="inlineStr">
        <is>
          <t>Reconcile the stale baseline memory snapshot</t>
        </is>
      </c>
      <c r="H34" s="116" t="inlineStr">
        <is>
          <t>The baseline notes in the repo still describe an older stack (Express, Redis, MinIO). Correct them or mark them superseded so nobody builds from the wrong page.</t>
        </is>
      </c>
      <c r="I34" s="108" t="inlineStr">
        <is>
          <t>Done</t>
        </is>
      </c>
      <c r="J34" s="108" t="n">
        <v>1</v>
      </c>
      <c r="K34" s="109" t="inlineStr">
        <is>
          <t>2026-09-15</t>
        </is>
      </c>
      <c r="L34" s="109" t="inlineStr">
        <is>
          <t>2026-09-16</t>
        </is>
      </c>
      <c r="M34" s="110" t="inlineStr">
        <is>
          <t>rcfworks</t>
        </is>
      </c>
      <c r="N34" s="85" t="n"/>
      <c r="O34" s="84" t="n"/>
      <c r="P34" s="84" t="inlineStr">
        <is>
          <t>Initial Memory/02-confirmed-tech-stack.md either corrected to the Railway stack or explicitly marked superseded</t>
        </is>
      </c>
      <c r="Q34" s="86" t="inlineStr">
        <is>
          <t>Memory 04</t>
        </is>
      </c>
      <c r="R34" s="111" t="inlineStr">
        <is>
          <t>Done 2026-09-15. Corrected Memory/Initial Memory/02-confirmed-tech-stack.md to the Railway stack with the superseded 2026-09-10 version kept and labelled; closed the open-discrepancy section in 04; corrected 03's reversed 'no spreadsheet is committed' rule and the 344 -&gt; 345 task count. Left 01 and 05 alone. Record doc in repo + Drive. APPROVED 2026-09-16: technical approval given, moved Code review -&gt; Done.</t>
        </is>
      </c>
    </row>
    <row r="35" ht="23.85" customHeight="1" s="75">
      <c r="A35" s="104" t="n">
        <v>28</v>
      </c>
      <c r="B35" s="105" t="inlineStr">
        <is>
          <t>P1-FE-04</t>
        </is>
      </c>
      <c r="C35" s="81" t="n">
        <v>1</v>
      </c>
      <c r="D35" s="82" t="inlineStr">
        <is>
          <t>UI Scaffold on Fixtures</t>
        </is>
      </c>
      <c r="E35" s="119" t="inlineStr">
        <is>
          <t>FE</t>
        </is>
      </c>
      <c r="F35" s="120" t="inlineStr">
        <is>
          <t>Code</t>
        </is>
      </c>
      <c r="G35" s="80" t="inlineStr">
        <is>
          <t>Extend fixtures to cover every edge state</t>
        </is>
      </c>
      <c r="H35" s="107" t="inlineStr">
        <is>
          <t>The mock data currently shows happy paths. Add the awkward cases — a minor without a verified guardian, an expired invite, a campaign under-delivering — so the screens are designed for reality.</t>
        </is>
      </c>
      <c r="I35" s="108" t="inlineStr">
        <is>
          <t>Done</t>
        </is>
      </c>
      <c r="J35" s="108" t="n">
        <v>1</v>
      </c>
      <c r="K35" s="109" t="inlineStr">
        <is>
          <t>2026-09-11</t>
        </is>
      </c>
      <c r="L35" s="109" t="inlineStr">
        <is>
          <t>2026-09-14</t>
        </is>
      </c>
      <c r="M35" s="110" t="inlineStr">
        <is>
          <t>HeckerCreatives</t>
        </is>
      </c>
      <c r="N35" s="81" t="n">
        <v>6</v>
      </c>
      <c r="O35" s="80" t="n"/>
      <c r="P35" s="80" t="inlineStr">
        <is>
          <t>A minor athlete with unverified guardian, an expired invite, an under-delivering campaign, a held earning, a declined order and a rejected application are all representable and rendered</t>
        </is>
      </c>
      <c r="Q35" s="82" t="inlineStr">
        <is>
          <t>Roadmap A3</t>
        </is>
      </c>
      <c r="R35" s="111" t="inlineStr">
        <is>
          <t>Six edge cases shipped on branch P1-FE-QA-PMO (spec+plan in docs/superpowers). 11-URL prod smoke matrix all pass. Awaiting review; Date Done on merge. | REVIEWED + APPROVED 2026-09-14 by rcfworks. VERIFIED not assumed: all six edge states its acceptance names are present in fixtures.ts - athleteMinor with isMinor:true and a guardian whose verifiedAt can be null, plus EXPIRED, under-delivery, HELD, DECLINED and REJECTED. The minor is a separate fixture selected by ?demo=minor rather than duplicated screens.</t>
        </is>
      </c>
    </row>
    <row r="36" ht="23.85" customHeight="1" s="75">
      <c r="A36" s="112" t="n">
        <v>29</v>
      </c>
      <c r="B36" s="113" t="inlineStr">
        <is>
          <t>P1-ART-04</t>
        </is>
      </c>
      <c r="C36" s="85" t="n">
        <v>1</v>
      </c>
      <c r="D36" s="86" t="inlineStr">
        <is>
          <t>UI Scaffold on Fixtures</t>
        </is>
      </c>
      <c r="E36" s="114" t="inlineStr">
        <is>
          <t>ART</t>
        </is>
      </c>
      <c r="F36" s="115" t="inlineStr">
        <is>
          <t>Design tool</t>
        </is>
      </c>
      <c r="G36" s="84" t="inlineStr">
        <is>
          <t>Design the sponsor ROI report layout for print/PDF</t>
        </is>
      </c>
      <c r="H36" s="116" t="inlineStr">
        <is>
          <t>Design the sponsor's results report at print width, so it survives being turned into a PDF rather than looking broken.</t>
        </is>
      </c>
      <c r="I36" s="108" t="inlineStr">
        <is>
          <t>Done</t>
        </is>
      </c>
      <c r="J36" s="108" t="n">
        <v>3</v>
      </c>
      <c r="K36" s="109" t="inlineStr">
        <is>
          <t>2026-09-17</t>
        </is>
      </c>
      <c r="L36" s="109" t="inlineStr">
        <is>
          <t>2026-09-18</t>
        </is>
      </c>
      <c r="M36" s="110" t="inlineStr">
        <is>
          <t>rcfworks</t>
        </is>
      </c>
      <c r="N36" s="85" t="n"/>
      <c r="O36" s="84" t="inlineStr">
        <is>
          <t>P0-PMO-05</t>
        </is>
      </c>
      <c r="P36" s="84" t="inlineStr">
        <is>
          <t>A print-width layout exists for screen 12 that survives PDF rendering — feeds P7-BE-05</t>
        </is>
      </c>
      <c r="Q36" s="86" t="inlineStr">
        <is>
          <t>§9 screen 12</t>
        </is>
      </c>
      <c r="R36" s="111" t="inlineStr">
        <is>
          <t>Designed in Claude Design from documentation/Design/sponsor-report-print/BRIEF.md. 6 Letter pages + header/footer + print chart, black on white per G-07 Option A. Establishes the V/M/S/E/A provenance marks, greyscale-safe, plus two rules for P7-BE-05: attributed carries the weaker of its two sources, and a missing figure is blank, not zero. Not yet tested through a real browser Save-as-PDF. Closed Code review -&gt; Done 2026-09-18 at the user's instruction.</t>
        </is>
      </c>
    </row>
    <row r="37" ht="85.05" customHeight="1" s="75">
      <c r="A37" s="104" t="n">
        <v>30</v>
      </c>
      <c r="B37" s="105" t="inlineStr">
        <is>
          <t>P1-ART-05</t>
        </is>
      </c>
      <c r="C37" s="81" t="n">
        <v>1</v>
      </c>
      <c r="D37" s="82" t="inlineStr">
        <is>
          <t>UI Scaffold on Fixtures</t>
        </is>
      </c>
      <c r="E37" s="117" t="inlineStr">
        <is>
          <t>ART</t>
        </is>
      </c>
      <c r="F37" s="118" t="inlineStr">
        <is>
          <t>Design tool</t>
        </is>
      </c>
      <c r="G37" s="80" t="inlineStr">
        <is>
          <t>Design the QR / reward fan-facing landing treatment</t>
        </is>
      </c>
      <c r="H37" s="107" t="inlineStr">
        <is>
          <t>Design what a fan sees after scanning: the offer, the consent text, and the 'already used' and 'expired' states.</t>
        </is>
      </c>
      <c r="I37" s="108" t="inlineStr">
        <is>
          <t>Done</t>
        </is>
      </c>
      <c r="J37" s="108" t="n">
        <v>1</v>
      </c>
      <c r="K37" s="109" t="inlineStr">
        <is>
          <t>2026-09-16</t>
        </is>
      </c>
      <c r="L37" s="109" t="inlineStr">
        <is>
          <t>2026-09-17</t>
        </is>
      </c>
      <c r="M37" s="110" t="inlineStr">
        <is>
          <t>rcfworks</t>
        </is>
      </c>
      <c r="N37" s="81" t="n"/>
      <c r="O37" s="80" t="inlineStr">
        <is>
          <t>None</t>
        </is>
      </c>
      <c r="P37" s="80" t="inlineStr">
        <is>
          <t>Consent language placed, offer presentation designed, single-use and expired states designed</t>
        </is>
      </c>
      <c r="Q37" s="82" t="inlineStr">
        <is>
          <t>§16</t>
        </is>
      </c>
      <c r="R37" s="111" t="inlineStr">
        <is>
          <t>2026-09-15: legal dependency removed (P0-LEG-04) — legal approvals no longer gate development. Designed 2026-09-16 in Claude Design; canvas at documentation/Design/fan-reward-landing/SponsorX Reward Landing.dc.html, source zip kept in documentation/Design/other landing pages/. Seven artboards at 390px: offer, claim/consent, claimed, returning fan, already redeemed, expired, unavailable. ACCEPTANCE MET - consent language placed (above the button, below the field, four plain sentences, nothing pre-ticked), offer presentation designed, single-use and expired states designed. VERIFIED: every text/background pairing passes WCAG AA against its real background - lowest on-ground value is white at 50% = 5.36:1, the inverted code card is 18.4:1, the primary button 6.8:1; the four colours that fail against the dark ground are dark ink on the light card and are used correctly. No JavaScript in the design (the three script tags in the .dc.html are Claude Design canvas infrastructure, not page code); only an email field and a native required checkbox; no invented statistics, no countdown, no account or app prompt. THREE PROMISES THE COPY MAKES THAT NO TASK CURRENTLY DELIVERS, for decision before P6-FE-02 wires this page: (1) 'You can unsubscribe from any of it, at any time, in one tap' - zero tasks in the 348 mention unsubscribe or opt-out. (2) 'Northbridge Coffee receives your email address' - no task hands claimed emails to the sponsor; P6-SEC-02 is fan PII purpose limitation, which is the opposite direction. (3) 'We emailed this code to you as well' - a transactional send at CLAIM, which depends on P3-INT-01 (email send interface, Ready but unbuilt) and appears in no reward task. Either the backend gains these or the consent copy is narrowed before launch; a consent promise that is not true is the worst version of this page.</t>
        </is>
      </c>
    </row>
    <row r="38" ht="32.8" customHeight="1" s="75">
      <c r="A38" s="112" t="n">
        <v>31</v>
      </c>
      <c r="B38" s="113" t="inlineStr">
        <is>
          <t>P1-ART-06</t>
        </is>
      </c>
      <c r="C38" s="85" t="n">
        <v>1</v>
      </c>
      <c r="D38" s="86" t="inlineStr">
        <is>
          <t>UI Scaffold on Fixtures</t>
        </is>
      </c>
      <c r="E38" s="114" t="inlineStr">
        <is>
          <t>ART</t>
        </is>
      </c>
      <c r="F38" s="115" t="inlineStr">
        <is>
          <t>Design tool</t>
        </is>
      </c>
      <c r="G38" s="84" t="inlineStr">
        <is>
          <t>Produce the marketing site visual assets</t>
        </is>
      </c>
      <c r="H38" s="116" t="inlineStr">
        <is>
          <t>Produce the imagery for the public marketing site — hero, case-study slots, package presentation.</t>
        </is>
      </c>
      <c r="I38" s="108" t="inlineStr">
        <is>
          <t>Done</t>
        </is>
      </c>
      <c r="J38" s="108" t="n">
        <v>3</v>
      </c>
      <c r="K38" s="109" t="inlineStr">
        <is>
          <t>2026-09-17</t>
        </is>
      </c>
      <c r="L38" s="109" t="inlineStr">
        <is>
          <t>2026-09-17</t>
        </is>
      </c>
      <c r="M38" s="110" t="inlineStr">
        <is>
          <t>rcfworks</t>
        </is>
      </c>
      <c r="N38" s="85" t="n"/>
      <c r="O38" s="84" t="n"/>
      <c r="P38" s="84" t="inlineStr">
        <is>
          <t>Hero, proof/case-study slots and package presentation art ready for the public homepage</t>
        </is>
      </c>
      <c r="Q38" s="86" t="inlineStr">
        <is>
          <t>§9 screen 1</t>
        </is>
      </c>
      <c r="R38" s="111" t="inlineStr">
        <is>
          <t>Designed in Claude Design from documentation/Design/marketing-visuals/BRIEF.md. Seven assets: hero (desktop+phone), proof slot, case-study section, package presentation, package detail, and a flat logo redraw (6 lockups, dark+light SVG, favicon, app icon). Second pass - first invented a package model and priced in GBP; brief corrected with the Sec.7 table. Logo SVGs reference Barlow Condensed by name: outline the type before public/ use.</t>
        </is>
      </c>
    </row>
    <row r="39" ht="35.05" customHeight="1" s="75">
      <c r="A39" s="104" t="n">
        <v>32</v>
      </c>
      <c r="B39" s="105" t="inlineStr">
        <is>
          <t>P1-ART-07</t>
        </is>
      </c>
      <c r="C39" s="81" t="n">
        <v>1</v>
      </c>
      <c r="D39" s="82" t="inlineStr">
        <is>
          <t>UI Scaffold on Fixtures</t>
        </is>
      </c>
      <c r="E39" s="117" t="inlineStr">
        <is>
          <t>ART</t>
        </is>
      </c>
      <c r="F39" s="118" t="inlineStr">
        <is>
          <t>Design tool</t>
        </is>
      </c>
      <c r="G39" s="80" t="inlineStr">
        <is>
          <t>Design the athlete onboarding flow visuals (§11 ten sections)</t>
        </is>
      </c>
      <c r="H39" s="107" t="inlineStr">
        <is>
          <t>Design the athlete sign-up as a progressive flow across its ten sections, including the branch where a parent has to be involved.</t>
        </is>
      </c>
      <c r="I39" s="108" t="inlineStr">
        <is>
          <t>Done</t>
        </is>
      </c>
      <c r="J39" s="108" t="n">
        <v>3</v>
      </c>
      <c r="K39" s="109" t="inlineStr">
        <is>
          <t>2026-09-17</t>
        </is>
      </c>
      <c r="L39" s="109" t="inlineStr">
        <is>
          <t>2026-09-18</t>
        </is>
      </c>
      <c r="M39" s="110" t="inlineStr">
        <is>
          <t>rcfworks</t>
        </is>
      </c>
      <c r="N39" s="81" t="n">
        <v>1</v>
      </c>
      <c r="O39" s="80" t="n"/>
      <c r="P39" s="80" t="inlineStr">
        <is>
          <t>All ten §11 sections designed as a progressive flow, including the guardian branch</t>
        </is>
      </c>
      <c r="Q39" s="82" t="inlineStr">
        <is>
          <t>§11</t>
        </is>
      </c>
      <c r="R39" s="111" t="inlineStr">
        <is>
          <t>Designed in Claude Design from documentation/Design/athlete-onboarding/BRIEF.md; 12 screens exported as PNG to that folder. Editable .dc.html stays in the Claude Design project - needs a one-time /design-login to import. Closed Code review -&gt; Done 2026-09-18 at the user's instruction.</t>
        </is>
      </c>
    </row>
    <row r="40" ht="35.05" customHeight="1" s="75">
      <c r="A40" s="112" t="n">
        <v>33</v>
      </c>
      <c r="B40" s="113" t="inlineStr">
        <is>
          <t>P1-FE-05</t>
        </is>
      </c>
      <c r="C40" s="85" t="n">
        <v>1</v>
      </c>
      <c r="D40" s="86" t="inlineStr">
        <is>
          <t>UI Scaffold on Fixtures</t>
        </is>
      </c>
      <c r="E40" s="121" t="inlineStr">
        <is>
          <t>FE</t>
        </is>
      </c>
      <c r="F40" s="122" t="inlineStr">
        <is>
          <t>Code</t>
        </is>
      </c>
      <c r="G40" s="84" t="inlineStr">
        <is>
          <t>Field-level authz audit of every fixture-backed screen</t>
        </is>
      </c>
      <c r="H40" s="116" t="inlineStr">
        <is>
          <t>Walk every screen and confirm no sponsor can see what an athlete is paid, and no athlete can see a campaign budget. This is the leak that matters most in this product.</t>
        </is>
      </c>
      <c r="I40" s="108" t="inlineStr">
        <is>
          <t>Done</t>
        </is>
      </c>
      <c r="J40" s="108" t="n">
        <v>1</v>
      </c>
      <c r="K40" s="109" t="inlineStr">
        <is>
          <t>2026-09-12</t>
        </is>
      </c>
      <c r="L40" s="109" t="inlineStr">
        <is>
          <t>2026-09-14</t>
        </is>
      </c>
      <c r="M40" s="110" t="inlineStr">
        <is>
          <t>HeckerCreatives</t>
        </is>
      </c>
      <c r="N40" s="85" t="n"/>
      <c r="O40" s="84" t="inlineStr">
        <is>
          <t>P1-FE-04</t>
        </is>
      </c>
      <c r="P40" s="84" t="inlineStr">
        <is>
          <t>No sponsor-facing screen renders AthleteRate.amount; no athlete-facing screen renders Campaign.budget — verified route by route</t>
        </is>
      </c>
      <c r="Q40" s="86" t="inlineStr">
        <is>
          <t>§26, Guide §04</t>
        </is>
      </c>
      <c r="R40" s="111" t="inlineStr">
        <is>
          <t>Audit complete, zero leaks, no code changes. Record: docs/superpowers/audits/2026-09-12-p1-fe-05-field-authz-audit.md. Started ahead of P1-FE-04 review gate (dependency complete on branch). | REVIEWED + APPROVED 2026-09-14 by rcfworks. VERIFIED by grep, route by route: no athlete rate renders on any sponsor-facing or public screen, and no campaign budget renders on any athlete screen. Budget appears only in admin, sponsor and public marketing pages, which is correct. Matches the P0-PMO-07 authz matrix.</t>
        </is>
      </c>
    </row>
    <row r="41" ht="46.25" customHeight="1" s="75">
      <c r="A41" s="112" t="n">
        <v>33.5</v>
      </c>
      <c r="B41" s="113" t="inlineStr">
        <is>
          <t>P1-FE-06</t>
        </is>
      </c>
      <c r="C41" s="85" t="n">
        <v>1</v>
      </c>
      <c r="D41" s="86" t="inlineStr">
        <is>
          <t>UI Scaffold on Fixtures</t>
        </is>
      </c>
      <c r="E41" s="121" t="inlineStr">
        <is>
          <t>FE</t>
        </is>
      </c>
      <c r="F41" s="122" t="inlineStr">
        <is>
          <t>Code</t>
        </is>
      </c>
      <c r="G41" s="84" t="inlineStr">
        <is>
          <t>Chart entrance + idle motion across all portal dashboards</t>
        </is>
      </c>
      <c r="H41" s="116" t="inlineStr">
        <is>
          <t>Give every graph a first-view entrance animation and a quiet idle loop so the dashboards feel alive - draw-on lines, sweeping gauges and donuts, staggered bars - without changing what any chart says.</t>
        </is>
      </c>
      <c r="I41" s="108" t="inlineStr">
        <is>
          <t>Done</t>
        </is>
      </c>
      <c r="J41" s="108" t="n">
        <v>1</v>
      </c>
      <c r="K41" s="109" t="inlineStr">
        <is>
          <t>2026-09-12</t>
        </is>
      </c>
      <c r="L41" s="109" t="inlineStr">
        <is>
          <t>2026-09-14</t>
        </is>
      </c>
      <c r="M41" s="110" t="inlineStr">
        <is>
          <t>HeckerCreatives</t>
        </is>
      </c>
      <c r="N41" s="85" t="n"/>
      <c r="O41" s="84" t="inlineStr">
        <is>
          <t>P1-FE-04</t>
        </is>
      </c>
      <c r="P41" s="84" t="inlineStr">
        <is>
          <t>Every chart primitive (sparkline, area, gauge, donut, funnel, bars, trust meter, progress ring) animates on first viewport entry and idles subtly; static final state identical to the pre-motion render; prefers-reduced-motion and no-JS renders stay correct; charts remain server components (one small client reveal gate).</t>
        </is>
      </c>
      <c r="Q41" s="86" t="inlineStr">
        <is>
          <t>Chart motion pass 2026-09-12; dataviz motion rules</t>
        </is>
      </c>
      <c r="R41" s="111" t="inlineStr">
        <is>
          <t>Raised 2026-09-12 (user request: wow-factor graph motion, first-view + idle). New src/components/reveal.tsx + sx-viz CSS in globals.css; charts.tsx and progress-ring.tsx wired. Verified: build clean, SSR markup + compiled CSS checked on all 8 chart-bearing pages. Note: property dashboard has no charts (uses the number formatter only). Iteration 2 (same day, senior-dataviz feedback): sparkline was rendering as scattered dashes (Chromium computes dashes in screen px under non-scaling-stroke, breaking pathLength) - switched to clip-path wipe + added gradient tint and endpoint dot; funnel bars re-designed left-aligned with sequential primary ramp + accent final stage (was centered with arbitrary 2+2 color split). | REVIEWED + APPROVED 2026-09-14 by rcfworks. VERIFIED against the running dev server: 8 chart-bearing pages carry data-reveal=out and the sx-viz classes (the 8th is /admin/campaigns/[id]); globals.css ships exactly 11 sx-viz keyframes, the @media (scripting: enabled) pause gate, and 4 prefers-reduced-motion guards. Every figure in the author's claim checked out precisely.</t>
        </is>
      </c>
    </row>
    <row r="42" ht="23.85" customHeight="1" s="75">
      <c r="A42" s="104" t="n">
        <v>34</v>
      </c>
      <c r="B42" s="105" t="inlineStr">
        <is>
          <t>P1-PMO-01</t>
        </is>
      </c>
      <c r="C42" s="81" t="n">
        <v>1</v>
      </c>
      <c r="D42" s="82" t="inlineStr">
        <is>
          <t>UI Scaffold on Fixtures</t>
        </is>
      </c>
      <c r="E42" s="104" t="inlineStr">
        <is>
          <t>PMO</t>
        </is>
      </c>
      <c r="F42" s="106" t="inlineStr">
        <is>
          <t>Document</t>
        </is>
      </c>
      <c r="G42" s="80" t="inlineStr">
        <is>
          <t>Produce wireframes/design records for all 12 core screens (§38)</t>
        </is>
      </c>
      <c r="H42" s="107" t="inlineStr">
        <is>
          <t>Capture the built screens as the formal design record. A contractual deliverable, and cheap to do now that the screens exist.</t>
        </is>
      </c>
      <c r="I42" s="108" t="inlineStr">
        <is>
          <t>Done</t>
        </is>
      </c>
      <c r="J42" s="108" t="n">
        <v>3</v>
      </c>
      <c r="K42" s="109" t="inlineStr">
        <is>
          <t>2026-09-12</t>
        </is>
      </c>
      <c r="L42" s="109" t="inlineStr">
        <is>
          <t>2026-09-14</t>
        </is>
      </c>
      <c r="M42" s="110" t="inlineStr">
        <is>
          <t>HeckerCreatives</t>
        </is>
      </c>
      <c r="N42" s="81" t="n"/>
      <c r="O42" s="80" t="inlineStr">
        <is>
          <t>P1-FE-04</t>
        </is>
      </c>
      <c r="P42" s="80" t="inlineStr">
        <is>
          <t>The §38 deliverable exists — current built screens captured as the design record</t>
        </is>
      </c>
      <c r="Q42" s="82" t="inlineStr">
        <is>
          <t>§38</t>
        </is>
      </c>
      <c r="R42" s="111" t="inlineStr">
        <is>
          <t>documentation/SponsorX-Design-Record.md + design-record/*.png (12 captures) + design-record/SponsorX-Wireframes.html (schematic wireframes, all 12 screens). | REVIEWED + APPROVED 2026-09-14 by rcfworks. Accepted - documentation/SponsorX-Design-Record.md exists and captures the built screens as the S38 design record.</t>
        </is>
      </c>
    </row>
    <row r="43" ht="23.85" customHeight="1" s="75">
      <c r="A43" s="112" t="n">
        <v>35</v>
      </c>
      <c r="B43" s="113" t="inlineStr">
        <is>
          <t>P1-QA-01</t>
        </is>
      </c>
      <c r="C43" s="85" t="n">
        <v>1</v>
      </c>
      <c r="D43" s="86" t="inlineStr">
        <is>
          <t>UI Scaffold on Fixtures</t>
        </is>
      </c>
      <c r="E43" s="134" t="inlineStr">
        <is>
          <t>QA</t>
        </is>
      </c>
      <c r="F43" s="122" t="inlineStr">
        <is>
          <t>Code</t>
        </is>
      </c>
      <c r="G43" s="84" t="inlineStr">
        <is>
          <t>Walk the full §39 loop on fixtures and log every gap</t>
        </is>
      </c>
      <c r="H43" s="116" t="inlineStr">
        <is>
          <t>Click through the entire business loop on mock data and write down every place it breaks or dead-ends.</t>
        </is>
      </c>
      <c r="I43" s="108" t="inlineStr">
        <is>
          <t>Done</t>
        </is>
      </c>
      <c r="J43" s="108" t="n">
        <v>1</v>
      </c>
      <c r="K43" s="109" t="inlineStr">
        <is>
          <t>2026-09-12</t>
        </is>
      </c>
      <c r="L43" s="109" t="inlineStr">
        <is>
          <t>2026-09-14</t>
        </is>
      </c>
      <c r="M43" s="110" t="inlineStr">
        <is>
          <t>HeckerCreatives</t>
        </is>
      </c>
      <c r="N43" s="85" t="n"/>
      <c r="O43" s="84" t="inlineStr">
        <is>
          <t>P1-FE-04</t>
        </is>
      </c>
      <c r="P43" s="84" t="inlineStr">
        <is>
          <t>A written pass/fail list for all 11 loop steps; every gap is either fixed or filed as a task</t>
        </is>
      </c>
      <c r="Q43" s="86" t="inlineStr">
        <is>
          <t>§39</t>
        </is>
      </c>
      <c r="R43" s="111" t="inlineStr">
        <is>
          <t>QA checklist (Word): documentation/SponsorX-Stage1-QA-Checklist.docx. Formal QA report: documentation/SponsorX-Stage1-QA-Report.md (23/23 cases pass, defect log D-01..D-11). 11/11 loop steps pass; 3 silent unwired CTAs annotated. Record: docs/superpowers/audits/2026-09-12-p1-qa-01-loop-walk.md | REVIEWED + APPROVED 2026-09-14 by rcfworks. Accepted on the audit record (docs/superpowers/audits/2026-09-12-p1-qa-01-loop-walk.md): 11/11 loop steps representable, 3 gaps found and fixed (athlete-side unwired CTAs).</t>
        </is>
      </c>
    </row>
    <row r="44" ht="23.85" customHeight="1" s="75">
      <c r="A44" s="104" t="n">
        <v>36</v>
      </c>
      <c r="B44" s="105" t="inlineStr">
        <is>
          <t>P1-QA-02</t>
        </is>
      </c>
      <c r="C44" s="81" t="n">
        <v>1</v>
      </c>
      <c r="D44" s="82" t="inlineStr">
        <is>
          <t>UI Scaffold on Fixtures</t>
        </is>
      </c>
      <c r="E44" s="135" t="inlineStr">
        <is>
          <t>QA</t>
        </is>
      </c>
      <c r="F44" s="120" t="inlineStr">
        <is>
          <t>Code</t>
        </is>
      </c>
      <c r="G44" s="80" t="inlineStr">
        <is>
          <t>Accessibility audit of all routes</t>
        </is>
      </c>
      <c r="H44" s="107" t="inlineStr">
        <is>
          <t>Check colour contrast, keyboard navigation, and that the fan redeem page works with JavaScript switched off.</t>
        </is>
      </c>
      <c r="I44" s="108" t="inlineStr">
        <is>
          <t>Done</t>
        </is>
      </c>
      <c r="J44" s="108" t="n">
        <v>3</v>
      </c>
      <c r="K44" s="109" t="inlineStr">
        <is>
          <t>2026-09-12</t>
        </is>
      </c>
      <c r="L44" s="109" t="inlineStr">
        <is>
          <t>2026-09-14</t>
        </is>
      </c>
      <c r="M44" s="110" t="inlineStr">
        <is>
          <t>HeckerCreatives</t>
        </is>
      </c>
      <c r="N44" s="81" t="n"/>
      <c r="O44" s="80" t="inlineStr">
        <is>
          <t>P1-FE-04</t>
        </is>
      </c>
      <c r="P44" s="80" t="inlineStr">
        <is>
          <t>Contrast AA in both themes; keyboard navigation complete; redeem page passes without JS</t>
        </is>
      </c>
      <c r="Q44" s="82" t="inlineStr">
        <is>
          <t>§16</t>
        </is>
      </c>
      <c r="R44" s="111" t="inlineStr">
        <is>
          <t>QA checklist (Word): documentation/SponsorX-Stage1-QA-Checklist.docx. Formal QA report: documentation/SponsorX-Stage1-QA-Report.md (23/23 cases pass, defect log D-01..D-11). AA both themes via token fixes (faint, light accent-soft, CTA ink); keyboard + no-JS redeem verified. Record: ...p1-qa-02-accessibility-audit.md | REVIEWED + APPROVED 2026-09-14 by rcfworks. No-JS redeem page VERIFIED - /r/[token] returns HTTP 200 with server-rendered content and no JavaScript. Contrast AA and keyboard navigation accepted on the author's record; both need a browser to measure and their CDP method is more rigorous than a shell can manage.</t>
        </is>
      </c>
    </row>
    <row r="45" ht="23.85" customHeight="1" s="75">
      <c r="A45" s="112" t="n">
        <v>37</v>
      </c>
      <c r="B45" s="113" t="inlineStr">
        <is>
          <t>P1-QA-03</t>
        </is>
      </c>
      <c r="C45" s="85" t="n">
        <v>1</v>
      </c>
      <c r="D45" s="86" t="inlineStr">
        <is>
          <t>UI Scaffold on Fixtures</t>
        </is>
      </c>
      <c r="E45" s="134" t="inlineStr">
        <is>
          <t>QA</t>
        </is>
      </c>
      <c r="F45" s="122" t="inlineStr">
        <is>
          <t>Code</t>
        </is>
      </c>
      <c r="G45" s="84" t="inlineStr">
        <is>
          <t>Responsive audit — phone, tablet, desktop</t>
        </is>
      </c>
      <c r="H45" s="116" t="inlineStr">
        <is>
          <t>Check every screen on a phone. The athlete portal and redeem page are phone-first in real use.</t>
        </is>
      </c>
      <c r="I45" s="108" t="inlineStr">
        <is>
          <t>Done</t>
        </is>
      </c>
      <c r="J45" s="108" t="n">
        <v>1</v>
      </c>
      <c r="K45" s="109" t="inlineStr">
        <is>
          <t>2026-09-12</t>
        </is>
      </c>
      <c r="L45" s="109" t="inlineStr">
        <is>
          <t>2026-09-14</t>
        </is>
      </c>
      <c r="M45" s="110" t="inlineStr">
        <is>
          <t>HeckerCreatives</t>
        </is>
      </c>
      <c r="N45" s="85" t="n"/>
      <c r="O45" s="84" t="inlineStr">
        <is>
          <t>P1-FE-04</t>
        </is>
      </c>
      <c r="P45" s="84" t="inlineStr">
        <is>
          <t>No horizontal scroll at 360px; portal navigation usable on phone</t>
        </is>
      </c>
      <c r="Q45" s="86" t="inlineStr">
        <is>
          <t>§9</t>
        </is>
      </c>
      <c r="R45" s="111" t="inlineStr">
        <is>
          <t>QA checklist (Word): documentation/SponsorX-Stage1-QA-Checklist.docx. Formal QA report: documentation/SponsorX-Stage1-QA-Report.md (23/23 cases pass, defect log D-01..D-11). 29 routes fit 360px after 4 min-w-0 fixes (implicit mobile grid columns); drawer verified on all portals. Record: ...p1-qa-03-responsive-audit.md | REVIEWED + APPROVED 2026-09-14 by rcfworks. No static culprits found - viewport meta correct, no min-width above 360px in globals.css, charts and insight-carousel both wrapped in overflow-x containers. Actual scrollWidth at 360px accepted on the author's CDP measurement.</t>
        </is>
      </c>
    </row>
    <row r="46" ht="35.05" customHeight="1" s="75">
      <c r="A46" s="104" t="n">
        <v>38</v>
      </c>
      <c r="B46" s="105" t="inlineStr">
        <is>
          <t>P2-OPS-01</t>
        </is>
      </c>
      <c r="C46" s="81" t="n">
        <v>2</v>
      </c>
      <c r="D46" s="82" t="inlineStr">
        <is>
          <t>Platform Foundations</t>
        </is>
      </c>
      <c r="E46" s="132" t="inlineStr">
        <is>
          <t>OPS</t>
        </is>
      </c>
      <c r="F46" s="136" t="inlineStr">
        <is>
          <t>Vendor console</t>
        </is>
      </c>
      <c r="G46" s="80" t="inlineStr">
        <is>
          <t>Create the Railway project with three services</t>
        </is>
      </c>
      <c r="H46" s="107" t="inlineStr">
        <is>
          <t>Create three services in one Railway project — the web app, the background worker, and Postgres — talking privately to each other with the database never exposed to the internet.</t>
        </is>
      </c>
      <c r="I46" s="108" t="inlineStr">
        <is>
          <t>Done</t>
        </is>
      </c>
      <c r="J46" s="108" t="n">
        <v>3</v>
      </c>
      <c r="K46" s="109" t="inlineStr">
        <is>
          <t>2026-09-18</t>
        </is>
      </c>
      <c r="L46" s="109" t="inlineStr">
        <is>
          <t>2026-09-18</t>
        </is>
      </c>
      <c r="M46" s="110" t="inlineStr">
        <is>
          <t>rcfworks</t>
        </is>
      </c>
      <c r="N46" s="81" t="n">
        <v>5</v>
      </c>
      <c r="O46" s="80" t="inlineStr">
        <is>
          <t>P0-OPS-01</t>
        </is>
      </c>
      <c r="P46" s="80" t="inlineStr">
        <is>
          <t>web, worker and postgres exist in one project; web and worker reach Postgres over the internal hostname; the database has no public exposure</t>
        </is>
      </c>
      <c r="Q46" s="82" t="inlineStr">
        <is>
          <t>Guide §10</t>
        </is>
      </c>
      <c r="R46" s="111" t="inlineStr">
        <is>
          <t>Started 2026-09-18 via the Railway CLI. DONE: three services exist in project sponsorX - web (renamed from sponsorX_dev, e004424e), worker (70a9ade0, same repo), Postgres (19fb0884). web and worker both carry DATABASE_URL=${{Postgres.DATABASE_URL}}, which resolves to postgres.railway.internal:5432 - private networking, never a public URL. No service has a public domain and no service has a TCP proxy, so the database has no public exposure. OUTSTANDING: (1) web and worker have not been deployed since the variable was set, so internal connectivity is configured but not yet proven at runtime; (2) THE POSTGRES VOLUME WAS PROVISIONED IN 'sfo' - Railway defaults a new service to sfo and the region pin only took effect after the volume existed. A volume is region-bound, so this needs the empty database deleted and recreated with the region pinned first. worker deployed correctly in us-east4-eqdc4a; web's running deployment is still sfo. 2026-09-18 region fix: rather than deleting the Postgres service, the VOLUME was swapped - volumes cannot be moved (VolumeInstanceUpdateInput has no region) but CAN be created with one (VolumeCreateInput does). Old volume 18d938bd (sfo) deleted, new volume 93e71f6d 'postgres-volume-Kkpa' created at /var/lib/postgresql/data in us-east4-eqdc4a, READY and attached to the Postgres service. The database was empty, so nothing was lost. CAVEAT: the old sfo volume still appears in the project listing detached (serviceId null) after volumeDelete returned true twice - check it is gone after the Postgres redeploy, or remove it in the console. Remaining for this task: redeploy Postgres, web and worker. CLOSED 2026-09-18: all three services deployed SUCCESS in us-east4-eqdc4a, Postgres on the new us-east4 volume. web and worker both resolve DATABASE_URL to postgres.railway.internal:5432; no service has a public domain and none has a TCP proxy. NOTE ON 'REACH': the internal address is configured and both services have deployed with it, but nothing in the repo opens a database connection yet, so live connectivity is proven by P2-BE-02's first migration rather than here. NOTE: `railway deployment redeploy` replays the PREVIOUS deployment's manifest and ignores config changes - the serviceInstanceRedeploy mutation is what picks up a new region. web sat in sfo through one pointless redeploy before that was understood. OPEN: orphaned sfo volume 18d938bd still listed detached after two volumeDelete calls and a full redeploy - remove it in the console. REBUILT IN STAGING 2026-09-18 at the user's instruction - 'everything needs to be a staging first, then when all is done we put it in production'. The spine now lives in the STAGING environment: web (e004424e), worker (ca264963) and Postgres (f345dcfb, volume 69f06876 in us-east4-eqdc4a), all deployed SUCCESS in us-east4-eqdc4a, both app services resolving DATABASE_URL to postgres-hhot.railway.internal:5432, no public domain on any service. The production copies were DELETED, not idled, because Railway service names are unique per PROJECT not per environment, so an idle production 'Postgres' would have forced an awkward name on the real one. Production now holds only web, with AUTO-DEPLOY TURNED OFF so a merge to main no longer ships it. Promotion is a deliberate act: recreate these services in production from the proven staging config. NOTE: the staging database's private hostname is postgres-hhot.railway.internal - Railway fixes the internal domain at creation from the generated name, and renaming the service to 'Postgres' afterwards does not change it. 2026-09-18: set back to In progress under rcfworks at the user's instruction, so the whole Railway / Clerk / backend-setup cluster reads as one owned workstream. THE WORK ITSELF IS FINISHED and was completed on 2026-09-18 - the Date Done column still holds it. Status here signals ownership of the workstream, not that the work is outstanding. | 2026-10-02 (HeckerCreatives, via Claude): Closed: the work was finished on 2026-09-18 (Date Done) and the row was held In progress only to show ownership of the Railway workstream. Topology has since changed by decision (Addendum B, 2026-09-21): web, api (API + worker in one process) and Postgres; web no longer has a database at all. Not re-checked in the Railway console today — no CLI on this machine; the 2026-09-24 log verified api.railway.internal and /health in both environments.</t>
        </is>
      </c>
    </row>
    <row r="47" ht="23.85" customHeight="1" s="75">
      <c r="A47" s="112" t="n">
        <v>39</v>
      </c>
      <c r="B47" s="113" t="inlineStr">
        <is>
          <t>P2-BE-02</t>
        </is>
      </c>
      <c r="C47" s="85" t="n">
        <v>2</v>
      </c>
      <c r="D47" s="86" t="inlineStr">
        <is>
          <t>Platform Foundations</t>
        </is>
      </c>
      <c r="E47" s="137" t="inlineStr">
        <is>
          <t>BE</t>
        </is>
      </c>
      <c r="F47" s="122" t="inlineStr">
        <is>
          <t>Code</t>
        </is>
      </c>
      <c r="G47" s="84" t="inlineStr">
        <is>
          <t>Author the full Prisma schema + initial migration</t>
        </is>
      </c>
      <c r="H47" s="116" t="inlineStr">
        <is>
          <t>Write the entire database structure in one go: every table, every lifecycle state, a tenant marker on everything. The single largest task in the project and almost everything depends on it.</t>
        </is>
      </c>
      <c r="I47" s="108" t="inlineStr">
        <is>
          <t>Done</t>
        </is>
      </c>
      <c r="J47" s="108" t="n">
        <v>5</v>
      </c>
      <c r="K47" s="109" t="inlineStr">
        <is>
          <t>2026-09-18</t>
        </is>
      </c>
      <c r="L47" s="109" t="inlineStr">
        <is>
          <t>2026-09-18</t>
        </is>
      </c>
      <c r="M47" s="110" t="inlineStr">
        <is>
          <t>rcfworks</t>
        </is>
      </c>
      <c r="N47" s="85" t="n">
        <v>12</v>
      </c>
      <c r="O47" s="84" t="inlineStr">
        <is>
          <t>P2-OPS-01, P0-PMO-07</t>
        </is>
      </c>
      <c r="P47" s="84" t="inlineStr">
        <is>
          <t>Every §20 table modelled; tenantId on everything; all eight §21 state machines as enums; external IDs + lastSyncOrigin + lastSyncHash on every Zoho-touched model</t>
        </is>
      </c>
      <c r="Q47" s="86" t="inlineStr">
        <is>
          <t>§20, §21, Guide §03</t>
        </is>
      </c>
      <c r="R47" s="111" t="inlineStr">
        <is>
          <t>Started 2026-09-18. Startability checked: authoring a migration normally needs a live connection, and postgres.railway.internal is unreachable from a developer machine by design. It works anyway - `prisma migrate diff` generates the migration SQL offline from the schema, and the `prisma migrate deploy` pre-deploy step wired in P2-OPS-03 applies it on the next release. Inputs all in-repo: the P0-ART-01 ERD, the eight state machines in documentation/diagrams/state-machines/, the P0-PMO-07 RBAC matrix and Guide §03. DELIVERED 2026-09-18: prisma/schema.prisma - 29 models, 13 enums; initial migration at prisma/migrations/20260918060000_init/migration.sql - 29 tables, 31 foreign keys, 55 indexes, generated offline with `prisma migrate diff --from-empty --to-schema` (note: --to-schema-datamodel was REMOVED in Prisma 7, the flag is now --to-schema). `prisma validate` passes, the client generates, npm run build compiles. ALL FOUR ACCEPTANCE CLAUSES VERIFIED PROGRAMMATICALLY: 29/29 models carry tenantId except Tenant itself; all eight §21 state machines present as enums and checked value-by-value against the .mmd files; sync markers on all four Zoho-touched models (Sponsor, Athlete, Property, Campaign) where the guide had given them to only two. BUG FOUND IN THE GUIDE: Implementation Guide V2 §03 gives Athlete both `state String?` (the US state) and `state_ AthleteState @map("state")` (the lifecycle). They collide on one column and the schema WILL NOT COMPILE as published. Resolved here by naming geography `stateCode` on Athlete, Property and CampaignBrief, leaving `state` to mean the lifecycle enum on every model. The guide still carries the broken version and should be corrected. ALSO ADDED beyond §03, from decisions taken since it was written: NilJob.sellFloorEmerging/Creator/Premium and SponsorPackage lineItems + athleteCountMin/Max, both from P0-PMO-13; an AthleteTier enum replacing a free-text tier string. AT CODE REVIEW because the migration has never been applied to a database - `migrate deploy` runs on the next release to main and that is the first time it will be executed anywhere. PROVEN 2026-09-18 07:27 UTC: merged to main as PR #7 (915c9a98); the staging deploy's pre-deploy step ran `npx prisma@7.10.0 migrate deploy` against postgres-hhot.railway.internal and logged '1 migration found', 'Applying migration 20260918060000_init', 'All migrations have been successfully applied.' Deployment 08cd56a3 SUCCESS. Every acceptance clause is now met AND executed; status left at In progress only because the user asked the whole backend cluster to read that way. 2026-09-21 THE MIGRATIONS ARE APPLIED. The 2026-09-18 note said 'the migration has never been applied to a database'; that is no longer true. All four ran in the staging pre-deploy: the 29-table init, the partial indexes, the athlete application fields and EmailSendLog. The risky one applied cleanly - 20260921120000 adds email TEXT NOT NULL with no default, which works only while Athlete is empty, and it was.</t>
        </is>
      </c>
    </row>
    <row r="48" ht="23.85" customHeight="1" s="75">
      <c r="A48" s="104" t="n">
        <v>40</v>
      </c>
      <c r="B48" s="105" t="inlineStr">
        <is>
          <t>P2-INT-01</t>
        </is>
      </c>
      <c r="C48" s="81" t="n">
        <v>2</v>
      </c>
      <c r="D48" s="82" t="inlineStr">
        <is>
          <t>Platform Foundations</t>
        </is>
      </c>
      <c r="E48" s="138" t="inlineStr">
        <is>
          <t>INT</t>
        </is>
      </c>
      <c r="F48" s="136" t="inlineStr">
        <is>
          <t>Code + console</t>
        </is>
      </c>
      <c r="G48" s="80" t="inlineStr">
        <is>
          <t>Replace mock-auth with Clerk</t>
        </is>
      </c>
      <c r="H48" s="107" t="inlineStr">
        <is>
          <t>Swap the fake sign-in for real Clerk authentication. Clerk proves who you are; your own database decides what you can do.</t>
        </is>
      </c>
      <c r="I48" s="108" t="inlineStr">
        <is>
          <t>Done</t>
        </is>
      </c>
      <c r="J48" s="108" t="n">
        <v>3</v>
      </c>
      <c r="K48" s="109" t="inlineStr">
        <is>
          <t>2026-09-18</t>
        </is>
      </c>
      <c r="L48" s="109" t="inlineStr">
        <is>
          <t>2026-09-21</t>
        </is>
      </c>
      <c r="M48" s="110" t="inlineStr">
        <is>
          <t>rcfworks</t>
        </is>
      </c>
      <c r="N48" s="81" t="n">
        <v>2</v>
      </c>
      <c r="O48" s="80" t="inlineStr">
        <is>
          <t>P0-OPS-03, P2-BE-02</t>
        </is>
      </c>
      <c r="P48" s="80" t="inlineStr">
        <is>
          <t>Real sign-in works; User.clerkId mirrors the Clerk identity; no tenant or role data lives in Clerk Organizations or session claims</t>
        </is>
      </c>
      <c r="Q48" s="82" t="inlineStr">
        <is>
          <t>Addendum A4</t>
        </is>
      </c>
      <c r="R48" s="111" t="inlineStr">
        <is>
          <t>2026-09-18: moved Blocked -&gt; In progress and assigned to rcfworks at the user's instruction, to show the backend/Railway/Clerk cluster as actively owned. THE BLOCKING IS STILL REAL - this row depends on P0-OPS-03, P2-BE-02. Read Depends On, not Status, to find what can actually be started. 2026-09-21 IMPLEMENTED, moved to Code review - the code is complete but one half of the 'Done when' is UNVERIFIED. Real sign-in works and is proven: all four portals and their nested pages 307 to /login when signed out, while /, /packages, /join, /map and the fan surfaces /r/[token] and /t/[code] stay open, as §16 requires. NOT proven: 'User.clerkId mirrors the Clerk identity' - the mirror needs a database and there is no local Postgres by design (Railway is private-networking only, no docker or psql on the machine), so it can only be exercised on a staging deploy. DESIGN NOTES THAT WILL OUTLIVE THIS ROW. (1) The file is src/proxy.ts, NOT middleware.ts: Next 16 deprecated the middleware file convention and renamed it, the exported function must be named proxy, and the edge runtime is unsupported under the new name. Clerk 7.9.2 already handles this - suggestMiddlewareLocation() looks for both names when Next is 16 or higher. (2) ROUTE PROTECTION IS NOT IN THE PROXY. Clerk deprecated createRouteMatcher() in this version with the reasoning that middleware path matching 'can diverge from how Next.js routes requests and leave protected resources reachable'. Protection therefore sits in each portal's layout.tsx via auth.protect(), which wraps every page beneath it so a new route cannot bypass it - and that is exactly where P2-BE-04's requireActor() belongs. The proxy now only attaches Clerk's request context. (3) NEXT_PUBLIC_CLERK_SIGN_IN_URL=/login is REQUIRED as an environment variable, not a ClerkProvider prop: Clerk's own note on auth() says server-side redirect URLs can only come from env vars. Without it, signed-out visitors are bounced to Clerk's hosted portal on accounts.dev instead of our designed screen. P2-OPS-04 must set it in Railway. (4) /portal is the post-sign-in router and the ONLY route that touches the database; every other screen still runs on fixtures, which is what keeps the app buildable and runnable with no DATABASE_URL. (5) THE MIRROR NEVER INVENTS A TENANT. A Clerk identity with no matching User row is authenticated but unprovisioned and is told so, because Phase 1 is a managed marketplace where access is granted by BTG staff rather than self-served. Linking is by verified email: an admin creates the User row ahead of time and first sign-in claims it by writing the real clerkId. (6) src/server/db.ts now builds the Prisma client on FIRST USE rather than on import - next build imports every route module to collect its config, so the eager client turned a missing DATABASE_URL into a build failure rather than a query failure. mock-auth.ts and login-form.tsx are deleted; the login screen keeps its two-panel design with Clerk's &lt;SignIn routing='hash'&gt; in the left panel. CLOSED 2026-09-21. The signed-in path was verified by the user on staging: /portal forwarded to /admin, which is only reachable if the mirror found the seeded row, wrote the real clerkId over the placeholder and read BTG_ADMIN back out of Postgres. All three clauses of the 'Done when' now hold - real sign-in works, User.clerkId mirrors the Clerk identity, and no tenant or role data is written to Clerk Organizations or session claims. 2026-09-21 PASSWORD RESET CONFIRMED WORKING on staging, end to end: Clerk emailed a code, accepted a new password and created a session, with no code of ours involved - &lt;SignIn routing='hash'&gt; drives the whole flow in the URL fragment. This also settles that the instance uses PASSWORDS rather than email codes. One thing seen and diagnosed: after the reset the page hung on 'Signing you in'. The cause was a STALE BROWSER TAB - 'Failed to find Server Action ... from an older or newer deployment' - because web had just been redeployed under an open tab. Not an API or networking fault; the API log showed no request had arrived at all. Any Next.js redeploy does this to open tabs; a hard reload clears it.</t>
        </is>
      </c>
    </row>
    <row r="49" ht="23.85" customHeight="1" s="75">
      <c r="A49" s="112" t="n">
        <v>41</v>
      </c>
      <c r="B49" s="113" t="inlineStr">
        <is>
          <t>P2-BE-04</t>
        </is>
      </c>
      <c r="C49" s="85" t="n">
        <v>2</v>
      </c>
      <c r="D49" s="86" t="inlineStr">
        <is>
          <t>Platform Foundations</t>
        </is>
      </c>
      <c r="E49" s="137" t="inlineStr">
        <is>
          <t>BE</t>
        </is>
      </c>
      <c r="F49" s="122" t="inlineStr">
        <is>
          <t>Code</t>
        </is>
      </c>
      <c r="G49" s="84" t="inlineStr">
        <is>
          <t>Build actor.ts and scope.ts</t>
        </is>
      </c>
      <c r="H49" s="116" t="inlineStr">
        <is>
          <t>Two files that answer 'who is asking' and 'what are they allowed to see'. Every database query in the codebase goes through them. Retrofitting this later is the most expensive mistake available.</t>
        </is>
      </c>
      <c r="I49" s="108" t="inlineStr">
        <is>
          <t>Done</t>
        </is>
      </c>
      <c r="J49" s="108" t="n">
        <v>3</v>
      </c>
      <c r="K49" s="109" t="inlineStr">
        <is>
          <t>2026-09-18</t>
        </is>
      </c>
      <c r="L49" s="109" t="inlineStr">
        <is>
          <t>2026-09-21</t>
        </is>
      </c>
      <c r="M49" s="110" t="inlineStr">
        <is>
          <t>rcfworks</t>
        </is>
      </c>
      <c r="N49" s="85" t="n">
        <v>3</v>
      </c>
      <c r="O49" s="84" t="inlineStr">
        <is>
          <t>P2-BE-02, P2-INT-01</t>
        </is>
      </c>
      <c r="P49" s="84" t="inlineStr">
        <is>
          <t>requireActor() resolves a Clerk user to a Postgres tenant + roles; every scope function defaults to DENY; no query in the codebase bypasses them</t>
        </is>
      </c>
      <c r="Q49" s="86" t="inlineStr">
        <is>
          <t>Addendum A4, Guide §04</t>
        </is>
      </c>
      <c r="R49" s="111" t="inlineStr">
        <is>
          <t>2026-09-18: moved Blocked -&gt; In progress and assigned to rcfworks at the user's instruction, to show the backend/Railway/Clerk cluster as actively owned. THE BLOCKING IS STILL REAL - this row depends on P2-BE-02, P2-INT-01. Read Depends On, not Status, to find what can actually be started. 2026-09-21 IMPLEMENTED, moved to Code review. src/server/actor.ts (requireActor), scope.ts, authz-policy.ts, portal.ts and errors.ts; deployed to staging and verified. THE KEY DESIGN CHOICE: policy and filter are SEPARATE. authz-policy.ts is a complete transcription of the agreed RBAC matrix as pure data - 32 resources x 12 roles x 3 actions, no Prisma, no imports that can drift - which is what lets P2-SEC-01 assert the whole matrix with no database and lets a reviewer diff it against the document line by line. scope.ts turns a scope token into a Prisma where fragment, and ONLY for resources something actually queries (today: user, tenant, auditLog). Writing 30 speculative where fragments for models nothing reads would be authorisation code whose correctness nobody can check, and wrong authorisation code is worse than absent because it looks like protection. Each B-milestone adds its builder with the model in front of it. DENY FAILS CLOSED TWICE: an unlisted resource/role/action denies, AND a resource whose builder is unwritten THROWS rather than returning {} - in Prisma an empty where matches EVERY ROW, so 'no restriction' and 'no access' would otherwise be the same object. That is the single most plausible way to leak a whole tenant. The three cells the matrix defers to its own decisions D1 and D3 resolve to a denial, not an allowance - widening later is safe, narrowing later is a regression someone has already built on. BUG FOUND AND FIXED DURING THE WORK: scopeFor() seeded its accumulator as 'deny' and only replaced on strictly-greater breadth, and 'deferred' and 'deny' are both zero-breadth, so 'deferred' could never surface. Access was still correctly refused but the distinction was unreachable. THIS ALSO CLOSES THE HOLE P2-INT-01 LEFT: the portal layouts checked authentication only, so any signed-in Clerk identity - including a stranger who self-registered - could open the admin workspace. requirePortalAccess() now admits only the roles a portal is for and forwards a wrong-portal visit to the actor's own portal instead of dead-ending. A failure that is neither unauthenticated nor unprovisioned is RETHROWN: an early draft caught everything and would have reported a database outage to the user as 'your account isn't set up yet'. KNOWN SMALL REGRESSION: the sign-in redirect no longer carries ?redirect_url=, because our own redirect('/login') replaced Clerk's auth.protect(). After signing in a user lands on their portal rather than the page they originally asked for. Cosmetic, worth picking up in a polish pass. NOT IN THIS TASK: the field-level rules in matrix §7.1/§7.2 (campaign.budget hidden from athletes, nilJob.athleteBasePay from sponsors) are P2-SEC-02, and 'no query bypasses them' is the bare-findMany lint rule in P2-OPS-06. Verified anonymously on staging: all four portals and /portal 307 to /login, public surface and /r unaffected, no runtime errors. CLOSED 2026-09-21. Verified by the user on staging: /portal forwarded to /admin, and /athlete bounced back to /admin rather than rendering - so requireActor() resolves a Clerk user to a Postgres tenant and roles, and the role gate refuses rather than admitting any signed-in identity. Scope functions default to DENY structurally (verified exhaustively by P2-SEC-01's 1,152-pair suite). ON THE THIRD CLAUSE, 'no query in the codebase bypasses them': one query does, by necessity - the actor bootstrap in identity.ts reads the User row by clerkId, and it CANNOT go through scope.ts because scope.ts needs an actor that does not exist yet. That is the single documented exception and it is inherent to any resolve-the-actor step. Every other database read goes through whereFor(). P2-OPS-06's bare-findMany lint rule is what keeps that true as the codebase grows. 2026-09-21 RELOCATED TO THE BACKEND, decision taken by the user the same day. policy/scope/errors/actor now live in backend/src/auth and the frontend no longer reads Postgres at all. THE DECIDING ARGUMENT: /api/v1 is reached by the portals, by §8's API service account and by INFINEX on equal terms, so authorisation enforced in the Next app covered exactly one caller of three. The secondary argument was two Prisma clients - one per workspace - where the forgotten enforcement point is the leak and will not be the one under test. New shape: resolveActor() is pure domain logic over Postgres (testable with no HTTP and no Clerk), requireActor() is Express middleware, and backend/src/auth/clerk.ts is the ONLY backend file that knows Clerk exists, because stack-decision.md keeps a live revisit trigger on Clerk. GET /api/v1/me returns tenant and roles and also completes a first sign-in, since claiming a provisioned row happens inside resolveActor(). @clerk/backend was already in the tree via @clerk/nextjs but is now DECLARED in backend/package.json - relying on a transitive dependency is how a build breaks on someone else's upgrade. portalFor() stayed in the frontend: which workspace to render is routing, not authorisation. The 1,152-pair suite moved to backend/tests and cost nothing to move, because P2-BE-04 kept the matrix as data. FOLLOW-UP LEFT OPEN: frontend/src/server/{db,audit,outbox}.ts are now orphaned - nothing imports them - but they are still a second Prisma client in the frontend, which is the hazard this move exists to remove. They are P2-BE-05/P2-BE-06 work, so they should follow in their own change rather than be swept up here.</t>
        </is>
      </c>
    </row>
    <row r="50" ht="23.85" customHeight="1" s="75">
      <c r="A50" s="104" t="n">
        <v>42</v>
      </c>
      <c r="B50" s="105" t="inlineStr">
        <is>
          <t>P2-BE-05</t>
        </is>
      </c>
      <c r="C50" s="81" t="n">
        <v>2</v>
      </c>
      <c r="D50" s="82" t="inlineStr">
        <is>
          <t>Platform Foundations</t>
        </is>
      </c>
      <c r="E50" s="139" t="inlineStr">
        <is>
          <t>BE</t>
        </is>
      </c>
      <c r="F50" s="120" t="inlineStr">
        <is>
          <t>Code</t>
        </is>
      </c>
      <c r="G50" s="80" t="inlineStr">
        <is>
          <t>Build the outbox + pg-boss drain</t>
        </is>
      </c>
      <c r="H50" s="107" t="inlineStr">
        <is>
          <t>Background jobs stored in Postgres rather than Redis. The key property: a job is saved in the same transaction as the thing that caused it, so neither can exist without the other.</t>
        </is>
      </c>
      <c r="I50" s="108" t="inlineStr">
        <is>
          <t>Done</t>
        </is>
      </c>
      <c r="J50" s="108" t="n">
        <v>3</v>
      </c>
      <c r="K50" s="109" t="inlineStr">
        <is>
          <t>2026-09-18</t>
        </is>
      </c>
      <c r="L50" s="109" t="inlineStr">
        <is>
          <t>2026-09-18</t>
        </is>
      </c>
      <c r="M50" s="110" t="inlineStr">
        <is>
          <t>rcfworks</t>
        </is>
      </c>
      <c r="N50" s="81" t="n">
        <v>7</v>
      </c>
      <c r="O50" s="80" t="inlineStr">
        <is>
          <t>P2-BE-02</t>
        </is>
      </c>
      <c r="P50" s="80" t="inlineStr">
        <is>
          <t>enqueue() writes an outbox row in the caller's transaction; the worker drains with FOR UPDATE SKIP LOCKED; two worker instances never double-process a row</t>
        </is>
      </c>
      <c r="Q50" s="82" t="inlineStr">
        <is>
          <t>Addendum A3, Guide §05</t>
        </is>
      </c>
      <c r="R50" s="111" t="inlineStr">
        <is>
          <t>2026-09-18: moved Blocked -&gt; In progress and assigned to rcfworks at the user's instruction, to show the backend/Railway/Clerk cluster as actively owned. THE BLOCKING IS STILL REAL - this row depends on P2-BE-02. Read Depends On, not Status, to find what can actually be started. DELIVERED 2026-09-18, closed straight to Done at the user's instruction (code review skipped). src/server/outbox.ts - enqueue(tx, tenantId, name, payload) takes a TransactionClient, not the db client, so writing outside the caller's transaction is awkward to do by accident; JobName is a string union so a typo is a compile error rather than a job nothing handles. src/server/db.ts - the Prisma 7 client built on the PrismaPg driver adapter, cached on globalThis in development because a fresh client per Next hot reload exhausts the pool in minutes. worker/index.mts - pg-boss boot (its schema installs HERE and only here, Guide §10 rule 3) plus a 1s drain doing SELECT ... FOR UPDATE SKIP LOCKED LIMIT 100, send, then mark dispatched. THREE THINGS WORTH KNOWING. (1) The worker is .mts, not .ts: the package is type=commonjs and the generated Prisma client is ESM-syntax TypeScript, so plain node cannot load it - Next bundles, this process does not. .mts is always ESM, Node 24 strips types natively, no build step and no bundler. (2) pg-boss 12 is ESM and exports PgBoss as a NAMED export; `import PgBoss from 'pg-boss'` fails at load with 'does not provide an export named default'. (3) DELIVERY IS AT-LEAST-ONCE - the drain sends then marks, so a crash between the two re-sends on the next tick. Deliberate: marking first risks losing a job, and a duplicated Zoho push is recoverable where a dropped one is silent. EVERY HANDLER MUST BE IDEMPOTENT. New pinned dependencies: @prisma/adapter-pg 7.10.0, pg 8.23.0, @types/pg 8.23.1 (dev) - exact versions, no carets, per P0-PMO-11. No job handlers are registered yet; each lands with the feature that needs it, and until then jobs queue visibly rather than dropping. Railway start command updated to `node worker/index.mts`; build and typecheck pass.</t>
        </is>
      </c>
    </row>
    <row r="51" ht="35.05" customHeight="1" s="75">
      <c r="A51" s="112" t="n">
        <v>43</v>
      </c>
      <c r="B51" s="113" t="inlineStr">
        <is>
          <t>P2-BE-03</t>
        </is>
      </c>
      <c r="C51" s="85" t="n">
        <v>2</v>
      </c>
      <c r="D51" s="86" t="inlineStr">
        <is>
          <t>Platform Foundations</t>
        </is>
      </c>
      <c r="E51" s="137" t="inlineStr">
        <is>
          <t>BE</t>
        </is>
      </c>
      <c r="F51" s="122" t="inlineStr">
        <is>
          <t>Code</t>
        </is>
      </c>
      <c r="G51" s="84" t="inlineStr">
        <is>
          <t>Add the partial indexes Prisma will not create</t>
        </is>
      </c>
      <c r="H51" s="116" t="inlineStr">
        <is>
          <t>A handful of database indexes Prisma cannot generate — including the one that makes a reward physically impossible to redeem twice.</t>
        </is>
      </c>
      <c r="I51" s="108" t="inlineStr">
        <is>
          <t>Done</t>
        </is>
      </c>
      <c r="J51" s="108" t="n">
        <v>1</v>
      </c>
      <c r="K51" s="109" t="inlineStr">
        <is>
          <t>2026-09-18</t>
        </is>
      </c>
      <c r="L51" s="109" t="inlineStr">
        <is>
          <t>2026-09-18</t>
        </is>
      </c>
      <c r="M51" s="110" t="inlineStr">
        <is>
          <t>rcfworks</t>
        </is>
      </c>
      <c r="N51" s="85" t="n">
        <v>1</v>
      </c>
      <c r="O51" s="84" t="inlineStr">
        <is>
          <t>P2-BE-02</t>
        </is>
      </c>
      <c r="P51" s="84" t="inlineStr">
        <is>
          <t>prisma/sql/ holds them; critically the partial unique index that makes single-use reward redemption race-safe</t>
        </is>
      </c>
      <c r="Q51" s="86" t="inlineStr">
        <is>
          <t>Guide §03</t>
        </is>
      </c>
      <c r="R51" s="111" t="inlineStr">
        <is>
          <t>2026-09-18: moved Blocked -&gt; In progress and assigned to rcfworks at the user's instruction, to show the backend/Railway/Clerk cluster as actively owned. THE BLOCKING IS STILL REAL - this row depends on P2-BE-02. Read Depends On, not Status, to find what can actually be started. DELIVERED 2026-09-18: prisma/sql/ holds the three indexes with a README, and migration 20260918080000_partial_indexes applies them. reward_single_redeem is the one that carries real risk - a UNIQUE index on RewardEvent(tokenId) WHERE type='REDEEM'. Two fans scanning the same code in the same millisecond at an event is not hypothetical, and an application-level 'already redeemed?' check reads before it writes and loses that race every time; the correct implementation is to attempt the insert, catch the unique violation and render 'already used'. outbox_pending keeps the drain index the size of the backlog rather than of all history. SCHEMA CHANGE MADE HERE: CampaignInvite's full @@unique([campaignId, athleteId, jobId]) was DROPPED and replaced by a plain index plus the partial unique invite_one_open over ('INVITED','VIEWED'). The full constraint was too strong - it forbade re-inviting an athlete whose previous invitation had EXPIRED or been DECLINED, which is ordinary business and which §21 treats as a normal terminal state. The rule actually wanted is 'no two live offers for the same work'. `prisma validate` passes, client regenerates, build compiles; the migration has not run yet - it applies on the next deploy to main. PROVEN 2026-09-18 08:44 UTC: merged as PR #8 (a0ddb357); the staging pre-deploy logged '2 migrations found', 'Applying migration 20260918080000_partial_indexes', 'All migrations have been successfully applied.' Deployment e40f2e89 SUCCESS. All three partial indexes and the CampaignInvite constraint change are live in the staging database. Verified 2026-09-22: prisma/sql/ holds invite_one_open.sql, outbox_pending.sql and reward_single_redeem.sql. The named critical one is a genuine PARTIAL UNIQUE index — CREATE UNIQUE INDEX ... WHERE type = 'REDEEM' — which is what makes single-use redemption race-safe in the database rather than in a query.</t>
        </is>
      </c>
    </row>
    <row r="52" ht="46.25" customHeight="1" s="75">
      <c r="A52" s="104" t="n">
        <v>44</v>
      </c>
      <c r="B52" s="105" t="inlineStr">
        <is>
          <t>P2-BE-08</t>
        </is>
      </c>
      <c r="C52" s="81" t="n">
        <v>2</v>
      </c>
      <c r="D52" s="82" t="inlineStr">
        <is>
          <t>Platform Foundations</t>
        </is>
      </c>
      <c r="E52" s="139" t="inlineStr">
        <is>
          <t>BE</t>
        </is>
      </c>
      <c r="F52" s="120" t="inlineStr">
        <is>
          <t>Code</t>
        </is>
      </c>
      <c r="G52" s="80" t="inlineStr">
        <is>
          <t>Build the R2 presign module</t>
        </is>
      </c>
      <c r="H52" s="107" t="inlineStr">
        <is>
          <t>Generate temporary upload links so a phone can send video straight to Cloudflare rather than through your server. Large uploads through a Node server is how a busy content day becomes an outage.</t>
        </is>
      </c>
      <c r="I52" s="108" t="inlineStr">
        <is>
          <t>Done</t>
        </is>
      </c>
      <c r="J52" s="108" t="n">
        <v>3</v>
      </c>
      <c r="K52" s="109" t="inlineStr">
        <is>
          <t>2026-09-18</t>
        </is>
      </c>
      <c r="L52" s="109" t="inlineStr">
        <is>
          <t>2026-09-21</t>
        </is>
      </c>
      <c r="M52" s="110" t="inlineStr">
        <is>
          <t>rcfworks</t>
        </is>
      </c>
      <c r="N52" s="81" t="n">
        <v>2</v>
      </c>
      <c r="O52" s="80" t="inlineStr">
        <is>
          <t>P0-OPS-02</t>
        </is>
      </c>
      <c r="P52" s="80" t="inlineStr">
        <is>
          <t>presignUpload() issues short-TTL signed PUTs against the private bucket; public-bucket reads need no signing; every private grant is audited</t>
        </is>
      </c>
      <c r="Q52" s="82" t="inlineStr">
        <is>
          <t>Addendum A8, Guide §11</t>
        </is>
      </c>
      <c r="R52" s="111" t="inlineStr">
        <is>
          <t>2026-09-18: moved Blocked -&gt; In progress and assigned to rcfworks at the user's instruction, to show the backend/Railway/Clerk cluster as actively owned. THE BLOCKING IS STILL REAL - this row depends on P0-OPS-02. Read Depends On, not Status, to find what can actually be started. 2026-09-21 PRESIGNING PROVEN AGAINST REAL R2, not just MinIO. An R2 Account API token (Object Read &amp; Write, scoped to the two buckets, no expiry, no IP filter) is in the repo-root .env, which the backend reads via --env-file-if-exists. Results: presigned PUT with a 900s TTL uploaded through the signed URL (200); presigned GET read the same object back (200, exact content); THE SAME OBJECT UNSIGNED WAS REFUSED - HTTP 400 InvalidArgument/Authorization with the file's contents withheld, confirmed by writing a canary string and checking the error body does not contain it; an upload to the public bucket was then readable over the r2.dev host WITH NO SIGNATURE (200). That is the acceptance's 'short-TTL signed PUTs against the private bucket; public-bucket reads need no signing' demonstrated end to end. All probe objects deleted afterwards; both buckets verified empty. NOTE ON THE 400: R2 answers an unsigned S3 request with 400, not 401/403. A test asserting only on 401/403 reports a false leak - assert on whether the CONTENT comes back, which is the property that matters. TOKEN SCOPE, DELIBERATE: Object Read &amp; Write cannot edit bucket configuration, so it cannot set the CORS policy and cannot delete a bucket. That is the right trade for a credential that will live unattended in Railway. CORS is therefore a dashboard paste or a short-lived admin token, not a widening of this one. STILL OUTSTANDING FOR THIS ROW: (1) the audit clause - 'every private grant is audited' - now reachable because P2-BE-06's helper moved to backend/src/db/audit.ts, but the presign path does not call it yet; (2) the CORS policy on sponsorx-private, without which a browser PUT to a presigned URL fails as a cross-origin request; (3) R2 credentials are not yet in Railway (P2-OPS-04). DONE 2026-09-21. All three clauses of the 'Done when' now hold. SHORT-TTL SIGNED PUTS: 15 minutes, long enough for a phone on a poor connection, short enough that a leaked URL is worth little. PUBLIC READS NEED NO SIGNING: verified over the r2.dev host with no credential. EVERY PRIVATE GRANT IS AUDITED - and the way that is made true matters: the raw presigners are NO LONGER EXPORTED, so the private bucket is reachable only through presignPrivateUpload/presignPrivateDownload, both of which demand an actor and write the audit row first. Removing the unaudited path is what makes the rule hold; remembering to call the audit is not. THE GRANT IS THE AUDITABLE EVENT, not the upload. The browser talks straight to R2, so the server never observes the PUT - the last moment anything can be recorded is when the credential is handed over. The row records bucket, key, contentType and TTL, and DELIBERATELY NOT THE SIGNED URL: that string IS the credential, and copying it into a table every BTG_ADMIN can read would turn the audit log into a set of live keys to the private bucket. There is a test asserting the URL never appears in the audit payload. FAILS CLOSED: the audit runs inside a transaction before the URL is returned, so if the audit write fails no credential is issued. An unlogged grant is precisely what the acceptance forbids. Also added assertSafeKey - a key containing .. or a leading slash is refused, because keys are built partly from user-supplied filenames and writing outside the intended prefix is the same failure as traversal by another mechanism. PUBLIC GRANTS ARE NOT AUDITED, deliberately: the bucket is world-readable by design, so a grant to write published assets discloses nothing the CDN does not already serve. CORS on sponsorx-private is live - preflight verified from all three allowed origins (204, echoing the origin, PUT+GET) and REFUSED for an unlisted origin (403). No wildcard: a presigned URL is a bearer credential in a query string, and '*' would let any site holding one use it from a victim's browser. TESTS: backend/tests/storage.grants.test.ts, 7 tests, no database and no network - Prisma and the presigner are mocked because the rule is what is under test, not AWS's signing. MUTATION-CHECKED: removing the audit call from the upload path makes 2 of them fail, so they catch the regression they exist for rather than merely passing. Backend suite now 26. STILL OUTSTANDING BUT NOT THIS ROW: R2 credentials are not yet in Railway (P2-OPS-04), and the r2.dev public hostname should become a custom domain such as cdn.sponsorx.net before launch.</t>
        </is>
      </c>
    </row>
    <row r="53" ht="35.05" customHeight="1" s="75">
      <c r="A53" s="112" t="n">
        <v>45</v>
      </c>
      <c r="B53" s="113" t="inlineStr">
        <is>
          <t>P2-OPS-03</t>
        </is>
      </c>
      <c r="C53" s="85" t="n">
        <v>2</v>
      </c>
      <c r="D53" s="86" t="inlineStr">
        <is>
          <t>Platform Foundations</t>
        </is>
      </c>
      <c r="E53" s="123" t="inlineStr">
        <is>
          <t>OPS</t>
        </is>
      </c>
      <c r="F53" s="124" t="inlineStr">
        <is>
          <t>Vendor console</t>
        </is>
      </c>
      <c r="G53" s="84" t="inlineStr">
        <is>
          <t>Wire migrations as a pre-deploy release step</t>
        </is>
      </c>
      <c r="H53" s="116" t="inlineStr">
        <is>
          <t>Database migrations run as a release step just before new code goes live — never during the build, which runs far more often.</t>
        </is>
      </c>
      <c r="I53" s="108" t="inlineStr">
        <is>
          <t>Done</t>
        </is>
      </c>
      <c r="J53" s="108" t="n">
        <v>1</v>
      </c>
      <c r="K53" s="109" t="inlineStr">
        <is>
          <t>2026-09-18</t>
        </is>
      </c>
      <c r="L53" s="109" t="inlineStr">
        <is>
          <t>2026-09-18</t>
        </is>
      </c>
      <c r="M53" s="110" t="inlineStr">
        <is>
          <t>rcfworks</t>
        </is>
      </c>
      <c r="N53" s="85" t="n">
        <v>1</v>
      </c>
      <c r="O53" s="84" t="inlineStr">
        <is>
          <t>P2-OPS-01</t>
        </is>
      </c>
      <c r="P53" s="84" t="inlineStr">
        <is>
          <t>prisma migrate deploy runs as Railway's pre-deploy command before the new version takes traffic — never in the build step</t>
        </is>
      </c>
      <c r="Q53" s="86" t="inlineStr">
        <is>
          <t>Guide §10</t>
        </is>
      </c>
      <c r="R53" s="111" t="inlineStr">
        <is>
          <t>2026-09-18. preDeployCommand set on staging web: ['npx prisma migrate deploy']. The field takes an ARRAY, and a single shell string in that array - an argv-style array is rejected with 'Invalid input'. Set on web, not worker, so one service owns schema migration and two cannot race. AT CODE REVIEW because it has not run yet: the first execution happens on the next deploy to main, and that is also when we learn whether `prisma migrate deploy` exits 0 with no migrations directory present. If it exits non-zero the deploy is blocked and the previous version keeps serving - which is the correct failure, and the reason this was set in staging first. CLOSED 2026-09-18 at the user's instruction - no problem was encountered; the configuration is in place and verified by reading it back from the Railway API. What remains is execution, not correctness: these commands first RUN on the next deploy of main, and that cannot be brought forward without deploying. 2026-09-18: set back to In progress under rcfworks at the user's instruction, so the whole Railway / Clerk / backend-setup cluster reads as one owned workstream. THE WORK ITSELF IS FINISHED and was completed on 2026-09-18 - the Date Done column still holds it. Status here signals ownership of the workstream, not that the work is outstanding. PROVEN 2026-09-18 07:27 UTC: the pre-deploy step executed for the first time on deployment 08cd56a3 and applied the initial migration before the new version took traffic. Pinning mattered - the command is `npx prisma@7.10.0 migrate deploy`, and unpinned npx would have pulled 8.0.0-rc.15 against a client on 7.10.0. 2026-09-21 PROVEN, and it had been BROKEN by the repo split. The preDeployCommand read 'npx prisma@7.10.0 migrate deploy' and sat on the WEB service - written when Prisma lived at the repo root. After the split Prisma moved to backend/, so that command would have run in a workspace with no schema and applied nothing while reporting success. Corrected to 'npm run prisma:deploy -w @sponsorx/backend' AND MOVED OFF web ONTO the backend service, because Guide §10 is explicit that one service owns schema migration and two must not race. First real run output 'All migrations have been successfully applied' - see P2-BE-02.</t>
        </is>
      </c>
    </row>
    <row r="54" ht="35.05" customHeight="1" s="75">
      <c r="A54" s="104" t="n">
        <v>46</v>
      </c>
      <c r="B54" s="105" t="inlineStr">
        <is>
          <t>P2-BE-01</t>
        </is>
      </c>
      <c r="C54" s="81" t="n">
        <v>2</v>
      </c>
      <c r="D54" s="82" t="inlineStr">
        <is>
          <t>Platform Foundations</t>
        </is>
      </c>
      <c r="E54" s="139" t="inlineStr">
        <is>
          <t>BE</t>
        </is>
      </c>
      <c r="F54" s="120" t="inlineStr">
        <is>
          <t>Code</t>
        </is>
      </c>
      <c r="G54" s="80" t="inlineStr">
        <is>
          <t>Install and pin the dependency set</t>
        </is>
      </c>
      <c r="H54" s="107" t="inlineStr">
        <is>
          <t>Install every library at its pinned version and set up the Prisma config.</t>
        </is>
      </c>
      <c r="I54" s="108" t="inlineStr">
        <is>
          <t>Done</t>
        </is>
      </c>
      <c r="J54" s="108" t="n">
        <v>1</v>
      </c>
      <c r="K54" s="109" t="inlineStr">
        <is>
          <t>2026-09-15</t>
        </is>
      </c>
      <c r="L54" s="109" t="inlineStr">
        <is>
          <t>2026-09-22</t>
        </is>
      </c>
      <c r="M54" s="110" t="inlineStr">
        <is>
          <t>rcfworks</t>
        </is>
      </c>
      <c r="N54" s="81" t="n">
        <v>3</v>
      </c>
      <c r="O54" s="80" t="inlineStr">
        <is>
          <t>P0-PMO-11</t>
        </is>
      </c>
      <c r="P54" s="80" t="inlineStr">
        <is>
          <t>Every package from Guide §01 installed at an exact version; prisma.config.ts present with the explicit client output path</t>
        </is>
      </c>
      <c r="Q54" s="82" t="inlineStr">
        <is>
          <t>Guide §01</t>
        </is>
      </c>
      <c r="R54" s="111" t="inlineStr">
        <is>
          <t>Installed 2026-09-15 at the P0-PMO-11 pins: 17 deps + 11 devDeps, zero carets. twilio deliberately NOT installed (SMS undecided, G-06 open). @types/node corrected 20.19.43 -&gt; 24.13.4 to match the Node 24.21.0 runtime. prisma.config.ts + skeleton prisma/schema.prisma; client generates to src/generated/prisma (gitignored). Two Prisma 7 breaking changes recorded in Guide S01. npm 11 blocks install scripts - prisma and @prisma/engines approved or the query engine never downloads. Open: npm audit reports 4 high in mysql2 via @prisma/config; unreachable (we use Postgres) and the only fix is a downgrade to prisma 6 - NOT taken. APPROVED 2026-09-16: technical approval given, moved Code review -&gt; Done. 2026-09-18: set back to In progress under rcfworks at the user's instruction, so the whole Railway / Clerk / backend-setup cluster reads as one owned workstream. THE WORK ITSELF IS FINISHED and was completed on 2026-09-16 - the Date Done column still holds it. Status here signals ownership of the workstream, not that the work is outstanding. Audited 2026-09-22 — NOT met: four dependencies still carry caret ranges (express, ioredis, tsx, @types/express) where the acceptance asks for exact versions. prisma.config.ts is present. CLOSED 2026-09-22: the four caret ranges (express, ioredis, tsx, @types/express) are pinned exactly. prisma.config.ts carries the explicit client output path.</t>
        </is>
      </c>
    </row>
    <row r="55" ht="46.25" customHeight="1" s="75">
      <c r="A55" s="112" t="n">
        <v>47</v>
      </c>
      <c r="B55" s="113" t="inlineStr">
        <is>
          <t>P2-OPS-09</t>
        </is>
      </c>
      <c r="C55" s="85" t="n">
        <v>2</v>
      </c>
      <c r="D55" s="86" t="inlineStr">
        <is>
          <t>Platform Foundations</t>
        </is>
      </c>
      <c r="E55" s="123" t="inlineStr">
        <is>
          <t>OPS</t>
        </is>
      </c>
      <c r="F55" s="124" t="inlineStr">
        <is>
          <t>Vendor console</t>
        </is>
      </c>
      <c r="G55" s="84" t="inlineStr">
        <is>
          <t>Establish staging + production environments</t>
        </is>
      </c>
      <c r="H55" s="116" t="inlineStr">
        <is>
          <t>Stand up staging and production, each with its own database. Turn on backups and confirm you can actually restore to a point in time.</t>
        </is>
      </c>
      <c r="I55" s="108" t="inlineStr">
        <is>
          <t>Done</t>
        </is>
      </c>
      <c r="J55" s="108" t="n">
        <v>3</v>
      </c>
      <c r="K55" s="109" t="inlineStr">
        <is>
          <t>2026-09-18</t>
        </is>
      </c>
      <c r="L55" s="109" t="inlineStr">
        <is>
          <t>2026-09-18</t>
        </is>
      </c>
      <c r="M55" s="110" t="inlineStr">
        <is>
          <t>rcfworks</t>
        </is>
      </c>
      <c r="N55" s="85" t="n">
        <v>2</v>
      </c>
      <c r="O55" s="84" t="inlineStr">
        <is>
          <t>P2-OPS-03</t>
        </is>
      </c>
      <c r="P55" s="84" t="inlineStr">
        <is>
          <t>Both exist with their own Postgres; scheduled backups on for production; point-in-time restore confirmed available on the plan</t>
        </is>
      </c>
      <c r="Q55" s="86" t="inlineStr">
        <is>
          <t>Guide §10</t>
        </is>
      </c>
      <c r="R55" s="111" t="inlineStr">
        <is>
          <t>Started 2026-09-18, STAGING HALF DONE, production half deliberately deferred - see documentation/SponsorX-Database-Backup-Runbook.md. Staging has its own Postgres with point-in-time recovery ENABLED and bucket wired, daily + weekly scheduled backups on, and a RESTORE ACTUALLY TESTED: manual backup e005db9e created and restored in place, service back to SUCCESS in about a minute with PITR still on. Backup bucket 'sponsorx-pg-backups' 34211549 in region 'iad' - Railway bucket regions use their own names (sjc/iad/ams/sin), not service region ids, and iad is the US East one G-02 requires; a backup bucket in the wrong region puts a full copy of the database outside the agreed jurisdiction. TWO THINGS LEARNED: `pitr backup restore` has no --new-service-name and restores IN PLACE, destructively, while `pitr restore --at` builds a NEW service and leaves the live one alone - the second is the incident tool. And a restore to a time before PITR was enabled fails outright ('Failed to start the point-in-time restore'), so the recovery window starts at enable time. NOT CLOSED because production has no database yet: it gets one at promotion, from the runbook. Also not proven: any restore containing real data - the staging database is empty until P2-BE-02. CLOSED 2026-09-18: production now has its own database too, at the user's direction. 'Postgres-production' (75db2da3), volume 46c1b4b9 in us-east4-eqdc4a, PITR enabled and bucket wired, backups daily+weekly+monthly. production web's DATABASE_URL resolves to postgres-apsb.railway.internal. Creating it NOW rather than at promotion is the better call for one specific reason: the PITR recovery window starts when PITR is enabled, so a database protected from the moment it exists has no unprotected first hours. NAMING: service names are unique per project, so production's cannot also be called 'Postgres' - hence 'Postgres-production', and its DATABASE_URL reference is ${{Postgres-production.DATABASE_URL}} rather than ${{Postgres.DATABASE_URL}}. The two environments therefore use different reference strings; do not copy one to the other. 2026-09-18: set back to In progress under rcfworks at the user's instruction, so the whole Railway / Clerk / backend-setup cluster reads as one owned workstream. THE WORK ITSELF IS FINISHED and was completed on 2026-09-18 - the Date Done column still holds it. Status here signals ownership of the workstream, not that the work is outstanding. 2026-09-21 DECISION, and it is a cost decision rather than an architectural one: the Express API and the pg-boss worker will run in ONE Railway service for now, not two. Addendum B separated them deliberately - different scaling, a slow job should not slow a request, a crash in one should not take the other down - and that reasoning still holds. What changed is that Railway bills per service and Phase 1 is a 25-athlete pilot. The user chose the cheaper option explicitly. IT IS BUILT TO BE REVERSED. src/index.ts still runs the API alone and worker/index.mts still runs the worker alone; both are untouched. src/combined.mts starts both, and splitting later means pointing two services at the two existing files and deleting one. That is why the worker was refactored to EXPORT startWorker/stopWorker and to self-start only when it is the entrypoint - without that guard, importing it would start it twice and two drains would compete for the same rows. WHAT IS GIVEN UP, recorded so nobody is surprised: one crash takes both down; they restart together, so an API deploy interrupts the drain; they share an event loop. Phase 1's jobs are IO-bound so the last costs little - THE FIRST CPU-BOUND JOB (PDF rendering, image derivatives) IS THE SIGNAL TO SPLIT. Ordering verified locally: the API binds and logs 'listening' BEFORE the worker starts, so a slow pg-boss migration cannot fail Railway's health check; and when Postgres is absent the worker's failure exits the process, taking the API with it - which is intended, because a deploy whose queue cannot drain is not a successful deploy. STILL TO DO: create nothing, but repoint the existing services at the workspaces - web at frontend/, worker at 'npm run start -w @sponsorx/backend' - and set the R2 and Clerk variables on the combined service. The CLI can create and link services and set variables; per-service root directory and build/start commands are the part it does not expose. 2026-09-21 STAGING IS RUNNING BOTH HALVES OF THE SPLIT REPO. Service config was set through Railway's GraphQL API, since the CLI exposes neither build nor start commands: the backend service builds and starts @sponsorx/backend with healthcheck /health, web builds and starts @sponsorx/frontend. The 'worker' service was RENAMED to 'api' because it runs both processes - but NOTE THE PRIVATE HOSTNAME DID NOT FOLLOW, it is still worker.railway.internal. Railway fixes the internal domain at creation; a previous session recorded the same behaviour renaming the Postgres service. API_URL therefore stays worker.railway.internal:4000 and the name/hostname mismatch is permanent for this service. Verified live: /, /packages, /join, /brief and /r/[token] serve 200; /admin, /sponsor, /athlete and /portal 307 to /login; /login serves Clerk. The API has NO public domain, by design - only web reaches it, over the private network.</t>
        </is>
      </c>
    </row>
    <row r="56" ht="23.85" customHeight="1" s="75">
      <c r="A56" s="104" t="n">
        <v>48</v>
      </c>
      <c r="B56" s="105" t="inlineStr">
        <is>
          <t>P2-OPS-05</t>
        </is>
      </c>
      <c r="C56" s="81" t="n">
        <v>2</v>
      </c>
      <c r="D56" s="82" t="inlineStr">
        <is>
          <t>Platform Foundations</t>
        </is>
      </c>
      <c r="E56" s="132" t="inlineStr">
        <is>
          <t>OPS</t>
        </is>
      </c>
      <c r="F56" s="120" t="inlineStr">
        <is>
          <t>Code</t>
        </is>
      </c>
      <c r="G56" s="80" t="inlineStr">
        <is>
          <t>Write the environment seed job</t>
        </is>
      </c>
      <c r="H56" s="107" t="inlineStr">
        <is>
          <t>A script that fills an empty database with realistic demo data. Because preview environments start empty on Railway, this is infrastructure — if it rots, every preview becomes useless.</t>
        </is>
      </c>
      <c r="I56" s="108" t="inlineStr">
        <is>
          <t>Done</t>
        </is>
      </c>
      <c r="J56" s="108" t="n">
        <v>3</v>
      </c>
      <c r="K56" s="109" t="inlineStr">
        <is>
          <t>2026-09-18</t>
        </is>
      </c>
      <c r="L56" s="109" t="inlineStr">
        <is>
          <t>2026-09-22</t>
        </is>
      </c>
      <c r="M56" s="110" t="inlineStr">
        <is>
          <t>rcfworks</t>
        </is>
      </c>
      <c r="N56" s="81" t="n">
        <v>2</v>
      </c>
      <c r="O56" s="80" t="inlineStr">
        <is>
          <t>P2-BE-02</t>
        </is>
      </c>
      <c r="P56" s="80" t="inlineStr">
        <is>
          <t>worker/jobs/seed-environment.ts builds a usable demo tenant from scratch; a fresh PR environment is immediately usable</t>
        </is>
      </c>
      <c r="Q56" s="82" t="inlineStr">
        <is>
          <t>Guide §10</t>
        </is>
      </c>
      <c r="R56" s="111" t="inlineStr">
        <is>
          <t>2026-09-18: moved Blocked -&gt; In progress and assigned to rcfworks at the user's instruction, to show the backend/Railway/Clerk cluster as actively owned. THE BLOCKING IS STILL REAL - this row depends on P2-BE-02. Read Depends On, not Status, to find what can actually be started. 2026-09-21 PARTIAL: the identity slice is built and running. worker/jobs/seed-environment.mts seeds a demo tenant and five users (the four portal roles reusing the old mock-auth addresses, plus the real operator account) at WORKER BOOT rather than as a command someone remembers, because Railway previews start empty. It refuses outright in production, is idempotent via deterministic ids and ON CONFLICT DO NOTHING, and writes PLACEHOLDER clerkIds only - a seeded user is an invitation to claim, which the mirror converts on first sign-in; a fabricated Clerk id would permanently shadow the real identity because clerkId is unique. Confirmed on staging: '[worker] seed complete - 1 tenant(s) and 5 user(s) created'. A seed failure is logged and swallowed so a worker that cannot seed still drains the outbox. BUILD GOTCHA FIXED HERE: the Next build type-checks the worker, and TypeScript rejected the ./jobs/seed-environment.mts specifier with TS5097 while Node's ESM loader REQUIRES that extension at runtime - the worker is not bundled. allowImportingTsExtensions reconciles them and is safe because noEmit is true. The first worker file to import another hit this; any future one would have too. STILL OUTSTANDING: the wider demo data across the §39 loop - athletes, sponsors, campaigns, deliverables - so the row stays In progress. Audited 2026-09-22 — NOT met: the seed builds a tenant, five users and the commercial catalogue, but no athletes, campaigns or orders, so a fresh environment is not 'immediately usable' as a demo. The roadmap lists the rest of the seed's demo data as still owed. CLOSED 2026-09-22: the seed now builds a usable demo tenant — a verified guardian, three athletes and a sponsor, plus the catalogue. The three athletes are an ACTIVE adult, an ACTIVE minor with a verified guardian and a SUBMITTED minor without one, because those take three different paths through §37 and a reviewer needs all three.</t>
        </is>
      </c>
    </row>
    <row r="57" ht="35.05" customHeight="1" s="75">
      <c r="A57" s="112" t="n">
        <v>49</v>
      </c>
      <c r="B57" s="113" t="inlineStr">
        <is>
          <t>P2-OPS-11</t>
        </is>
      </c>
      <c r="C57" s="85" t="n">
        <v>2</v>
      </c>
      <c r="D57" s="86" t="inlineStr">
        <is>
          <t>Platform Foundations</t>
        </is>
      </c>
      <c r="E57" s="123" t="inlineStr">
        <is>
          <t>OPS</t>
        </is>
      </c>
      <c r="F57" s="124" t="inlineStr">
        <is>
          <t>Vendor console</t>
        </is>
      </c>
      <c r="G57" s="84" t="inlineStr">
        <is>
          <t>Configure monitoring and alerting</t>
        </is>
      </c>
      <c r="H57" s="116" t="inlineStr">
        <is>
          <t>Make service health, queue depth and failed jobs visible, and make sure somebody gets woken up if the worker stops processing.</t>
        </is>
      </c>
      <c r="I57" s="108" t="inlineStr">
        <is>
          <t>Done</t>
        </is>
      </c>
      <c r="J57" s="108" t="n">
        <v>3</v>
      </c>
      <c r="K57" s="109" t="inlineStr">
        <is>
          <t>2026-09-18</t>
        </is>
      </c>
      <c r="L57" s="109" t="n">
        <v>46303</v>
      </c>
      <c r="M57" s="110" t="inlineStr">
        <is>
          <t>rcfworks</t>
        </is>
      </c>
      <c r="N57" s="85" t="n">
        <v>1</v>
      </c>
      <c r="O57" s="84" t="inlineStr">
        <is>
          <t>P2-OPS-09</t>
        </is>
      </c>
      <c r="P57" s="84" t="inlineStr">
        <is>
          <t>Service health, queue depth, failed jobs and error rate all visible; someone is paged when the worker stops draining</t>
        </is>
      </c>
      <c r="Q57" s="86" t="inlineStr">
        <is>
          <t>§38</t>
        </is>
      </c>
      <c r="R57" s="111" t="inlineStr">
        <is>
          <t>Started 2026-09-18 - see documentation/SponsorX-Monitoring-Plan.md. TWO OF FOUR SIGNALS ARE LIVE: service health (CPU, memory, network, service up/down) and volume usage vs limit, confirmed with `railway metrics --all`. Deployment success/failure is visible too. That is visibility, NOT alerting - nobody is told. THREE BLOCKERS, none of them task dependencies, which is why the board showed this Ready: (1) QUEUE DEPTH and FAILED JOBS cannot be measured because there is no queue - worker/index.js is a placeholder and pg-boss is not attached; these arrive with the task that makes the worker real, and they are the signals that matter most because a worker that is UP but not DRAINING looks perfectly healthy on CPU and memory. (2) HTTP ERROR RATE needs web to have a public domain; it has none in either environment, so there is no request volume to measure. (3) PAGING needs a destination vendor chosen (Slack/email/on-call tool) and a Railway project webhook configured IN THE CONSOLE - webhooks are not in the public GraphQL API, so it cannot be scripted. The alerting design is written and ordered: only 'worker not draining' should page; deployment failed, volume above 80% and job failure rate notify. Thresholds deliberately left unset until there is a baseline - a guessed threshold produces noise and teaches people to ignore the pager. | 2026-10-07 (rcfworks, via Claude): ALL FOUR VISIBLE, AND THE PAGE IS LIVE PATH. /health/full (public as /api/v1/public/health) gains checks.queue (depth = due pg-boss jobs + dispatchable outbox rows; oldest wait; jobs failed in 24 h) and traffic (API responses and 5xx over 15 min, per process). The queue check FAILS when a due job or a dispatchable outbox row has waited over 15 min, so the existing 15-minute health monitor posts 'worker not draining' to Slack. Parked rows are left out: types with no handler, and Zoho CRM jobs when CRM credentials are absent (production). NEEDS_ZOHO_CRM moved to src/lib/zoho-jobs.ts so the API never imports the Zoho client (zoho-boundary test). Verified on real SQL against a scratch Postgres with pg-boss 12; staging preview read-only: 0 waiting, 196 failed jobs in 24 h, all notify.email to example.com test addresses refused by Resend (test data). Production preview not run (needs the user). Monitoring Plan rewritten as v1.0. Done once deployed and the live answer shows the queue in both environments. | 2026-10-08 CHECKED, NOT YET DONE. Code meets the clause: a due job or outbox row waiting over 15 min makes /health/full 'degraded' (system-health.ts), and the monitor alerts on anything but 'ok'. Staging (1c423b9) shows checks.queue and traffic live; production is still on aae0ca2 and shows neither — needs the production release. ALSO FOUND: health-monitor.yml is scheduled every 15 min but GitHub ran it only every 4–6 h on 2026-10-07 (13:56, 19:42, 23:50 UTC), so a stuck worker could go unreported for hours. Done when production shows the queue and the monitor actually runs on a reliable cadence. | 2026-10-08 DONE — both clauses verified. (1) Visible: production deployed at 6669472 (api + web) and sponsorx.net/api/v1/public/health now shows checks.queue (depth, oldest wait, failed jobs 24 h) and traffic (requests, 5xx, rate), as staging does. (2) Paged when the worker stops draining: a due job waiting &gt;15 min makes the answer 'degraded' and the health monitor posts to Slack. GitHub's own */15 schedule ran only every 4–6 h, so a Railway cron service 'monitor-trigger' (staging env, image curlimages/curl, */15 * * * *, restart NEVER) now dispatches health-monitor.yml on main with a fine-grained token GH_DISPATCH_TOKEN (BTG-Sports/sponsorX_dev only, Actions read/write, 1 year — renew before 2027-10). First cron-started run 07:02 UTC succeeded. GitHub's schedule stays as a backup.</t>
        </is>
      </c>
    </row>
    <row r="58" ht="35.05" customHeight="1" s="75">
      <c r="A58" s="104" t="n">
        <v>50</v>
      </c>
      <c r="B58" s="105" t="inlineStr">
        <is>
          <t>P2-SEC-01</t>
        </is>
      </c>
      <c r="C58" s="81" t="n">
        <v>2</v>
      </c>
      <c r="D58" s="82" t="inlineStr">
        <is>
          <t>Platform Foundations</t>
        </is>
      </c>
      <c r="E58" s="140" t="inlineStr">
        <is>
          <t>SEC</t>
        </is>
      </c>
      <c r="F58" s="120" t="inlineStr">
        <is>
          <t>Code</t>
        </is>
      </c>
      <c r="G58" s="80" t="inlineStr">
        <is>
          <t>Author the authorisation matrix test suite</t>
        </is>
      </c>
      <c r="H58" s="107" t="inlineStr">
        <is>
          <t>Turn the RBAC matrix into an automated test that runs on every commit. When someone widens a permission to fix a bug, this tells them what else they just widened.</t>
        </is>
      </c>
      <c r="I58" s="108" t="inlineStr">
        <is>
          <t>Done</t>
        </is>
      </c>
      <c r="J58" s="108" t="n">
        <v>3</v>
      </c>
      <c r="K58" s="109" t="inlineStr">
        <is>
          <t>2026-09-18</t>
        </is>
      </c>
      <c r="L58" s="109" t="inlineStr">
        <is>
          <t>2026-09-22</t>
        </is>
      </c>
      <c r="M58" s="110" t="inlineStr">
        <is>
          <t>rcfworks</t>
        </is>
      </c>
      <c r="N58" s="81" t="n">
        <v>2</v>
      </c>
      <c r="O58" s="80" t="inlineStr">
        <is>
          <t>P2-BE-04, P0-PMO-07</t>
        </is>
      </c>
      <c r="P58" s="80" t="inlineStr">
        <is>
          <t>tests/authz.matrix.test.ts seeds two tenants, two sponsors, two athletes, a guardian and a property, and asserts every role against every resource</t>
        </is>
      </c>
      <c r="Q58" s="82" t="inlineStr">
        <is>
          <t>§30, Guide §09</t>
        </is>
      </c>
      <c r="R58" s="111" t="inlineStr">
        <is>
          <t>2026-09-18: moved Blocked -&gt; In progress and assigned to rcfworks at the user's instruction, to show the backend/Railway/Clerk cluster as actively owned. THE BLOCKING IS STILL REAL - this row depends on P2-BE-04, P0-PMO-07. Read Depends On, not Status, to find what can actually be started. 2026-09-21 POLICY HALF DELIVERED, row stays In progress. frontend/tests/authz.matrix.test.ts - 19 tests, all passing, whole frontend suite 65/65. It asserts EVERY role against EVERY resource (32 x 12 x 3 = 1,152 pairs), which is the §30 coverage requirement, and it needs no database because P2-BE-04 deliberately made the matrix pure data. Named invariants: the grid is total; an unknown resource denies structurally; every declared resource has a POLICY entry; only SUPER_ADMIN ever holds a cross-tenant scope; the only cross-tenant 'catalog' resources are nilJob and sponsorPackage; athlete pay is unreachable by sponsor roles and sponsor spend by athlete/guardian/property; an athlete cannot read a sponsor report about themselves; NOBODY writes the audit log, not even SUPER_ADMIN; SERVICE may sync but cannot write athletes, read money, or approve ANYTHING anywhere; the D1/D3 cells report as deferred yet refuse, and never widen a multi-role actor; combining roles never grants less than the strongest single role. THE CHANGE DETECTOR: a sha256 digest of the entire grid is pinned (438e87a9a4d2fa80). Any policy change anyone makes fails the build with the moved pairs in the message - which is literally what this task exists for ('when someone widens a permission to fix a bug, this tells them what else they just widened'). Accepting a change means reading the failing pairs against the RBAC matrix document and then updating the constant. WHY NOT DONE: the acceptance also requires a SEEDED suite - two tenants, two sponsors, two athletes, a guardian and a property - proving the scope FILTERS return the right rows. That needs a live Postgres, which no developer machine has (by design) and which CI does not have either: there is NO .github workflow in the repo at all yet, so 'green in CI' is not merely unproven, it is unrunnable until P2-OPS-07 creates the workflow WITH a Postgres service container. The seeded half was deliberately not faked - asserting where-fragments against a mock would test the mock. NOTE ON LOCATION: the suite sits in the frontend workspace because authz-policy.ts does. If the open question about moving authorisation to backend/ is answered yes, this test moves with it - cheap, because it imports nothing but the policy data. 2026-09-21: the policy half now RUNS IN CI - workflow green on its first run, so the 1,152 pairs are checked on every push. The seeded half is still outstanding and the Postgres service it needs is already provisioned in the workflow. Audited 2026-09-22 — NOT met: authz.matrix.test.ts contains ZERO references to Prisma. It asserts the policy exhaustively without a database, where the acceptance asks it to seed two tenants, two sponsors, two athletes, a guardian and a property. The policy half is done; the seeded half is not. CLOSED 2026-09-22: the seeded half lives in tests/authz.matrix.test.ts as the acceptance names, with the fixture in tests/support/seeded-db.ts — two tenants, two sponsors (both in ONE tenant, because own-sponsor is a boundary tenant scoping does not draw), two athletes, a verified guardian and a property. 13 assertions covering the tenant boundary, own/ward reaching one row, own-sponsor inside a tenant, nested rows inheriting the athlete's reach, and a sweep that fails if any non-SUPER_ADMIN role gets an unrestricted filter for any scoped resource. RUN FOR REAL against a live Postgres before closing — all 13 pass; the suite skips with a reason when no database is reachable, and CI now runs prisma migrate deploy before the tests so it cannot skip silently and report green.</t>
        </is>
      </c>
    </row>
    <row r="59" ht="35.05" customHeight="1" s="75">
      <c r="A59" s="112" t="n">
        <v>51</v>
      </c>
      <c r="B59" s="113" t="inlineStr">
        <is>
          <t>P2-BE-06</t>
        </is>
      </c>
      <c r="C59" s="85" t="n">
        <v>2</v>
      </c>
      <c r="D59" s="86" t="inlineStr">
        <is>
          <t>Platform Foundations</t>
        </is>
      </c>
      <c r="E59" s="137" t="inlineStr">
        <is>
          <t>BE</t>
        </is>
      </c>
      <c r="F59" s="122" t="inlineStr">
        <is>
          <t>Code</t>
        </is>
      </c>
      <c r="G59" s="84" t="inlineStr">
        <is>
          <t>Build the audit helper</t>
        </is>
      </c>
      <c r="H59" s="116" t="inlineStr">
        <is>
          <t>A single helper that records who changed what and when, for pricing, agreements, campaigns, payouts and permissions.</t>
        </is>
      </c>
      <c r="I59" s="108" t="inlineStr">
        <is>
          <t>Done</t>
        </is>
      </c>
      <c r="J59" s="108" t="n">
        <v>1</v>
      </c>
      <c r="K59" s="109" t="inlineStr">
        <is>
          <t>2026-09-18</t>
        </is>
      </c>
      <c r="L59" s="109" t="inlineStr">
        <is>
          <t>2026-09-18</t>
        </is>
      </c>
      <c r="M59" s="110" t="inlineStr">
        <is>
          <t>rcfworks</t>
        </is>
      </c>
      <c r="N59" s="85" t="n">
        <v>1</v>
      </c>
      <c r="O59" s="84" t="inlineStr">
        <is>
          <t>P2-BE-02</t>
        </is>
      </c>
      <c r="P59" s="84" t="inlineStr">
        <is>
          <t>audit(tx, actor, action, entity, id) writes inside the caller's transaction; pricing, agreement, campaign, payout and permission changes are all covered</t>
        </is>
      </c>
      <c r="Q59" s="86" t="inlineStr">
        <is>
          <t>§26</t>
        </is>
      </c>
      <c r="R59" s="111" t="inlineStr">
        <is>
          <t>2026-09-18: moved Blocked -&gt; In progress and assigned to rcfworks at the user's instruction, to show the backend/Railway/Clerk cluster as actively owned. THE BLOCKING IS STILL REAL - this row depends on P2-BE-02. Read Depends On, not Status, to find what can actually be started. DELIVERED 2026-09-18, closed straight to Done (code review skipped, per the flow agreed on P2-BE-05). src/server/audit.ts: audit(tx, actor, action, entity, entityId, {before, after}) writes into AuditLog INSIDE the caller's transaction, same discipline as enqueue() - an audit written outside the transaction can describe a change that rolled back, which is worse than no audit because it is a confident record of something that never happened. tenantId comes from the actor, never from an argument: a row filed under the wrong tenant is invisible to the tenant it belongs to and visible to one it does not. AuditActor is a deliberately NARROW type ({userId, tenantId}) so this task did not have to wait for Clerk - P2-BE-04's full Actor satisfies it structurally and can widen it without a rewrite. AUDIT_ACTIONS names the actions for all five §26 areas (pricing, agreement, campaign, payout, permission) so the common ones are not spelled three different ways; AuditAction is a template type rather than a closed union so future domain functions add actions without editing this file. changedFields(before, after, fields) reduces a pair to only what changed - passing whole records into a Json column is how a bank detail or tax ID ends up in a table nobody thought of as sensitive (§26, Addendum A6). Verified: changed-only, subset, and no-op cases all behave. ON COVERAGE: the helper is in place and the call sites are named, but the five areas cannot be DEMONSTRATED covered yet because the domain functions that change pricing, agreements, campaigns, payouts and permissions do not exist - each calls audit() as it is built, and P7-SEC-01 is the task that proves the coverage. Build and lint clean.</t>
        </is>
      </c>
    </row>
    <row r="60" ht="35.05" customHeight="1" s="75">
      <c r="A60" s="104" t="n">
        <v>52</v>
      </c>
      <c r="B60" s="105" t="inlineStr">
        <is>
          <t>P2-BE-07</t>
        </is>
      </c>
      <c r="C60" s="81" t="n">
        <v>2</v>
      </c>
      <c r="D60" s="82" t="inlineStr">
        <is>
          <t>Platform Foundations</t>
        </is>
      </c>
      <c r="E60" s="139" t="inlineStr">
        <is>
          <t>BE</t>
        </is>
      </c>
      <c r="F60" s="120" t="inlineStr">
        <is>
          <t>Code</t>
        </is>
      </c>
      <c r="G60" s="80" t="inlineStr">
        <is>
          <t>Build the contracts registry and OpenAPI generation</t>
        </is>
      </c>
      <c r="H60" s="107" t="inlineStr">
        <is>
          <t>Define API shapes once in code and generate the API specification from them, rather than hand-writing a spec that drifts from reality.</t>
        </is>
      </c>
      <c r="I60" s="108" t="inlineStr">
        <is>
          <t>Done</t>
        </is>
      </c>
      <c r="J60" s="108" t="n">
        <v>3</v>
      </c>
      <c r="K60" s="109" t="inlineStr">
        <is>
          <t>2026-09-15</t>
        </is>
      </c>
      <c r="L60" s="109" t="inlineStr">
        <is>
          <t>2026-09-21</t>
        </is>
      </c>
      <c r="M60" s="110" t="inlineStr">
        <is>
          <t>rcfworks</t>
        </is>
      </c>
      <c r="N60" s="81" t="n">
        <v>1</v>
      </c>
      <c r="O60" s="80" t="inlineStr">
        <is>
          <t>P2-BE-01</t>
        </is>
      </c>
      <c r="P60" s="80" t="inlineStr">
        <is>
          <t>src/contracts/registry.ts emits openapi.json at /api/v1/openapi.json; the spec is generated from Zod, never hand-written</t>
        </is>
      </c>
      <c r="Q60" s="82" t="inlineStr">
        <is>
          <t>§38, Addendum A2, Guide §02</t>
        </is>
      </c>
      <c r="R60" s="111" t="inlineStr">
        <is>
          <t>Built 2026-09-15: src/contracts/registry.ts + common.ts + zod.ts, emitting at GET /api/v1/openapi.json. Verified live: HTTP 200, OpenAPI 3.1.0, 4 schemas + bearerAuth, constraints/defaults/enums carried from Zod. Registered shapes are cross-cutting only (ProblemDetails, PageQuery, PageMeta, Provenance) - domain contracts belong to B1+ against the real P2-BE-02 models. NOTE: import z from src/contracts/zod.ts, never from 'zod' - the .openapi() prototype patch did not survive the Next server build when applied inline. APPROVED 2026-09-16: technical approval given, moved Code review -&gt; Done. 2026-09-18: set back to In progress under rcfworks at the user's instruction, so the whole Railway / Clerk / backend-setup cluster reads as one owned workstream. THE WORK ITSELF IS FINISHED and was completed on 2026-09-16 - the Date Done column still holds it. Status here signals ownership of the workstream, not that the work is outstanding. 2026-09-21 DONE. GET /api/v1/openapi.json is served BY THE API, generated from the Zod registry on every request. Verified live against a booted server: 200, application/json, openapi 3.1.0, servers [/api/v1], components ProblemDetails / PageQuery / PageMeta / Provenance, securitySchemes bearerAuth. THE THIRD INSTANCE OF THE SAME PATTERN TODAY. The registry, the generator dependency and the route all existed already - in frontend/. After Addendum B moved the API to Express, the published description of the API was being produced and served by a process that is no longer the API. The row's acceptance was technically satisfied by a route describing the wrong service, which is worse than no spec because it looks authoritative to §8's service account and INFINEX. Same shape as allowImportingTsExtensions landing in the wrong workspace and the Prisma select rule guarding a workspace with no Prisma. WHEN CODE MOVES BETWEEN WORKSPACES, ASK WHAT WAS DESCRIBING IT OR WATCHING IT - those things do not fail loudly, they just stop being true. WHAT MOVED: src/contracts/{zod,common,registry}.ts to backend/src/contracts (history preserved); the Next route deleted, so the frontend now ships NO /api routes at all; @asteasolutions/zod-to-openapi 9.1.0 declared in backend and removed from frontend, because the frontend no longer generates anything. Express route at backend/src/routes/v1/openapi.ts, Cache-Control no-store - a cached spec is the drift this task exists to prevent. ALSO VERIFIED while the server was up: /health 200, /api/v1 200, /api/v1/me 401 with no credential AND 401 with a bogus bearer token. Note the 500 seen first time was a fake probe key of mine, not a defect - Clerk rejects a publishable key that is not in pk_test/pk_live format before it ever looks at the request. FOUND, NOT FIXED, BELONGS TO SOMEONE: the published spec declares ProblemDetails (RFC 9457) as the error envelope for every endpoint, but app.ts returns {error:{code,message}} and labels a 401 as 'bad_request'. The spec and the API therefore disagree TODAY, which is precisely the drift this row exists to stop - but the error handler is P0-OPS-07's scaffold rather than this task's, so it is raised here rather than changed unilaterally.</t>
        </is>
      </c>
    </row>
    <row r="61" ht="35.05" customHeight="1" s="75">
      <c r="A61" s="112" t="n">
        <v>53</v>
      </c>
      <c r="B61" s="113" t="inlineStr">
        <is>
          <t>P2-QA-01</t>
        </is>
      </c>
      <c r="C61" s="85" t="n">
        <v>2</v>
      </c>
      <c r="D61" s="86" t="inlineStr">
        <is>
          <t>Platform Foundations</t>
        </is>
      </c>
      <c r="E61" s="134" t="inlineStr">
        <is>
          <t>QA</t>
        </is>
      </c>
      <c r="F61" s="122" t="inlineStr">
        <is>
          <t>Code</t>
        </is>
      </c>
      <c r="G61" s="84" t="inlineStr">
        <is>
          <t>Stand up the test harness</t>
        </is>
      </c>
      <c r="H61" s="116" t="inlineStr">
        <is>
          <t>Set up the testing tools so tests can run locally and automatically on every commit.</t>
        </is>
      </c>
      <c r="I61" s="108" t="inlineStr">
        <is>
          <t>Done</t>
        </is>
      </c>
      <c r="J61" s="108" t="n">
        <v>3</v>
      </c>
      <c r="K61" s="109" t="inlineStr">
        <is>
          <t>2026-09-18</t>
        </is>
      </c>
      <c r="L61" s="109" t="inlineStr">
        <is>
          <t>2026-09-22</t>
        </is>
      </c>
      <c r="M61" s="110" t="inlineStr">
        <is>
          <t>rcfworks</t>
        </is>
      </c>
      <c r="N61" s="85" t="n">
        <v>1</v>
      </c>
      <c r="O61" s="84" t="inlineStr">
        <is>
          <t>P2-BE-02</t>
        </is>
      </c>
      <c r="P61" s="84" t="inlineStr">
        <is>
          <t>Vitest for unit + matrix, Playwright for E2E; both runnable locally and in CI against a seeded database</t>
        </is>
      </c>
      <c r="Q61" s="86" t="inlineStr">
        <is>
          <t>Guide §01</t>
        </is>
      </c>
      <c r="R61" s="111" t="inlineStr">
        <is>
          <t>2026-09-18: moved Blocked -&gt; In progress and assigned to rcfworks at the user's instruction, to show the backend/Railway/Clerk cluster as actively owned. THE BLOCKING IS STILL REAL - this row depends on P2-BE-02. Read Depends On, not Status, to find what can actually be started. Audited 2026-09-22 — NOT met: Vitest is in place for unit and matrix, but there is no Playwright config anywhere, so the E2E half does not run locally or in CI. CLOSED 2026-09-22: @playwright/test 1.56.1 pinned, playwright.config.ts with chromium and a Pixel-7 mobile project, four specs in e2e/, and an `e2e` job in CI with the browser cached by lockfile hash. `npm run e2e` starts the app itself so it works from a clean checkout. It runs `next dev`, not `next start` — Next says plainly that next start does not serve output: 'standalone', and serving the standalone bundle is a packaging concern the deploy exercises. Seeded-database runs are wired rather than hypothetical: set E2E_BASE_URL at a seeded environment and the same specs run against real data; CI already has the Postgres service. P3-QA-01's loop tests attach to this harness rather than standing up a second one.</t>
        </is>
      </c>
    </row>
    <row r="62" ht="35.05" customHeight="1" s="75">
      <c r="A62" s="104" t="n">
        <v>54</v>
      </c>
      <c r="B62" s="105" t="inlineStr">
        <is>
          <t>P2-BE-09</t>
        </is>
      </c>
      <c r="C62" s="81" t="n">
        <v>2</v>
      </c>
      <c r="D62" s="82" t="inlineStr">
        <is>
          <t>Platform Foundations</t>
        </is>
      </c>
      <c r="E62" s="139" t="inlineStr">
        <is>
          <t>BE</t>
        </is>
      </c>
      <c r="F62" s="120" t="inlineStr">
        <is>
          <t>Code</t>
        </is>
      </c>
      <c r="G62" s="80" t="inlineStr">
        <is>
          <t>Establish the repo layout</t>
        </is>
      </c>
      <c r="H62" s="107" t="inlineStr">
        <is>
          <t>Create the folder structure: one repository, two deployable things (app and worker), sharing the same business logic so they can never disagree.</t>
        </is>
      </c>
      <c r="I62" s="108" t="inlineStr">
        <is>
          <t>Done</t>
        </is>
      </c>
      <c r="J62" s="108" t="n">
        <v>1</v>
      </c>
      <c r="K62" s="109" t="inlineStr">
        <is>
          <t>2026-09-15</t>
        </is>
      </c>
      <c r="L62" s="109" t="inlineStr">
        <is>
          <t>2026-09-24</t>
        </is>
      </c>
      <c r="M62" s="110" t="inlineStr">
        <is>
          <t>rcfworks</t>
        </is>
      </c>
      <c r="N62" s="81" t="n"/>
      <c r="O62" s="80" t="inlineStr">
        <is>
          <t>P2-BE-01</t>
        </is>
      </c>
      <c r="P62" s="80" t="inlineStr">
        <is>
          <t>The Addendum B workspace layout exists — backend/src/contracts/, backend/src/domain/, backend/worker/jobs/, backend/prisma/sql/, backend/tests/, and frontend/src/server/; one repo, two deployables (web, api), one lockfile</t>
        </is>
      </c>
      <c r="Q62" s="82" t="inlineStr">
        <is>
          <t>Guide §02</t>
        </is>
      </c>
      <c r="R62" s="111" t="inlineStr">
        <is>
          <t>AC amended to the Addendum B layout (backend/ + frontend/ workspaces). Stale pre-split .gitkeep placeholders removed; layout pinned by backend/tests/layout.test.ts. | 2026-09-24: Done at the user's instruction — acceptance confirmed met.</t>
        </is>
      </c>
    </row>
    <row r="63" ht="35.05" customHeight="1" s="75">
      <c r="A63" s="112" t="n">
        <v>55</v>
      </c>
      <c r="B63" s="113" t="inlineStr">
        <is>
          <t>P2-FE-01</t>
        </is>
      </c>
      <c r="C63" s="85" t="n">
        <v>2</v>
      </c>
      <c r="D63" s="86" t="inlineStr">
        <is>
          <t>Platform Foundations</t>
        </is>
      </c>
      <c r="E63" s="121" t="inlineStr">
        <is>
          <t>FE</t>
        </is>
      </c>
      <c r="F63" s="122" t="inlineStr">
        <is>
          <t>Code</t>
        </is>
      </c>
      <c r="G63" s="84" t="inlineStr">
        <is>
          <t>Swap fixture reads for real queries behind a flag</t>
        </is>
      </c>
      <c r="H63" s="116" t="inlineStr">
        <is>
          <t>Point the finished screens at the real database instead of mock data, keeping mocks available for demos.</t>
        </is>
      </c>
      <c r="I63" s="108" t="inlineStr">
        <is>
          <t>Done</t>
        </is>
      </c>
      <c r="J63" s="108" t="n">
        <v>3</v>
      </c>
      <c r="K63" s="109" t="inlineStr">
        <is>
          <t>2026-09-18</t>
        </is>
      </c>
      <c r="L63" s="109" t="inlineStr">
        <is>
          <t>2026-09-29</t>
        </is>
      </c>
      <c r="M63" s="110" t="inlineStr">
        <is>
          <t>HeckerCreatives</t>
        </is>
      </c>
      <c r="N63" s="85" t="n"/>
      <c r="O63" s="84" t="inlineStr">
        <is>
          <t>P2-BE-04</t>
        </is>
      </c>
      <c r="P63" s="84" t="inlineStr">
        <is>
          <t>An authenticated user loads an empty portal from Postgres; fixtures remain available for demo mode</t>
        </is>
      </c>
      <c r="Q63" s="86" t="inlineStr">
        <is>
          <t>Roadmap B0</t>
        </is>
      </c>
      <c r="R63" s="111" t="inlineStr">
        <is>
          <t>2026-09-18: moved Blocked -&gt; In progress and assigned to rcfworks at the user's instruction, to show the backend/Railway/Clerk cluster as actively owned. THE BLOCKING IS STILL REAL - this row depends on P2-BE-04. Read Depends On, not Status, to find what can actually be started. 2026-09-18: documentation/Mock-Data/SponsorX-Mock-Data-Register.md written as the inventory this task works from - all 81 fixtures.ts exports mapped to the Prisma model that replaces them, the roadmap block that makes that data exist, and the routes that read each one (27 app routes, 10 components). THREE FINDINGS. (1) Six exports are read by NOTHING - sponsorStats, performanceSeries, topCampaign, rewardFunnel, campaignSeries, roiSeries - left over from screens the 2026-09-11 sponsor redesign replaced; delete rather than port them. (2) roiRecommendation has NO retrieval path at all; it is advisory copy and must carry EST curated or come off the screen. metricTrust has the same trap in reverse - it renders the provenance chips, so it must be driven by each metric's real MetricSource rather than a hardcoded optimistic list. (3) Six components hold their own inline lists outside fixtures.ts, which a search for 'lib/fixtures' will not find: brief-request-drawer, marketplace-catalog, athlete-profile-view, applications-desk, profile-editor, sponsor-campaigns-list. 2026-09-29 (HeckerCreatives, taken over from rcfworks at the user's instruction): the remaining fixture-only screens wired live, fixtures kept for ?demo=. Sponsor Campaigns list + campaign detail (GET /campaigns + /campaigns/:id/ops; another sponsor's id is 'not found'); admin Operations Board (money/pacing from /campaigns, the four queues from the desks' own lists, integration health, audit log; a 403 section says 'not in your role'); athlete home (own invitations/deliverables/earnings/profile + guardian readiness gate); property portal (/properties/mine + /team/roster); public /properties/[slug] on NEW GET /public/properties/:slug (adults named, minors counted never named - confirm policy); public /brief now actually submits (POST /public/inquiries -&gt; Inquiry + queued Zoho Lead); athlete profile editor seeded from /athletes/me, socials save via PUT, other sections say 'ask BTG' (user decision; raised P3-BE-15). Portal chrome was already real (QA pass 5). Left demo-only by design: /sponsor/marketplace/[jobId] (only reachable from the demo media tab). Verified: backend 1700/1700, frontend 386/386, lint + build green, 8 signed-in browser walks green, 0 console errors, 0px overflow at 390. 2026-09-29 QA passes 7+8 (Memory/2026-09-29/qa-pass7.md, qa-pass8.md): 15 findings; fixed F-1..F-6, F-9..F-13, F-15 the same day - NUL-byte 500s on public slugs, brief draft loss on failed send, unlinked athlete/property states, GET /campaigns paged (+ new GET /campaigns/:id) so counts and money no longer stop at 100, saveSocials returns errors instead of throwing, long-name wrap, outage vs not-found on the public property page, radio-group arrow keys, Dockerfile HOSTNAME. Open for the team: F-7 public notFound returns 200 under (public)/loading.tsx; F-8 SPONSOR_ANALYST spend visibility policy. Re-verified: backend 1711/1711, frontend 391/391, build green, re-test walks green. QA pass 9 (Memory/2026-09-29/qa-pass9.md): static review + official e2e (15/7/0) + scale/axe probes; fixed F-16 (HIGH: public school page named FEATURED minors with no recorded age - now confirmed adults only), F-17 (raw NUL bytes made 3 sources binary), F-18 (athlete socials save erased BTG-verified rows), F-19 (row-id cursor -&gt; keyset: no silent truncation, no cross-tenant id oracle), F-20 (brief timeout copy), F-21..F-23. Backend 1720/1720, frontend 391/391, build green. Check pass (Memory/2026-09-29/check-pass.md): 14 roles x every page + access matrix + axe; fixed C-1 (role-aware admin desks + nav via lib/admin-access.ts, Not in your role instead of sample desks), C-2 (guardian demo notices), C-3 (campaign detail role state), C-4 (brief picker contrast), C-5 (SX-03 notice). Pagination design + live API paging contract verified on every list.</t>
        </is>
      </c>
    </row>
    <row r="64" ht="35.05" customHeight="1" s="75">
      <c r="A64" s="104" t="n">
        <v>56</v>
      </c>
      <c r="B64" s="105" t="inlineStr">
        <is>
          <t>P2-INT-02</t>
        </is>
      </c>
      <c r="C64" s="81" t="n">
        <v>2</v>
      </c>
      <c r="D64" s="82" t="inlineStr">
        <is>
          <t>Platform Foundations</t>
        </is>
      </c>
      <c r="E64" s="138" t="inlineStr">
        <is>
          <t>INT</t>
        </is>
      </c>
      <c r="F64" s="136" t="inlineStr">
        <is>
          <t>Vendor console</t>
        </is>
      </c>
      <c r="G64" s="80" t="inlineStr">
        <is>
          <t>Enable MFA for privileged roles</t>
        </is>
      </c>
      <c r="H64" s="107" t="inlineStr">
        <is>
          <t>Require two-factor authentication for admin and finance accounts in production.</t>
        </is>
      </c>
      <c r="I64" s="108" t="inlineStr">
        <is>
          <t>In progress</t>
        </is>
      </c>
      <c r="J64" s="108" t="n">
        <v>1</v>
      </c>
      <c r="K64" s="109" t="inlineStr">
        <is>
          <t>2026-09-18</t>
        </is>
      </c>
      <c r="L64" s="109" t="n"/>
      <c r="M64" s="110" t="inlineStr">
        <is>
          <t>rcfworks</t>
        </is>
      </c>
      <c r="N64" s="81" t="n"/>
      <c r="O64" s="80" t="inlineStr">
        <is>
          <t>P2-INT-01</t>
        </is>
      </c>
      <c r="P64" s="80" t="inlineStr">
        <is>
          <t>Admin and finance roles require MFA in the production instance</t>
        </is>
      </c>
      <c r="Q64" s="82" t="inlineStr">
        <is>
          <t>§26</t>
        </is>
      </c>
      <c r="R64" s="111" t="inlineStr">
        <is>
          <t>2026-10-16: now also carries the MFA half of P0-OPS-03 (closed). | 2026-09-18: moved Blocked -&gt; In progress and assigned to rcfworks at the user's instruction, to show the backend/Railway/Clerk cluster as actively owned. THE BLOCKING IS STILL REAL - this row depends on P2-INT-01. Read Depends On, not Status, to find what can actually be started. DECISION 2026-09-21 - DEFERRED TO LAUNCH BY CHOICE, NOT BLOCKED. Phase 1 proceeds on the Clerk HOBBY (free) plan. Hobby is not a sandbox: it includes a PRODUCTION instance with up to 10,000 monthly active users, and the production instance verified on sponsorx.net the same day is the one a minimal launch runs on. Launching on the DEVELOPMENT instance is explicitly rejected - dev instances cap at 100 users, serve .accounts.dev URLs, and Clerk treats their sessions as non-production. THIS ROW IS THE ONLY PHASE 1 TASK THAT NEEDS CLERK PRO: all three MFA strategies (SMS, Authenticator application, Backup codes) are Pro-badged on Hobby, and 'Require multi-factor authentication' needs at least one strategy enabled, so it is unreachable. Nothing else in the §39 loop touches a paid Clerk feature - sign-up, sign-in, sessions, the account portal and auth email sent from sponsorx.net are all included. Three further Pro traps are avoided by existing decisions: Satellites (multi-domain) is Pro and the single-host sponsorx.net decision removes the need; Organizations is where Clerk's B2B pricing sits and is off per Addendum A4; Google OAuth is off, which also avoids a Google Cloud consent screen. Visible cost of staying on Hobby: the 'Secured by Clerk' badge remains on the sign-in box. WHEN PRO IS BOUGHT (provisioning sequence step 16, before real admin and finance accounts touch invoices and earnings), the strategies to enable are AUTHENTICATOR APP (TOTP) + BACKUP CODES and NEVER SMS - G-06 puts SMS out of Phase 1 entirely, and the SMS strategy is in any case unavailable while phone numbers are disabled. Compensating control until then: admin accounts are limited to the two-person team. | 2026-10-09 AUDIT: NOT MET — confirmed: production Clerk has no MFA strategy enabled and does not require a second factor. Needs Clerk Pro (authenticator app + backup codes, never SMS). Deferred to launch by decision.</t>
        </is>
      </c>
    </row>
    <row r="65" ht="35.05" customHeight="1" s="75">
      <c r="A65" s="112" t="n">
        <v>57</v>
      </c>
      <c r="B65" s="113" t="inlineStr">
        <is>
          <t>P2-OPS-02</t>
        </is>
      </c>
      <c r="C65" s="85" t="n">
        <v>2</v>
      </c>
      <c r="D65" s="86" t="inlineStr">
        <is>
          <t>Platform Foundations</t>
        </is>
      </c>
      <c r="E65" s="123" t="inlineStr">
        <is>
          <t>OPS</t>
        </is>
      </c>
      <c r="F65" s="122" t="inlineStr">
        <is>
          <t>Code</t>
        </is>
      </c>
      <c r="G65" s="84" t="inlineStr">
        <is>
          <t>Configure web for standalone output</t>
        </is>
      </c>
      <c r="H65" s="116" t="inlineStr">
        <is>
          <t>Configure the app to build as a plain Node server, so it can move to another host without a rewrite.</t>
        </is>
      </c>
      <c r="I65" s="108" t="inlineStr">
        <is>
          <t>Done</t>
        </is>
      </c>
      <c r="J65" s="108" t="n">
        <v>1</v>
      </c>
      <c r="K65" s="109" t="inlineStr">
        <is>
          <t>2026-09-18</t>
        </is>
      </c>
      <c r="L65" s="109" t="inlineStr">
        <is>
          <t>2026-09-18</t>
        </is>
      </c>
      <c r="M65" s="110" t="inlineStr">
        <is>
          <t>rcfworks</t>
        </is>
      </c>
      <c r="N65" s="85" t="n"/>
      <c r="O65" s="84" t="inlineStr">
        <is>
          <t>P2-OPS-01</t>
        </is>
      </c>
      <c r="P65" s="84" t="inlineStr">
        <is>
          <t>next.config.ts sets output: 'standalone'; web runs next start; worker runs node worker/index.js with no public domain</t>
        </is>
      </c>
      <c r="Q65" s="86" t="inlineStr">
        <is>
          <t>Guide §10</t>
        </is>
      </c>
      <c r="R65" s="111" t="inlineStr">
        <is>
          <t>2026-09-18. next.config.ts ALREADY set output:'standalone' - done earlier, with a documented Vercel exception. Added this pass: worker/index.js, the entrypoint Guide §10 names, because Railway cannot run the worker as anything but a second copy of the web app without it; start commands set on staging - web 'next start', worker 'node worker/index.js'; worker confirmed to have no public domain. The entrypoint is a PLACEHOLDER that boots, reports whether DATABASE_URL is present, heartbeats every 5 min and exits cleanly on SIGTERM. The pg-boss task replaces it. Plain .js on purpose - the worker service has no build step yet and adding one belongs to that task. AT CODE REVIEW because nothing is proven until the next deploy: Railway deploys main, so these commands take effect when this branch merges. Do NOT redeploy worker before then - it would crash-loop on a missing file. CLOSED 2026-09-18 at the user's instruction - no problem was encountered; the configuration is in place and verified by reading it back from the Railway API. What remains is execution, not correctness: these commands first RUN on the next deploy of main, and that cannot be brought forward without deploying. 2026-09-18: set back to In progress under rcfworks at the user's instruction, so the whole Railway / Clerk / backend-setup cluster reads as one owned workstream. THE WORK ITSELF IS FINISHED and was completed on 2026-09-18 - the Date Done column still holds it. Status here signals ownership of the workstream, not that the work is outstanding. PROVEN 2026-09-18 07:27 UTC: web deployed with startCommand 'next start'; worker deployed with 'node worker/index.js' and its own log line - '[worker] entrypoint up ... placeholder, no queue attached yet' and 'DATABASE_URL is present'. The worker is finally running the worker, not a second copy of the web app. 2026-09-21 STILL NOT DONE, and now visible on every deploy: the staging web log prints 'next start does not work with output: standalone configuration. Use node .next/standalone/server.js instead' on each boot. It serves correctly today, so this is a latent misconfiguration rather than an outage - but the whole point of standalone output is host portability, and running `next start` against it means we are not actually getting it. Verified 2026-09-22: next.config.ts sets output 'standalone' (conditionally skipped only on Vercel, which packages functions from Next's file-trace manifests that standalone relocates). The worker exposes no ports in docker-compose, so it has no public domain.</t>
        </is>
      </c>
    </row>
    <row r="66" ht="23.85" customHeight="1" s="75">
      <c r="A66" s="104" t="n">
        <v>58</v>
      </c>
      <c r="B66" s="105" t="inlineStr">
        <is>
          <t>P2-OPS-04</t>
        </is>
      </c>
      <c r="C66" s="81" t="n">
        <v>2</v>
      </c>
      <c r="D66" s="82" t="inlineStr">
        <is>
          <t>Platform Foundations</t>
        </is>
      </c>
      <c r="E66" s="132" t="inlineStr">
        <is>
          <t>OPS</t>
        </is>
      </c>
      <c r="F66" s="136" t="inlineStr">
        <is>
          <t>Vendor console</t>
        </is>
      </c>
      <c r="G66" s="80" t="inlineStr">
        <is>
          <t>Configure the environment variable set</t>
        </is>
      </c>
      <c r="H66" s="107" t="inlineStr">
        <is>
          <t>Set the environment variables, carefully: Zoho credentials belong only on the worker, never on the public web app.</t>
        </is>
      </c>
      <c r="I66" s="108" t="inlineStr">
        <is>
          <t>In progress</t>
        </is>
      </c>
      <c r="J66" s="108" t="n">
        <v>1</v>
      </c>
      <c r="K66" s="109" t="inlineStr">
        <is>
          <t>2026-09-18</t>
        </is>
      </c>
      <c r="L66" s="109" t="n"/>
      <c r="M66" s="110" t="inlineStr">
        <is>
          <t>rcfworks</t>
        </is>
      </c>
      <c r="N66" s="81" t="n"/>
      <c r="O66" s="80" t="inlineStr">
        <is>
          <t>P2-OPS-01, P0-OPS-02, P0-OPS-03</t>
        </is>
      </c>
      <c r="P66" s="80" t="inlineStr">
        <is>
          <t>Every variable in Guide §10 present and scoped correctly — critically, ZOHO_CLIENT_ID/SECRET/REFRESH_TOKEN on worker only, ZOHO_WEBHOOK_SECRET on web</t>
        </is>
      </c>
      <c r="Q66" s="82" t="inlineStr">
        <is>
          <t>Guide §10</t>
        </is>
      </c>
      <c r="R66" s="111" t="inlineStr">
        <is>
          <t>2026-09-18: moved Blocked -&gt; In progress and assigned to rcfworks at the user's instruction, to show the backend/Railway/Clerk cluster as actively owned. THE BLOCKING IS STILL REAL - this row depends on P2-OPS-01, P0-OPS-02, P0-OPS-03. Read Depends On, not Status, to find what can actually be started. 2026-09-21 PARTIAL. RESEND_API_KEY and EMAIL_FROM are set on the STAGING WORKER and verified by hash against the local values (36 and 31 characters, exact match). Worker only, deliberately: it is the only process that sends, since the domain writes an outbox row and worker/jobs/send-email.mts is the one place the vendor is called. A sending credential on the web service would hand it to a process with no use for it. TWO GAPS FOUND WHILE DOING IT. (1) There is NO 'api' SERVICE IN RAILWAY at all - staging has web, worker and postgres, so the Express API from the repo split has nowhere to run, and the R2 credentials it needs for presigning have nothing to be set on. (2) The backend REQUIRED Clerk keys that existed only in frontend/.env.local, so it could not boot locally at all - CLERK_SECRET_KEY and CLERK_PUBLISHABLE_KEY are now in the repo-root .env that the backend reads. Both are consequences of the repo split not having reached the infrastructure. ALSO: EMAIL_FROM must be QUOTED in .env. Written bare as SponsorX &lt;noreply@sponsorx.net&gt; the angle brackets are shell redirection when anything sources the file, so the variable comes out empty and a send fails with a confusing JSON error. Node's --env-file parser copes; the shell does not. 2026-09-21 STAGING COMPLETE. The backend service carries PORT, NODE_ENV, both Clerk keys, all six S3_* values, R2_PUBLIC_BASE_URL, RESEND_API_KEY and EMAIL_FROM; web carries API_URL, CLERK_SECRET_KEY and the two public Clerk values. DATABASE_URL was DELETED from web - the frontend can no longer reach Postgres, so it was a credential sitting where it had no purpose. Note the CLI's 'variable delete' rejects --skip-deploys, which is what made two earlier attempts look like a syntax error. Production environment is NOT configured. | 2026-10-09 AUDIT: NOT MET IN PRODUCTION (staging complete). Production web still carries DATABASE_URL, which the frontend never reads and staging removed on 2026-09-21. SPONSORX_EDGE_KEY is on staging web+api but not production (deferred to go-live by P8-SEC-03, so every fan's public rate limit would share one bucket until it is set). Zoho and Stripe webhook secrets absent in production by the go-live deferral. Neither environment sets GEOLITE2_CITY_PATH (optional; clicks record without geo). Note: API and worker run as one process (src/combined.mts), so the 'worker only' Zoho variables correctly sit on the api service; web holds no Zoho variable. | 2026-10-09 FIXED IN PRODUCTION (user-approved): SPONSORX_EDGE_KEY set on production api + web (40 chars, matching by hash, never printed); DATABASE_URL deleted from production web. Applied by fast-forwarding `release` 499e0b5 → 9c3246f (main; app code identical to production's 6669472 — the daily move had been held since 10-06 by the unrelated /admin/audit e2e failure) and redeploying web. Health ok, pages 200. STILL OPEN: GEOLITE2_CITY_PATH unset in both environments (optional; clicks record without geo), and production's Zoho credentials and Stripe webhook secrets wait for go-live by decision. | 2026-10-15: WHEN production's Zoho keys are set at go-live, also run `railway ssh --environment production --service api -- npm run zoho:intel-fields -w @sponsorx/backend -- --create --confirm-production` (3S7-INT-01's two Account fields; owner OK'd 2026-10-15). Tried 2026-10-15: stopped with 'Zoho is not configured' — nothing changed. 2026-10-24: Zoho production on (key owned by rcfworks, org 4857533000000020005, watch renewed, intel fields created). Edge key and Resend done 2026-10-23. Still open: GEOLITE2_CITY_PATH, BTG_POSTAL_ADDRESS.</t>
        </is>
      </c>
    </row>
    <row r="67" ht="35.05" customHeight="1" s="75">
      <c r="A67" s="112" t="n">
        <v>59</v>
      </c>
      <c r="B67" s="113" t="inlineStr">
        <is>
          <t>P2-OPS-06</t>
        </is>
      </c>
      <c r="C67" s="85" t="n">
        <v>2</v>
      </c>
      <c r="D67" s="86" t="inlineStr">
        <is>
          <t>Platform Foundations</t>
        </is>
      </c>
      <c r="E67" s="123" t="inlineStr">
        <is>
          <t>OPS</t>
        </is>
      </c>
      <c r="F67" s="122" t="inlineStr">
        <is>
          <t>Code</t>
        </is>
      </c>
      <c r="G67" s="84" t="inlineStr">
        <is>
          <t>Add the bare-findMany() lint rule</t>
        </is>
      </c>
      <c r="H67" s="116" t="inlineStr">
        <is>
          <t>A lint rule that fails the build if a database query does not explicitly list the fields it wants. This is what stops accidental data leaks at scale.</t>
        </is>
      </c>
      <c r="I67" s="108" t="inlineStr">
        <is>
          <t>Done</t>
        </is>
      </c>
      <c r="J67" s="108" t="n">
        <v>1</v>
      </c>
      <c r="K67" s="109" t="inlineStr">
        <is>
          <t>2026-09-15</t>
        </is>
      </c>
      <c r="L67" s="109" t="inlineStr">
        <is>
          <t>2026-09-21</t>
        </is>
      </c>
      <c r="M67" s="110" t="inlineStr">
        <is>
          <t>rcfworks</t>
        </is>
      </c>
      <c r="N67" s="85" t="n"/>
      <c r="O67" s="84" t="inlineStr">
        <is>
          <t>P2-BE-01</t>
        </is>
      </c>
      <c r="P67" s="84" t="inlineStr">
        <is>
          <t>The build fails on any Prisma read without an explicit select</t>
        </is>
      </c>
      <c r="Q67" s="86" t="inlineStr">
        <is>
          <t>Guide §04</t>
        </is>
      </c>
      <c r="R67" s="111" t="inlineStr">
        <is>
          <t>Added 2026-09-15 as a no-restricted-syntax rule in eslint.config.mjs covering findMany/findFirst/findUnique(+OrThrow) without an explicit select. Verified against a 5-case probe: fired on all 3 bad cases, passed both good ones. src/generated/** ignored. Syntactic check by design - accepts a nested select inside an include. 'Build fails' means the CI lint step (P2-OPS-07); Next no longer runs ESLint in next build. APPROVED 2026-09-16: technical approval given, moved Code review -&gt; Done. 2026-09-18: set back to In progress under rcfworks at the user's instruction, so the whole Railway / Clerk / backend-setup cluster reads as one owned workstream. THE WORK ITSELF IS FINISHED and was completed on 2026-09-16 - the Date Done column still holds it. Status here signals ownership of the workstream, not that the work is outstanding. 2026-09-21 DONE. The build now fails on any Prisma read without an explicit select, in BOTH workspaces, and CI enforces it on every push (P2-OPS-07). WHAT WAS ALREADY THERE, AND WHY IT WAS NOT ENOUGH: the rule itself already existed in frontend/eslint.config.mjs, written for this task before the repo split. After Addendum B moved Prisma, the API, the worker and the whole authorisation layer into backend/, it was guarding the workspace that NO LONGER QUERIES THE DATABASE, while the workspace that does had NO LINTING AT ALL - no eslint config, no lint script, and the root lint script forwarded only to the frontend. The task looked finished and protected nothing. WHAT WAS DONE: the rule moved to eslint.prisma-select.mjs at the repo root and both configs import it, so one definition cannot drift from itself and the next repo move cannot silently drop it. backend/eslint.config.mjs created from scratch (js.configs.recommended + typescript-eslint, no Next presets - it is a plain Node service), ignoring src/generated/** because Prisma's machine-written client calls find*() without a select by definition and would otherwise bury the rule in false positives. backend gets a lint script; the ROOT lint script now runs backend then frontend, which is what makes CI enforce it across the whole repo rather than half of it. COVERAGE: findMany, findFirst, findFirstOrThrow, findUnique and findUniqueOrThrow. The task title names findMany only, but a findUnique without select leaks exactly the same columns - and the fields at stake are the ones §7.1 and §7.2 of the RBAC matrix protect, like athleteRate.amount and athlete.dateOfBirth. PROVEN, NOT ASSUMED: a probe file with three bare reads (findMany, findUnique, findFirst) produced exactly three errors and failed the lint; the two reads carrying a select produced none; removing the probe returned it to clean. The frontend rule was probed the same way after being repointed at the shared definition. Full CI sequence green locally: both builds, lint, 19 backend tests, 46 frontend tests. NOTE: 'the build fails' in the acceptance means the CI lint step fails - Next no longer runs ESLint during next build, so lint is a separate gate rather than part of compilation.</t>
        </is>
      </c>
    </row>
    <row r="68" ht="23.85" customHeight="1" s="75">
      <c r="A68" s="104" t="n">
        <v>60</v>
      </c>
      <c r="B68" s="105" t="inlineStr">
        <is>
          <t>P2-OPS-07</t>
        </is>
      </c>
      <c r="C68" s="81" t="n">
        <v>2</v>
      </c>
      <c r="D68" s="82" t="inlineStr">
        <is>
          <t>Platform Foundations</t>
        </is>
      </c>
      <c r="E68" s="132" t="inlineStr">
        <is>
          <t>OPS</t>
        </is>
      </c>
      <c r="F68" s="120" t="inlineStr">
        <is>
          <t>Code</t>
        </is>
      </c>
      <c r="G68" s="80" t="inlineStr">
        <is>
          <t>Set up CI: typecheck, lint, unit, authz matrix</t>
        </is>
      </c>
      <c r="H68" s="107" t="inlineStr">
        <is>
          <t>Wire up continuous integration so every commit is type-checked, linted, unit-tested and permission-tested.</t>
        </is>
      </c>
      <c r="I68" s="108" t="inlineStr">
        <is>
          <t>Done</t>
        </is>
      </c>
      <c r="J68" s="108" t="n">
        <v>3</v>
      </c>
      <c r="K68" s="109" t="inlineStr">
        <is>
          <t>2026-09-18</t>
        </is>
      </c>
      <c r="L68" s="109" t="n">
        <v>46302</v>
      </c>
      <c r="M68" s="110" t="inlineStr">
        <is>
          <t>rcfworks</t>
        </is>
      </c>
      <c r="N68" s="81" t="n"/>
      <c r="O68" s="80" t="inlineStr">
        <is>
          <t>P2-QA-01</t>
        </is>
      </c>
      <c r="P68" s="80" t="inlineStr">
        <is>
          <t>Every commit runs all four; the authz matrix is a required check, not an advisory one</t>
        </is>
      </c>
      <c r="Q68" s="82" t="inlineStr">
        <is>
          <t>§30, Guide §09</t>
        </is>
      </c>
      <c r="R68" s="111" t="inlineStr">
        <is>
          <t>2026-09-18: moved Blocked -&gt; In progress and assigned to rcfworks at the user's instruction, to show the backend/Railway/Clerk cluster as actively owned. THE BLOCKING IS STILL REAL - this row depends on P2-QA-01. Read Depends On, not Status, to find what can actually be started. 2026-09-21 BLOCKING NOTE from P2-SEC-01: there is no .github directory in the repo at all, so nothing runs in CI today and B0's exit criterion ('authz matrix passes in CI') cannot be met by any amount of test-writing. When this workflow is created it needs a POSTGRES SERVICE CONTAINER, not just node - the seeded half of the authorisation matrix suite is the one B0 actually exits on, and it cannot run without a database. The policy half already passes and needs nothing but node. 2026-09-21 WORKFLOW LIVE AND GREEN ON ITS FIRST RUN, row stays In progress - the 'Done when' has two clauses and only the first is achievable on this account. CLAUSE ONE, MET: .github/workflows/ci.yml runs on every push and every pull request and all four checks pass - backend build (tsc over src and worker), frontend build (typecheck plus every route compiled), lint, backend tests 19 including the 1,152-pair authorisation matrix, frontend tests 46. Run 35574058026 succeeded end to end on the first attempt. Node pinned to 24.21.0 to match CLAUDE.md, because a CI Node that drifts from the developer Node produces failures nobody can reproduce. npm ci rather than npm install so a lockfile that disagrees with package.json fails here. A POSTGRES 17 SERVICE CONTAINER is included although nothing uses it yet: P2-SEC-01's seeded half cannot run without a database, and adding it now means whoever writes that suite finds it waiting instead of rediscovering why a plain Node runner is not enough. No repository secrets needed - verified by building with the env files moved aside, Clerk keys are not required to build or to run these tests. CLAUSE TWO, BLOCKED BY PLAN, NOT BY CODE: 'the authz matrix is a required check, not an advisory one' cannot be configured. The repo is PRIVATE on a PERSONAL FREE account, and GitHub answers both the branch-protection and the rulesets API with 'Upgrade to GitHub Pro or make this repository public to enable this feature.' Public is not an option for this repo, so the remaining path is GitHub Pro at about $4/month. Until then a red check is visible on the pull request but cannot block a merge. SAME FINDING MATTERS BEYOND THIS ROW: the standing rule that nothing reaches main except by pull request cannot be enforced by GitHub on this plan at all - it is discipline, not configuration. PUSHING THE FILE NEEDED THE USER: an OAuth token needs the 'workflow' scope to create anything under .github/workflows, and the CLI's token here carries only gist, read:org and repo. Two device-flow refreshes did not add it. Worth knowing before anyone tries to change this workflow from a script. Audited 2026-09-22 — PARTIAL: CI runs build (typecheck), lint and both test suites including the authz matrix on every push. 'Required check, not advisory' cannot be satisfied — branch protection needs GitHub Pro on this personal repo. Close it if the workflow passing is the intended bar. | 2026-10-02 (HeckerCreatives, via Claude): Clause one no longer holds by decision: since 2026-10-01 CI runs once a day on main, not on every commit (Actions minutes ran out). Clause two still needs GitHub Pro. Run the four checks locally before merging (handoff guide §5). | 2026-10-07 (rcfworks, via Claude): BOTH CLAUSES NOW ACHIEVABLE. The repo moved to the BTG-Sports org (Team plan, public), so Actions minutes are free and rulesets work. ci.yml runs again on every push and every pull request, plus the nightly; deploy-daily.yml now deploys only after the nightly or a hand-started CI run (never after a push run), and it reads only the latest run of each job, so an earlier failure since re-run green does not block a deploy. Required check: repository ruleset 'CI required' on main and main_development requires 'typecheck · lint · unit · authz matrix' (the job that runs the 1,152-pair authz matrix). Moves to Done once the ruleset is on and the first push run is green. | 2026-10-07 DONE, both clauses verified. (1) Every commit runs all four: push and pull_request runs on #171 (37633953352, 37633957535) and on main (37635630955) all passed typecheck · lint · unit · authz matrix. (2) Required, not advisory: ruleset CI required (id 24647902, active) on main and main_development requires that job from GitHub Actions; #171 showed it Expected/Required and could not merge without it, and the fast-forward of main_development was accepted only because the commit had passed. Release #172 merged. NOTE: e2e is not required; while it is red (P1-FE-31 audit empty state), the 8 pm automatic deploy does not ship, because deploy-daily requires both CI jobs green.</t>
        </is>
      </c>
    </row>
    <row r="69" ht="23.85" customHeight="1" s="75">
      <c r="A69" s="112" t="n">
        <v>61</v>
      </c>
      <c r="B69" s="113" t="inlineStr">
        <is>
          <t>P2-OPS-08</t>
        </is>
      </c>
      <c r="C69" s="85" t="n">
        <v>2</v>
      </c>
      <c r="D69" s="86" t="inlineStr">
        <is>
          <t>Platform Foundations</t>
        </is>
      </c>
      <c r="E69" s="123" t="inlineStr">
        <is>
          <t>OPS</t>
        </is>
      </c>
      <c r="F69" s="124" t="inlineStr">
        <is>
          <t>Vendor console</t>
        </is>
      </c>
      <c r="G69" s="84" t="inlineStr">
        <is>
          <t>Configure PR environments</t>
        </is>
      </c>
      <c r="H69" s="116" t="inlineStr">
        <is>
          <t>Give every pull request its own throwaway environment with a fresh seeded database — never a copy of production data.</t>
        </is>
      </c>
      <c r="I69" s="108" t="inlineStr">
        <is>
          <t>Dropped</t>
        </is>
      </c>
      <c r="J69" s="108" t="n">
        <v>1</v>
      </c>
      <c r="K69" s="109" t="inlineStr">
        <is>
          <t>2026-09-18</t>
        </is>
      </c>
      <c r="L69" s="109" t="n"/>
      <c r="M69" s="110" t="inlineStr">
        <is>
          <t>rcfworks</t>
        </is>
      </c>
      <c r="N69" s="85" t="n"/>
      <c r="O69" s="84" t="inlineStr">
        <is>
          <t>P2-OPS-05</t>
        </is>
      </c>
      <c r="P69" s="84" t="inlineStr">
        <is>
          <t>Each pull request gets its own environment with a fresh Postgres, seeded by the job — never a copy of production</t>
        </is>
      </c>
      <c r="Q69" s="86" t="inlineStr">
        <is>
          <t>Guide §10</t>
        </is>
      </c>
      <c r="R69" s="111" t="inlineStr">
        <is>
          <t>2026-09-18: moved Blocked -&gt; In progress and assigned to rcfworks at the user's instruction, to show the backend/Railway/Clerk cluster as actively owned. THE BLOCKING IS STILL REAL - this row depends on P2-OPS-05. Read Depends On, not Status, to find what can actually be started. | 2026-10-09 AUDIT: NOT MET — no PR environments exist: GitHub shows only staging and production deployment environments, and PRs get no Railway preview. The seed it needs (P2-OPS-05) is Done. | 2026-10-15 DROPPED by the user ("its not worth doing"): every PR already runs the full suite, browser tests included, on its own fresh database in CI; the team is two people who merge every PR; a running app and database per open PR costs Railway money for little gain.</t>
        </is>
      </c>
    </row>
    <row r="70" ht="35.05" customHeight="1" s="75">
      <c r="A70" s="104" t="n">
        <v>62</v>
      </c>
      <c r="B70" s="105" t="inlineStr">
        <is>
          <t>P2-OPS-10</t>
        </is>
      </c>
      <c r="C70" s="81" t="n">
        <v>2</v>
      </c>
      <c r="D70" s="82" t="inlineStr">
        <is>
          <t>Platform Foundations</t>
        </is>
      </c>
      <c r="E70" s="132" t="inlineStr">
        <is>
          <t>OPS</t>
        </is>
      </c>
      <c r="F70" s="106" t="inlineStr">
        <is>
          <t>Document</t>
        </is>
      </c>
      <c r="G70" s="80" t="inlineStr">
        <is>
          <t>Define the deploy ordering rule</t>
        </is>
      </c>
      <c r="H70" s="107" t="inlineStr">
        <is>
          <t>Write down and enforce the rule that the worker deploys before the web app, so a new job type always has a handler waiting.</t>
        </is>
      </c>
      <c r="I70" s="108" t="inlineStr">
        <is>
          <t>Done</t>
        </is>
      </c>
      <c r="J70" s="108" t="n">
        <v>1</v>
      </c>
      <c r="K70" s="109" t="inlineStr">
        <is>
          <t>2026-09-18</t>
        </is>
      </c>
      <c r="L70" s="109" t="inlineStr">
        <is>
          <t>2026-09-18</t>
        </is>
      </c>
      <c r="M70" s="110" t="inlineStr">
        <is>
          <t>rcfworks</t>
        </is>
      </c>
      <c r="N70" s="81" t="n"/>
      <c r="O70" s="80" t="inlineStr">
        <is>
          <t>P2-OPS-01</t>
        </is>
      </c>
      <c r="P70" s="80" t="inlineStr">
        <is>
          <t>Documented and enforced: worker deploys before web on any release adding a job type; pg-boss migrations run on worker boot only</t>
        </is>
      </c>
      <c r="Q70" s="82" t="inlineStr">
        <is>
          <t>Guide §10</t>
        </is>
      </c>
      <c r="R70" s="111" t="inlineStr">
        <is>
          <t>2026-09-18. Written to documentation/SponsorX-Deploy-Ordering.md: migrations as a pre-deploy step never in the build; worker deploys before web on any release adding a job type; pg-boss migrations on worker boot only. Each rule states the failure it prevents. HONEST ON ENFORCEMENT: rule 2 is manual - Railway does not order deployments across services, and no release pipeline exists to encode it. The document says so rather than claiming automation. Nothing has needed it yet because no job types exist. 2026-09-18: set back to In progress under rcfworks at the user's instruction, so the whole Railway / Clerk / backend-setup cluster reads as one owned workstream. THE WORK ITSELF IS FINISHED and was completed on 2026-09-18 - the Date Done column still holds it. Status here signals ownership of the workstream, not that the work is outstanding. 2026-09-18 addition - WATCH PATHS as the accidental-deploy gate. main is auto-deployed, so every board or documentation commit was rebuilding staging; most of 17 commits that day changed no code. Railway now redeploys only when changed files match a service's Watch Paths: web on /src /prisma /public /package.json /package-lock.json /next.config.ts /prisma.config.ts /tsconfig.json, worker on /worker /prisma /package.json /package-lock.json /prisma.config.ts. Chosen over turning auto-deploy off, which would also have removed the fast feedback that proved the migration. WATCH OUT: a new top-level code directory must be added to the patterns or changes to it will silently never deploy - a quiet failure that looks like a broken pipeline. WATCH PATHS REMOVED 2026-09-18, same day, at the user's instruction - watchPatterns is empty on both staging services and every commit to main redeploys again. The reasoning is kept in the document rather than deleted, because the exposure it addressed is unchanged. | 2026-10-02 (HeckerCreatives, via Claude): Documented and enforced (SponsorX-Deploy-Ordering.md v1.3): rule 2's failure — web enqueuing a job no worker handles — is now impossible by construction (web has no database or pg-boss; the API and worker ship as one process; an old worker never claims a new queue name). npm run deploy now ships api, waits until live, then web, and stops if api fails (it deployed both at once). pg-boss migrates only in startWorker(). Accepted and written down: the daily release deploy is unordered across services (needs a Railway token the CLI login can't mint).</t>
        </is>
      </c>
    </row>
    <row r="71" ht="46.25" customHeight="1" s="75">
      <c r="A71" s="112" t="n">
        <v>63</v>
      </c>
      <c r="B71" s="113" t="inlineStr">
        <is>
          <t>P2-PMO-01</t>
        </is>
      </c>
      <c r="C71" s="85" t="n">
        <v>2</v>
      </c>
      <c r="D71" s="86" t="inlineStr">
        <is>
          <t>Platform Foundations</t>
        </is>
      </c>
      <c r="E71" s="112" t="inlineStr">
        <is>
          <t>PMO</t>
        </is>
      </c>
      <c r="F71" s="130" t="inlineStr">
        <is>
          <t>Document</t>
        </is>
      </c>
      <c r="G71" s="84" t="inlineStr">
        <is>
          <t>Write the deployment runbook (§38 deliverable)</t>
        </is>
      </c>
      <c r="H71" s="116" t="inlineStr">
        <is>
          <t>Document how to deploy, how to roll back, and what to do when a migration fails. Then test it once, for real.</t>
        </is>
      </c>
      <c r="I71" s="108" t="inlineStr">
        <is>
          <t>Done</t>
        </is>
      </c>
      <c r="J71" s="108" t="n">
        <v>3</v>
      </c>
      <c r="K71" s="109" t="inlineStr">
        <is>
          <t>2026-09-18</t>
        </is>
      </c>
      <c r="L71" s="109" t="inlineStr">
        <is>
          <t>2026-09-22</t>
        </is>
      </c>
      <c r="M71" s="110" t="inlineStr">
        <is>
          <t>rcfworks</t>
        </is>
      </c>
      <c r="N71" s="85" t="n"/>
      <c r="O71" s="84" t="inlineStr">
        <is>
          <t>P2-OPS-09</t>
        </is>
      </c>
      <c r="P71" s="84" t="inlineStr">
        <is>
          <t>Deploy, rollback, migration-failure and restore procedures written down and tested once</t>
        </is>
      </c>
      <c r="Q71" s="86" t="inlineStr">
        <is>
          <t>§38</t>
        </is>
      </c>
      <c r="R71" s="111" t="inlineStr">
        <is>
          <t>Audited 2026-09-22 — NOT met: Deploy-Ordering and Database-Backup-Runbook exist, but no runbook covers deploy, rollback, migration-failure and restore together, and none has been tested once. CLOSED 2026-09-22: documentation/SponsorX-Deployment-Runbook.md covers deploy, rollback, migration failure and restore. It states which procedures have actually been exercised and which have not, rather than implying all four have — rollback across a migration is 'do not', and restore has only been walked on a staging snapshot.</t>
        </is>
      </c>
    </row>
    <row r="72" ht="23.85" customHeight="1" s="75">
      <c r="A72" s="104" t="n">
        <v>64</v>
      </c>
      <c r="B72" s="105" t="inlineStr">
        <is>
          <t>P2-SEC-02</t>
        </is>
      </c>
      <c r="C72" s="81" t="n">
        <v>2</v>
      </c>
      <c r="D72" s="82" t="inlineStr">
        <is>
          <t>Platform Foundations</t>
        </is>
      </c>
      <c r="E72" s="140" t="inlineStr">
        <is>
          <t>SEC</t>
        </is>
      </c>
      <c r="F72" s="120" t="inlineStr">
        <is>
          <t>Code</t>
        </is>
      </c>
      <c r="G72" s="80" t="inlineStr">
        <is>
          <t>Add field-level denial cases to the matrix</t>
        </is>
      </c>
      <c r="H72" s="107" t="inlineStr">
        <is>
          <t>Add the specific tests proving a sponsor cannot read athlete pay and an athlete cannot read a campaign budget.</t>
        </is>
      </c>
      <c r="I72" s="108" t="inlineStr">
        <is>
          <t>Done</t>
        </is>
      </c>
      <c r="J72" s="108" t="n">
        <v>1</v>
      </c>
      <c r="K72" s="109" t="inlineStr">
        <is>
          <t>2026-09-18</t>
        </is>
      </c>
      <c r="L72" s="109" t="inlineStr">
        <is>
          <t>2026-09-22</t>
        </is>
      </c>
      <c r="M72" s="110" t="inlineStr">
        <is>
          <t>rcfworks</t>
        </is>
      </c>
      <c r="N72" s="81" t="n"/>
      <c r="O72" s="80" t="inlineStr">
        <is>
          <t>P2-SEC-01</t>
        </is>
      </c>
      <c r="P72" s="80" t="inlineStr">
        <is>
          <t>SPONSOR_ADMIN → athleteRate.amount → deny and ATHLETE → campaign.budget → deny both present and passing</t>
        </is>
      </c>
      <c r="Q72" s="82" t="inlineStr">
        <is>
          <t>Guide §04, §09</t>
        </is>
      </c>
      <c r="R72" s="111" t="inlineStr">
        <is>
          <t>2026-09-18: moved Blocked -&gt; In progress and assigned to rcfworks at the user's instruction, to show the backend/Railway/Clerk cluster as actively owned. THE BLOCKING IS STILL REAL - this row depends on P2-SEC-01. Read Depends On, not Status, to find what can actually be started. Audited 2026-09-22 — NOT met: athleteRate.amount and campaign.budget appear only in comments. There is no field-level denial mechanism at all — row scoping is all that exists. CLOSED 2026-09-22: src/auth/fields.ts transcribes matrix §7.1 and §7.2 as a DENIAL table — an allow list silently permits whatever nobody thought of. Both named cases pass, and so does every other row of §7. A denial is not widened by a second role, unlike a scope. campaignOrder.sellPrice was added to the table when the column arrived: compensation and sellPrice together ARE the margin.</t>
        </is>
      </c>
    </row>
    <row r="73" ht="23.85" customHeight="1" s="75">
      <c r="A73" s="112" t="n">
        <v>65</v>
      </c>
      <c r="B73" s="113" t="inlineStr">
        <is>
          <t>P3-BE-01</t>
        </is>
      </c>
      <c r="C73" s="85" t="n">
        <v>3</v>
      </c>
      <c r="D73" s="86" t="inlineStr">
        <is>
          <t>Athlete Network</t>
        </is>
      </c>
      <c r="E73" s="137" t="inlineStr">
        <is>
          <t>BE</t>
        </is>
      </c>
      <c r="F73" s="122" t="inlineStr">
        <is>
          <t>Code</t>
        </is>
      </c>
      <c r="G73" s="84" t="inlineStr">
        <is>
          <t>Athlete application contract + model + migration</t>
        </is>
      </c>
      <c r="H73" s="116" t="inlineStr">
        <is>
          <t>The athlete sign-up form's data model and its approval lifecycle, from draft through review to active.</t>
        </is>
      </c>
      <c r="I73" s="108" t="inlineStr">
        <is>
          <t>Done</t>
        </is>
      </c>
      <c r="J73" s="108" t="n">
        <v>3</v>
      </c>
      <c r="K73" s="109" t="inlineStr">
        <is>
          <t>2026-09-21</t>
        </is>
      </c>
      <c r="L73" s="109" t="inlineStr">
        <is>
          <t>2026-09-21</t>
        </is>
      </c>
      <c r="M73" s="110" t="inlineStr">
        <is>
          <t>rcfworks</t>
        </is>
      </c>
      <c r="N73" s="85" t="n">
        <v>8</v>
      </c>
      <c r="O73" s="84" t="inlineStr">
        <is>
          <t>P2-BE-02</t>
        </is>
      </c>
      <c r="P73" s="84" t="inlineStr">
        <is>
          <t>All ten §11 sections captured; AthleteState DRAFT→SUBMITTED→UNDER_REVIEW→APPROVED/CHANGES_REQUESTED/REJECTED→ACTIVE/SUSPENDED enforced in the domain layer</t>
        </is>
      </c>
      <c r="Q73" s="86" t="inlineStr">
        <is>
          <t>§11, §21</t>
        </is>
      </c>
      <c r="R73" s="111" t="inlineStr">
        <is>
          <t xml:space="preserve"> 2026-09-21 IMPLEMENTED, moved to Code review. Contract, schema fields, migration, domain state machine, scope builder and tests; backend suite now 36. SCOPE, AND WHY IT IS NOT ALL TEN §11 SECTIONS: this task owns 4 of the 10 - Identity, Sports, Social and Compliance status. The other six belong to siblings that DEPEND ON THIS ROW and would be duplicated if built here: content capabilities, brand interests and restrictions are P3-BE-05; rates are P3-BE-09; agreements are P3-BE-06. Payment setup is already narrowed by the Phase 1 payment policy to status only with no tax ID collected (Addendum A6), so there is nothing to store beyond a status. The split is documented at the top of backend/src/contracts/athlete.ts so the next reader does not think it was forgotten. Read §11 from the Blueprint in Drive to do this - it is not in the repo. SCHEMA: nine fields added that P2-BE-02 did not carry - email, phone, ageBand, position, level, achievements, reviewerNotes, reviewedAt, complianceExpiresAt. Migration 20260921120000_athlete_application_fields generated OFFLINE by diffing the git HEAD copy of the schema against the new one, because --from-migrations needs a shadow database and no developer machine here has Postgres. NOTE IN THE MIGRATION: email is TEXT NOT NULL with no default, which applies cleanly only while Athlete is empty (it is - the seed creates no athletes). If rows ever exist this FAILS THE DEPLOY rather than giving every athlete a blank contact address, which is the intended behaviour. THE STATE MACHINE IS A TABLE, NOT BRANCHES, in backend/src/domain/athlete-state.ts - a table can be read against §21 by someone who does not write TypeScript and tested exhaustively. All 64 ordered pairs are asserted against §21 transcribed INDEPENDENTLY in the test, so the test is not circular with the implementation. Two edges §21 implies but does not draw are included with reasons: CHANGES_REQUESTED -&gt; SUBMITTED (otherwise asking for a fix is a dead end) and SUSPENDED -&gt; ACTIVE (a suspension nobody can lift is a deletion). REJECTED is terminal on purpose - reapplying makes a new application so the refusal stays in the audit trail. THE §37 GATE IS ENFORCED IN THE DOMAIN: a minor cannot reach ACTIVE without a linked and verified guardian. In the domain rather than the UI so it binds the API and §8's service account too. DESIGN CHANGE FORCED BY A TEST: the pure state machine was originally inside athlete.ts, and its test could not run at all - importing the module pulled in the Prisma client, which parses CLERK_PUBLISHABLE_KEY at load. Split into athlete-state.ts (imports nothing) and athlete.ts (persistence), the same separation the authorisation layer uses. A rule that cannot be tested without infrastructure is a rule that stops being tested. MUTATION-CHECKED: widening the table by one edge (SUBMITTED -&gt; ACTIVE) fails two tests with the offending pair named. The athlete scope builder was added to auth/scope.ts - the first real query, which is exactly when P2-BE-04 intended builders to be written. 'assigned' and 'ward' are deliberately still unimplemented and fall through to MATCHES_NOTHING: they need CampaignInvite and Guardian joins that arrive with B3 and B1's guardian path, so a sponsor currently sees no athletes at all, which is the safe direction to be wrong in. NOT DONE HERE: the /athletes/apply and approve routes (§19) and the UI wiring - those are P3-FE-01/P3-FE-02 and the route layer, still Blocked on this row landing.</t>
        </is>
      </c>
    </row>
    <row r="74" ht="35.05" customHeight="1" s="75">
      <c r="A74" s="104" t="n">
        <v>66</v>
      </c>
      <c r="B74" s="105" t="inlineStr">
        <is>
          <t>P3-BE-05</t>
        </is>
      </c>
      <c r="C74" s="81" t="n">
        <v>3</v>
      </c>
      <c r="D74" s="82" t="inlineStr">
        <is>
          <t>Athlete Network</t>
        </is>
      </c>
      <c r="E74" s="139" t="inlineStr">
        <is>
          <t>BE</t>
        </is>
      </c>
      <c r="F74" s="120" t="inlineStr">
        <is>
          <t>Code</t>
        </is>
      </c>
      <c r="G74" s="80" t="inlineStr">
        <is>
          <t>Content capabilities, brand interests and restrictions</t>
        </is>
      </c>
      <c r="H74" s="107" t="inlineStr">
        <is>
          <t>Store what content an athlete can make, which brands they like, and crucially what they are forbidden from promoting — the last one drives conflict checking later.</t>
        </is>
      </c>
      <c r="I74" s="108" t="inlineStr">
        <is>
          <t>Done</t>
        </is>
      </c>
      <c r="J74" s="108" t="n">
        <v>1</v>
      </c>
      <c r="K74" s="109" t="inlineStr">
        <is>
          <t>2026-09-22</t>
        </is>
      </c>
      <c r="L74" s="109" t="inlineStr">
        <is>
          <t>2026-09-22</t>
        </is>
      </c>
      <c r="M74" s="110" t="inlineStr">
        <is>
          <t>rcfworks</t>
        </is>
      </c>
      <c r="N74" s="81" t="n">
        <v>1</v>
      </c>
      <c r="O74" s="80" t="inlineStr">
        <is>
          <t>P3-BE-01</t>
        </is>
      </c>
      <c r="P74" s="80" t="inlineStr">
        <is>
          <t>All three §11 sections stored; restrictions are queryable for the conflict check in Phase 4</t>
        </is>
      </c>
      <c r="Q74" s="82" t="inlineStr">
        <is>
          <t>§11, §26</t>
        </is>
      </c>
      <c r="R74" s="111" t="inlineStr">
        <is>
          <t>The three lists are TEXT[], not JSON — §26's conflict check asks 'which athletes exclude alcohol?' and an index can answer that against an array. restrictionNotes is a separate column for what does not reduce to a category, and the conflict check cannot read it. The category vocabulary is closed and shared with sponsor categories, or the two can never be compared. Migration 20260922140000, generated offline.</t>
        </is>
      </c>
    </row>
    <row r="75" ht="35.05" customHeight="1" s="75">
      <c r="A75" s="112" t="n">
        <v>67</v>
      </c>
      <c r="B75" s="113" t="inlineStr">
        <is>
          <t>P3-BE-06</t>
        </is>
      </c>
      <c r="C75" s="85" t="n">
        <v>3</v>
      </c>
      <c r="D75" s="86" t="inlineStr">
        <is>
          <t>Athlete Network</t>
        </is>
      </c>
      <c r="E75" s="137" t="inlineStr">
        <is>
          <t>BE</t>
        </is>
      </c>
      <c r="F75" s="122" t="inlineStr">
        <is>
          <t>Code</t>
        </is>
      </c>
      <c r="G75" s="84" t="inlineStr">
        <is>
          <t>Agreement acceptance with body hash</t>
        </is>
      </c>
      <c r="H75" s="116" t="inlineStr">
        <is>
          <t>When someone accepts an agreement, record a fingerprint of the exact text they were shown, plus who, when and from where. That is what makes it hold up, not a signature image.</t>
        </is>
      </c>
      <c r="I75" s="108" t="inlineStr">
        <is>
          <t>Done</t>
        </is>
      </c>
      <c r="J75" s="108" t="n">
        <v>3</v>
      </c>
      <c r="K75" s="109" t="inlineStr">
        <is>
          <t>2026-09-21</t>
        </is>
      </c>
      <c r="L75" s="109" t="inlineStr">
        <is>
          <t>2026-09-21</t>
        </is>
      </c>
      <c r="M75" s="110" t="inlineStr">
        <is>
          <t>rcfworks</t>
        </is>
      </c>
      <c r="N75" s="85" t="n">
        <v>2</v>
      </c>
      <c r="O75" s="84" t="inlineStr">
        <is>
          <t>P2-BE-02</t>
        </is>
      </c>
      <c r="P75" s="84" t="inlineStr">
        <is>
          <t>Acceptance records agreement version, body hash, signer, timestamp, IP, user agent and guardian where applicable</t>
        </is>
      </c>
      <c r="Q75" s="86" t="inlineStr">
        <is>
          <t>§12, Guide §08</t>
        </is>
      </c>
      <c r="R75" s="111" t="inlineStr">
        <is>
          <t>2026-09-15: legal dependency removed (P0-LEG-01, P0-LEG-03) — legal approvals no longer gate development. CORRECTED 2026-09-18: was showing Ready with no dependencies, but agreement acceptance needs the AgreementAcceptance model that P2-BE-02 creates. Not startable before it. Same class of gap as the missing domain task - a real prerequisite the Depends On column did not carry. 2026-09-21 IMPLEMENTED, moved to Code review. No migration needed - P2-BE-02 already carried Agreement and AgreementAcceptance with every §12 field. §12 IN FULL, IN ONE PLACE: version, body hash, signer, timestamp, IP, user agent and guardian where applicable. acceptAgreement() is the ONLY place an AgreementAcceptance row is created, so that list cannot be half-satisfied by a caller in a hurry. The signer comes from requireActor(), never the request body - a caller who can nominate their own signer can manufacture an acceptance for someone else. THE CANONICALISATION TRADE, which is the whole of this task: normalise too little and an honest acceptance fails because a browser changed the line endings; normalise too much and a real edit slips through, which defeats the point. Only transport noise is removed - BOM, CRLF/CR, trailing whitespace at the very end. DELIBERATELY KEPT SIGNIFICANT: internal blank lines, indentation, double spaces, punctuation and CASE. A removed paragraph break can change how a clause reads and 'shall' is not 'Shall' to a court. If a reformat changes the hash that is the system working - re-issue the version rather than loosening the function. MUTATION-CHECKED IN BOTH DIRECTIONS, which matters here more than anywhere: making the comparison permissive fails 2 tests, and making canonicalisation collapse all whitespace fails 2 different ones. A hash that is too forgiving fails silently and only in the one situation where it is ever consulted - a dispute. The stored value is prefixed 'sha256:' so a row is self-describing; these rows outlive the code that wrote them and a bare 64-character string tells a future reader nothing. An empty stored hash matches NOTHING rather than everything - an agreement row without a hash is a data error, not an acceptance of unknown text. GUARDIAN TIE-IN: a minor signer whose guardian is missing or unverified is refused, asked through the SAME guardianReadiness() the ACTIVE transition uses, so a minor cannot be blocked from activation yet able to sign. The guardian id is recorded on the acceptance only when one was actually required - an adult's acceptance carries null, not a spurious reference. THE DRAFT-TEXT WARNING IS IN THE CODE, not just the roadmap: counsel approval no longer gates development (2026-09-15), so this is built against draft wording and EVERY HASH GENERATED AGAINST DRAFT TEXT IS VOID. When counsel signs off, the agreement takes a new version and every prior acceptance must be re-collected. Launch-blocking, not coding. A LINT RULE EARNED ITS KEEP: I had typed literal U+FEFF characters into the source instead of the \uFEFF escape. They work at runtime and are invisible in an editor; no-irregular-whitespace failed the build and named the three lines. This is the value of P2-OPS-06 having stood eslint up for the backend hours earlier - before that the backend was unlinted. 15 tests, backend suite now 61. NOT COVERED: acceptAgreement() itself needs a database; proven by P3-QA-01's E2E.</t>
        </is>
      </c>
    </row>
    <row r="76" ht="23.85" customHeight="1" s="75">
      <c r="A76" s="104" t="n">
        <v>68</v>
      </c>
      <c r="B76" s="105" t="inlineStr">
        <is>
          <t>P3-BE-07</t>
        </is>
      </c>
      <c r="C76" s="81" t="n">
        <v>3</v>
      </c>
      <c r="D76" s="82" t="inlineStr">
        <is>
          <t>Athlete Network</t>
        </is>
      </c>
      <c r="E76" s="139" t="inlineStr">
        <is>
          <t>BE</t>
        </is>
      </c>
      <c r="F76" s="120" t="inlineStr">
        <is>
          <t>Code</t>
        </is>
      </c>
      <c r="G76" s="80" t="inlineStr">
        <is>
          <t>Application review + approval domain functions</t>
        </is>
      </c>
      <c r="H76" s="107" t="inlineStr">
        <is>
          <t>The admin actions: approve, request changes, reject. Every decision recorded and the applicant notified.</t>
        </is>
      </c>
      <c r="I76" s="108" t="inlineStr">
        <is>
          <t>Done</t>
        </is>
      </c>
      <c r="J76" s="108" t="n">
        <v>3</v>
      </c>
      <c r="K76" s="109" t="inlineStr">
        <is>
          <t>2026-09-22</t>
        </is>
      </c>
      <c r="L76" s="109" t="inlineStr">
        <is>
          <t>2026-09-22</t>
        </is>
      </c>
      <c r="M76" s="110" t="inlineStr">
        <is>
          <t>rcfworks</t>
        </is>
      </c>
      <c r="N76" s="81" t="n">
        <v>2</v>
      </c>
      <c r="O76" s="80" t="inlineStr">
        <is>
          <t>P3-BE-01</t>
        </is>
      </c>
      <c r="P76" s="80" t="inlineStr">
        <is>
          <t>Admin can approve, request changes or reject; every transition is audited and notifies the applicant</t>
        </is>
      </c>
      <c r="Q76" s="82" t="inlineStr">
        <is>
          <t>§13, §23</t>
        </is>
      </c>
      <c r="R76" s="111" t="inlineStr">
        <is>
          <t>Domain + API landed 2026-09-22: approve / request changes / reject plus beginReview, each one transaction over state + reviewerNotes + queued notification. First feature router at /api/v1/applications. 30 unit tests. Awaiting review — P3-FE-02 wires the desk, P3-INT-02 owns the job handlers. Review follow-ups B7 (one status for one condition — a miss answers 403 like the decision endpoints, not 404) and B8 (cursor pagination on the queue, using PageQuery) fixed 2026-09-22.</t>
        </is>
      </c>
    </row>
    <row r="77" ht="35.05" customHeight="1" s="75">
      <c r="A77" s="112" t="n">
        <v>69</v>
      </c>
      <c r="B77" s="113" t="inlineStr">
        <is>
          <t>P3-INT-01</t>
        </is>
      </c>
      <c r="C77" s="85" t="n">
        <v>3</v>
      </c>
      <c r="D77" s="86" t="inlineStr">
        <is>
          <t>Athlete Network</t>
        </is>
      </c>
      <c r="E77" s="141" t="inlineStr">
        <is>
          <t>INT</t>
        </is>
      </c>
      <c r="F77" s="122" t="inlineStr">
        <is>
          <t>Code</t>
        </is>
      </c>
      <c r="G77" s="84" t="inlineStr">
        <is>
          <t>Build the transactional email send interface</t>
        </is>
      </c>
      <c r="H77" s="116" t="inlineStr">
        <is>
          <t>One function for sending email, with the chosen vendor hidden behind it, so switching vendors later touches one file. Every send is a background job so it retries.</t>
        </is>
      </c>
      <c r="I77" s="108" t="inlineStr">
        <is>
          <t>Done</t>
        </is>
      </c>
      <c r="J77" s="108" t="n">
        <v>3</v>
      </c>
      <c r="K77" s="109" t="inlineStr">
        <is>
          <t>2026-09-21</t>
        </is>
      </c>
      <c r="L77" s="109" t="inlineStr">
        <is>
          <t>2026-09-21</t>
        </is>
      </c>
      <c r="M77" s="110" t="inlineStr">
        <is>
          <t>rcfworks</t>
        </is>
      </c>
      <c r="N77" s="85" t="n">
        <v>5</v>
      </c>
      <c r="O77" s="84" t="inlineStr">
        <is>
          <t>P0-PMO-03</t>
        </is>
      </c>
      <c r="P77" s="84" t="inlineStr">
        <is>
          <t>A single send() abstraction behind which the chosen vendor sits; every send is a queued job so it retries</t>
        </is>
      </c>
      <c r="Q77" s="86" t="inlineStr">
        <is>
          <t>Addendum A1, Guide §10</t>
        </is>
      </c>
      <c r="R77" s="111" t="inlineStr">
        <is>
          <t>Unblocked 2026-09-16: sole dependency P0-PMO-03 moved to Done. 2026-09-21 IMPLEMENTED, moved to Code review. Both halves of the 'Done when': a single send() with the vendor behind it, and every send queued so it retries. ONE FILE KNOWS THE VENDOR: worker/jobs/send-email.mts is the only place 'resend' is imported, and it is imported LAZILY so the worker boots, drains and runs every other job type with no email credentials at all - the state of a fresh developer machine and of CI. src/lib/email.ts, which the domain calls, knows no vendor. G-04 chose Resend over Postmark and SES and stack-decision.md keeps that revisitable, so a swap touches one file. Same discipline as auth/clerk.ts. SENDS GO THROUGH THE OUTBOX, NOT THE REQUEST PATH. send() takes the caller's transaction and writes an outbox row; the worker calls the vendor. An athlete approval must not fail because Resend is slow, and an applicant must never be told they were approved by a transaction that then rolled back. IDEMPOTENCY IS THE REAL WORK, and it is not optional. The drain is at-least-once BY DESIGN (P2-BE-05 sends to pg-boss then marks rows dispatched) and pg-boss retries failures too - so the handler can be asked to send the same message more than once. For a Zoho push that is recoverable; for email it means a person gets 'your application was rejected' twice. Every message carries an idempotencyKey derived from the EVENT, never from a timestamp, and a caller that omits one gets an error. New EmailSendLog table: the handler CLAIMS the key before sending and refuses one already claimed. Claiming BEFORE rather than recording after is the ordering that matters - recording after leaves a window where the mail went out and the crash beat the note. A failed vendor call RELEASES the claim, because a transient outage permanently suppressing a message is worse than sending twice. TEMPLATES ARE DATA, plain text only. Phase 1's loop does not need an HTML pipeline, inlined CSS and a preview tool. A test renders every template with EMPTY data and fails if any leaks the string 'undefined' - these all go to real people, and a missing first name should produce a slightly impersonal email, never a crashed job. Tone is part of it: the rejection template says the outcome is not necessarily permanent, because these are teenagers and the network wants them to reapply. RESEND_API_KEY and EMAIL_FROM are OPTIONAL in the validated env, unlike the Clerk keys: a send attempted without a key fails that one job loudly and retries, rather than stopping the whole worker from starting. 10 tests, backend suite now 71. MUTATION-CHECKED both ways - removing the idempotency guard fails a test, and a template that leaks 'undefined' fails another. BLOCKS THE FIRST REAL SEND, NOT THE CODE: no sending domain is verified with Resend yet. Like Clerk, sponsorx.net needs DNS records added before anything actually leaves - a vendor-console step, and until it is done every send will bounce. Raise it with P2-OPS-04 when the Railway variables are set. THIS UNBLOCKS P3-BE-07, whose acceptance is 'every transition is audited AND NOTIFIES THE APPLICANT' - the audit half has existed since P3-BE-01, the notify half was waiting on this. 2026-09-21 BUG FOUND ON THE FIRST REAL DEPLOY AND FIXED. pg-boss 10+ requires createQueue for BOTH producing and consuming; the drain's ensureQueue only covers the send path, which runs after boot, so on a database that had never had an email queued boss.work() failed in a continuous loop with 'Queue notify.email does not exist'. Fixed by calling ensureQueue before work(). IT CANNOT REPRODUCE LOCALLY - there is no local Postgres, so the worker has never actually run on a developer machine. Error count after the fix: zero. STILL UNPROVEN END TO END: nothing can enqueue an email yet, because send() has no caller until P3-BE-07 notifies an applicant. The queue-&gt;worker-&gt;Resend path is therefore built and deployed but never exercised.</t>
        </is>
      </c>
    </row>
    <row r="78" ht="46.25" customHeight="1" s="75">
      <c r="A78" s="104" t="n">
        <v>70</v>
      </c>
      <c r="B78" s="105" t="inlineStr">
        <is>
          <t>P3-BE-08</t>
        </is>
      </c>
      <c r="C78" s="81" t="n">
        <v>3</v>
      </c>
      <c r="D78" s="82" t="inlineStr">
        <is>
          <t>Athlete Network</t>
        </is>
      </c>
      <c r="E78" s="139" t="inlineStr">
        <is>
          <t>BE</t>
        </is>
      </c>
      <c r="F78" s="120" t="inlineStr">
        <is>
          <t>Code</t>
        </is>
      </c>
      <c r="G78" s="80" t="inlineStr">
        <is>
          <t>Seed the SX-01…SX-07 NIL job catalogue</t>
        </is>
      </c>
      <c r="H78" s="107" t="inlineStr">
        <is>
          <t>Load the seven standard job types into the database with their pay and price bands.</t>
        </is>
      </c>
      <c r="I78" s="108" t="inlineStr">
        <is>
          <t>Done</t>
        </is>
      </c>
      <c r="J78" s="108" t="n">
        <v>1</v>
      </c>
      <c r="K78" s="109" t="inlineStr">
        <is>
          <t>2026-09-22</t>
        </is>
      </c>
      <c r="L78" s="109" t="inlineStr">
        <is>
          <t>2026-09-22</t>
        </is>
      </c>
      <c r="M78" s="110" t="inlineStr">
        <is>
          <t>rcfworks</t>
        </is>
      </c>
      <c r="N78" s="81" t="n">
        <v>1</v>
      </c>
      <c r="O78" s="80" t="inlineStr">
        <is>
          <t>P0-PMO-09, P2-BE-02, P0-PMO-13</t>
        </is>
      </c>
      <c r="P78" s="80" t="inlineStr">
        <is>
          <t>All seven jobs seeded with base pay and sell price bands from §5, SX-07's corrected sell band ($1,050-$2,000), and each job's derived minimum sell price at Emerging, Creator and Premium</t>
        </is>
      </c>
      <c r="Q78" s="82" t="inlineStr">
        <is>
          <t>§5</t>
        </is>
      </c>
      <c r="R78" s="111" t="inlineStr">
        <is>
          <t>Seeded by a new worker job, separate from seed-environment.mts and outside its production guard — this is the real price list, not demo data. The per-tier floors are derived from base-band top x tier multiplier x 1.4 rather than transcribed, and a test asserts all 21 match P0-PMO-13's published table.</t>
        </is>
      </c>
    </row>
    <row r="79" ht="32.8" customHeight="1" s="75">
      <c r="A79" s="112" t="n">
        <v>71</v>
      </c>
      <c r="B79" s="113" t="inlineStr">
        <is>
          <t>P3-BE-03</t>
        </is>
      </c>
      <c r="C79" s="85" t="n">
        <v>3</v>
      </c>
      <c r="D79" s="86" t="inlineStr">
        <is>
          <t>Athlete Network</t>
        </is>
      </c>
      <c r="E79" s="137" t="inlineStr">
        <is>
          <t>BE</t>
        </is>
      </c>
      <c r="F79" s="122" t="inlineStr">
        <is>
          <t>Code</t>
        </is>
      </c>
      <c r="G79" s="84" t="inlineStr">
        <is>
          <t>Guardian model, linkage and verification</t>
        </is>
      </c>
      <c r="H79" s="116" t="inlineStr">
        <is>
          <t>Link minor athletes to a verified parent or guardian, and make participation depend on that verification.</t>
        </is>
      </c>
      <c r="I79" s="108" t="inlineStr">
        <is>
          <t>Done</t>
        </is>
      </c>
      <c r="J79" s="108" t="n">
        <v>3</v>
      </c>
      <c r="K79" s="109" t="inlineStr">
        <is>
          <t>2026-09-21</t>
        </is>
      </c>
      <c r="L79" s="109" t="inlineStr">
        <is>
          <t>2026-09-21</t>
        </is>
      </c>
      <c r="M79" s="110" t="inlineStr">
        <is>
          <t>rcfworks</t>
        </is>
      </c>
      <c r="N79" s="85" t="n">
        <v>2</v>
      </c>
      <c r="O79" s="84" t="inlineStr">
        <is>
          <t>P3-BE-01</t>
        </is>
      </c>
      <c r="P79" s="84" t="inlineStr">
        <is>
          <t>Minor athletes require a linked Guardian; verifiedAt gates participation; unverified guardian blocks acceptance downstream</t>
        </is>
      </c>
      <c r="Q79" s="86" t="inlineStr">
        <is>
          <t>§4, §11, §37</t>
        </is>
      </c>
      <c r="R79" s="111" t="inlineStr">
        <is>
          <t xml:space="preserve"> 2026-09-21 IMPLEMENTED, moved to Code review. Started because P3-BE-01 had left the §37 gate UNSATISFIABLE: the ACTIVE transition requires guardian.verifiedAt and NOTHING in the codebase could write that field - only the generated Prisma client mentioned it - so a minor could never be activated by any path. THREE STATES KEPT APART, which is the substance of this task: adult (no guardian needed), minor with NO guardian linked, and minor with an UNVERIFIED guardian. Only the first and a VERIFIED third may take part. Collapsing the middle two into 'no guardian' is the failure that lets an athlete self-declare a parent and proceed, and the unverified case is the one most likely to be waved through because the record exists and the form looks complete. AGE IS EVALUATED NOW, NOT STORED. isMinorOn() takes a date, so an athlete who applies at 17 and is activated at 18 is an adult by then; a boolean flag would keep them a minor forever. §11 also permits an age BAND instead of a date, and either signal triggers the requirement - a date saying adult and a band saying minor do not cancel out, because the safe reading of a contradiction is that supervision is required. ONE RULE, SHARED BY EVERY GATE. guardianReadiness() is asked by the ACTIVE transition today and by Campaign Order acceptance in B4 - the acceptance's 'unverified guardian blocks acceptance downstream'. One function so the two cannot drift, which is exactly how a minor ends up blocked from activation yet able to accept paid work. The athlete.ts gate was rewritten to ask it rather than re-deriving age inline. VERIFICATION IS AN ATTESTATION, NOT AN IDENTITY CHECK, and the code says so: Phase 1 does not verify documents, verifiedAt records that a named BTG staff member confirmed the adult out of band, and the audit row is the evidence if a minor's participation is ever challenged. Linking never verifies - data entry and attestation are separate actions, because collapsing them would make the gate meaningless. Whether guardian authorisation additionally needs true e-signature is G-03, still open, and deliberately not resolved in code. linkGuardian() REFUSES FOR AN ADULT. That looks pedantic until the read side: a stray guardian on an adult makes them look like a supervised minor in every downstream check and report. Pure rules in guardian-rules.ts (imports nothing) and persistence in guardian.ts, the same split as athlete-state.ts and the authz policy. Guardian scope builder added. TESTS: 10 new, backend suite now 46. MUTATION-CHECKED - letting an unverified guardian pass fails three tests. NOT COVERED: linkGuardian/verifyGuardian themselves need a database; proven by P3-QA-01's E2E in B1.</t>
        </is>
      </c>
    </row>
    <row r="80" ht="35.05" customHeight="1" s="75">
      <c r="A80" s="104" t="n">
        <v>72</v>
      </c>
      <c r="B80" s="105" t="inlineStr">
        <is>
          <t>P3-BE-04</t>
        </is>
      </c>
      <c r="C80" s="81" t="n">
        <v>3</v>
      </c>
      <c r="D80" s="82" t="inlineStr">
        <is>
          <t>Athlete Network</t>
        </is>
      </c>
      <c r="E80" s="139" t="inlineStr">
        <is>
          <t>BE</t>
        </is>
      </c>
      <c r="F80" s="120" t="inlineStr">
        <is>
          <t>Code</t>
        </is>
      </c>
      <c r="G80" s="80" t="inlineStr">
        <is>
          <t>Social account capture with provenance</t>
        </is>
      </c>
      <c r="H80" s="107" t="inlineStr">
        <is>
          <t>Record social handles and follower counts, tagged with where the number came from — initially the athlete's own word.</t>
        </is>
      </c>
      <c r="I80" s="108" t="inlineStr">
        <is>
          <t>Done</t>
        </is>
      </c>
      <c r="J80" s="108" t="n">
        <v>1</v>
      </c>
      <c r="K80" s="109" t="inlineStr">
        <is>
          <t>2026-09-22</t>
        </is>
      </c>
      <c r="L80" s="109" t="inlineStr">
        <is>
          <t>2026-09-22</t>
        </is>
      </c>
      <c r="M80" s="110" t="inlineStr">
        <is>
          <t>rcfworks</t>
        </is>
      </c>
      <c r="N80" s="81" t="n">
        <v>1</v>
      </c>
      <c r="O80" s="80" t="inlineStr">
        <is>
          <t>P3-BE-01</t>
        </is>
      </c>
      <c r="P80" s="80" t="inlineStr">
        <is>
          <t>AthleteSocial records platform, handle, followers, avgViews and a MetricSource label — defaulting to SELF_REPORTED</t>
        </is>
      </c>
      <c r="Q80" s="82" t="inlineStr">
        <is>
          <t>§11, §22</t>
        </is>
      </c>
      <c r="R80" s="111" t="inlineStr">
        <is>
          <t>Provenance is decided by who is asking, not by what they send — an athlete's own edit is SELF_REPORTED however the body is filled in, and only BTG records VERIFIED_MANUAL. VERIFIED_API is not offered: nothing can perform it in Phase 1.</t>
        </is>
      </c>
    </row>
    <row r="81" ht="23.85" customHeight="1" s="75">
      <c r="A81" s="112" t="n">
        <v>73</v>
      </c>
      <c r="B81" s="113" t="inlineStr">
        <is>
          <t>P3-BE-09</t>
        </is>
      </c>
      <c r="C81" s="85" t="n">
        <v>3</v>
      </c>
      <c r="D81" s="86" t="inlineStr">
        <is>
          <t>Athlete Network</t>
        </is>
      </c>
      <c r="E81" s="137" t="inlineStr">
        <is>
          <t>BE</t>
        </is>
      </c>
      <c r="F81" s="122" t="inlineStr">
        <is>
          <t>Code</t>
        </is>
      </c>
      <c r="G81" s="84" t="inlineStr">
        <is>
          <t>Athlete rate card with tier multiplier</t>
        </is>
      </c>
      <c r="H81" s="116" t="inlineStr">
        <is>
          <t>Set each athlete's individual rate per job type, with a manual tier multiplier. These numbers must never be visible to sponsors.</t>
        </is>
      </c>
      <c r="I81" s="108" t="inlineStr">
        <is>
          <t>Done</t>
        </is>
      </c>
      <c r="J81" s="108" t="n">
        <v>3</v>
      </c>
      <c r="K81" s="109" t="inlineStr">
        <is>
          <t>2026-09-22</t>
        </is>
      </c>
      <c r="L81" s="109" t="inlineStr">
        <is>
          <t>2026-09-22</t>
        </is>
      </c>
      <c r="M81" s="110" t="inlineStr">
        <is>
          <t>rcfworks</t>
        </is>
      </c>
      <c r="N81" s="85" t="n">
        <v>1</v>
      </c>
      <c r="O81" s="84" t="inlineStr">
        <is>
          <t>P3-BE-08</t>
        </is>
      </c>
      <c r="P81" s="84" t="inlineStr">
        <is>
          <t>Network manager sets tier and per-job rate manually; rates are versioned; AthleteRate.amount is never exposed to a sponsor-scoped query; setting a rate surfaces the minimum sell price it implies (rate x 1.4)</t>
        </is>
      </c>
      <c r="Q81" s="86" t="inlineStr">
        <is>
          <t>§6, Guide §04</t>
        </is>
      </c>
      <c r="R81" s="111" t="inlineStr">
        <is>
          <t>Rates are versioned, never updated — the unique index on (athleteId, jobId, version) makes it structural. Setting a rate returns the minimum sell price it implies, so the floor is seen when the rate is set rather than discovered by a refused order. ANCHOR returns null: a negotiated multiplier has no derived floor. Implied floor corrected 2026-09-22: it returned the catalogue's floor (baseHigh x tier x 1.4) in DOLLARS where a rate is in CENTS — a $120 rate returned 210. It is rate x 1.4 in cents now, per the acceptance.</t>
        </is>
      </c>
    </row>
    <row r="82" ht="32.8" customHeight="1" s="75">
      <c r="A82" s="104" t="n">
        <v>74</v>
      </c>
      <c r="B82" s="105" t="inlineStr">
        <is>
          <t>P3-BE-11</t>
        </is>
      </c>
      <c r="C82" s="81" t="n">
        <v>3</v>
      </c>
      <c r="D82" s="82" t="inlineStr">
        <is>
          <t>Athlete Network</t>
        </is>
      </c>
      <c r="E82" s="139" t="inlineStr">
        <is>
          <t>BE</t>
        </is>
      </c>
      <c r="F82" s="120" t="inlineStr">
        <is>
          <t>Code</t>
        </is>
      </c>
      <c r="G82" s="80" t="inlineStr">
        <is>
          <t>Seed the sponsor package catalogue</t>
        </is>
      </c>
      <c r="H82" s="107" t="inlineStr">
        <is>
          <t>Load the six sponsor packages into the database.</t>
        </is>
      </c>
      <c r="I82" s="108" t="inlineStr">
        <is>
          <t>Done</t>
        </is>
      </c>
      <c r="J82" s="108" t="n">
        <v>1</v>
      </c>
      <c r="K82" s="109" t="inlineStr">
        <is>
          <t>2026-09-22</t>
        </is>
      </c>
      <c r="L82" s="109" t="inlineStr">
        <is>
          <t>2026-09-22</t>
        </is>
      </c>
      <c r="M82" s="110" t="inlineStr">
        <is>
          <t>rcfworks</t>
        </is>
      </c>
      <c r="N82" s="81" t="n">
        <v>3</v>
      </c>
      <c r="O82" s="80" t="inlineStr">
        <is>
          <t>P0-PMO-10, P0-PMO-13</t>
        </is>
      </c>
      <c r="P82" s="80" t="inlineStr">
        <is>
          <t>All six §7 packages seeded with price band, athlete count and the job-code line items confirmed in P0-PMO-13 - including Local Blitz narrowed to $1,500-$2,400 / 5-9 athletes and 'iMC/BTG feature' as a non-NIL inventory line</t>
        </is>
      </c>
      <c r="Q82" s="82" t="inlineStr">
        <is>
          <t>§7</t>
        </is>
      </c>
      <c r="R82" s="111" t="inlineStr">
        <is>
          <t>Local Blitz narrowed to $1,500-$2,400 / 5-9 athletes so it stops below 10-Athlete Blitz. The iMC/BTG feature is an includes line with a record, not a phrase. A test asserts every package clears the 1.4x floor at its most expensive athlete count.</t>
        </is>
      </c>
    </row>
    <row r="83" ht="32.8" customHeight="1" s="75">
      <c r="A83" s="104" t="n">
        <v>74.5</v>
      </c>
      <c r="B83" s="105" t="inlineStr">
        <is>
          <t>P3-BE-12</t>
        </is>
      </c>
      <c r="C83" s="81" t="n">
        <v>3</v>
      </c>
      <c r="D83" s="82" t="inlineStr">
        <is>
          <t>Athlete Network</t>
        </is>
      </c>
      <c r="E83" s="139" t="inlineStr">
        <is>
          <t>BE</t>
        </is>
      </c>
      <c r="F83" s="120" t="inlineStr">
        <is>
          <t>Code</t>
        </is>
      </c>
      <c r="G83" s="80" t="inlineStr">
        <is>
          <t>Enforce the margin floor at quote and Campaign Order creation</t>
        </is>
      </c>
      <c r="H83" s="107" t="inlineStr">
        <is>
          <t>Refuse to save a campaign order line whose sponsor price is below athlete cost x 1.4, at the moment the price is set rather than at month end.</t>
        </is>
      </c>
      <c r="I83" s="108" t="inlineStr">
        <is>
          <t>Done</t>
        </is>
      </c>
      <c r="J83" s="108" t="n">
        <v>3</v>
      </c>
      <c r="K83" s="109" t="inlineStr">
        <is>
          <t>2026-09-22</t>
        </is>
      </c>
      <c r="L83" s="109" t="inlineStr">
        <is>
          <t>2026-09-22</t>
        </is>
      </c>
      <c r="M83" s="110" t="inlineStr">
        <is>
          <t>rcfworks</t>
        </is>
      </c>
      <c r="N83" s="81" t="n"/>
      <c r="O83" s="80" t="inlineStr">
        <is>
          <t>P0-PMO-13, P3-BE-11</t>
        </is>
      </c>
      <c r="P83" s="80" t="inlineStr">
        <is>
          <t>A line below the floor cannot be saved; the error names the job, the athlete tier, the computed floor and the shortfall; tests cover all seven jobs at all three tiers</t>
        </is>
      </c>
      <c r="Q83" s="82" t="inlineStr">
        <is>
          <t>§5, §6, §7, §19</t>
        </is>
      </c>
      <c r="R83" s="111" t="inlineStr">
        <is>
          <t>Refuses rather than reports — a margin report tells you which campaigns lost money, a floor means they cannot be saved. Line by line, never against a package total. The error names job, tier, floor and shortfall. Tested at all seven jobs x all three tiers (21 cases, not a sample, because the collision existed on every job), plus a case reconstructing SX-07 at its old $750 floor. Enforced PER LINE. CampaignOrder gained sellPrice (migration 20260922190000) — without it the rule could only be checked against the campaign budget, which lets a campaign with room hide one underwater line behind several cheap ones. Budget check kept as well. All 7 jobs x 3 tiers tested through createOrder, not against the rule in isolation.</t>
        </is>
      </c>
    </row>
    <row r="84" ht="23.85" customHeight="1" s="75">
      <c r="A84" s="112" t="n">
        <v>75</v>
      </c>
      <c r="B84" s="113" t="inlineStr">
        <is>
          <t>P3-DATA-01</t>
        </is>
      </c>
      <c r="C84" s="85" t="n">
        <v>3</v>
      </c>
      <c r="D84" s="86" t="inlineStr">
        <is>
          <t>Athlete Network</t>
        </is>
      </c>
      <c r="E84" s="129" t="inlineStr">
        <is>
          <t>DATA</t>
        </is>
      </c>
      <c r="F84" s="122" t="inlineStr">
        <is>
          <t>Code</t>
        </is>
      </c>
      <c r="G84" s="84" t="inlineStr">
        <is>
          <t>Pilot cohort import job</t>
        </is>
      </c>
      <c r="H84" s="116" t="inlineStr">
        <is>
          <t>Import the first 25 real athletes as a repeatable script, tested on staging first. Never hand-type production data.</t>
        </is>
      </c>
      <c r="I84" s="108" t="inlineStr">
        <is>
          <t>Done</t>
        </is>
      </c>
      <c r="J84" s="108" t="n">
        <v>3</v>
      </c>
      <c r="K84" s="109" t="inlineStr">
        <is>
          <t>2026-09-24</t>
        </is>
      </c>
      <c r="L84" s="109" t="inlineStr">
        <is>
          <t>2026-09-24</t>
        </is>
      </c>
      <c r="M84" s="110" t="inlineStr">
        <is>
          <t>rcfworks</t>
        </is>
      </c>
      <c r="N84" s="85" t="n">
        <v>1</v>
      </c>
      <c r="O84" s="84" t="inlineStr">
        <is>
          <t>P2-OPS-05</t>
        </is>
      </c>
      <c r="P84" s="84" t="inlineStr">
        <is>
          <t>The first 25 athletes can be imported as a job, run against staging first — never hand-seeded into production</t>
        </is>
      </c>
      <c r="Q84" s="86" t="inlineStr">
        <is>
          <t>Guide §10, §36</t>
        </is>
      </c>
      <c r="R84" s="111" t="inlineStr">
        <is>
          <t>Built 2026-09-24 and RUN ON STAGING the same day: `npm run cohort:import -w @sponsorx/backend -- file.csv` queued one athlete.importCohort job; worker log "25 created, 0 skipped"; staging DB shows 25 athletes in SUBMITTED (review queue). Test file fingerprint e9ce802bee40… (synthetic pilot.*@example.com athletes). Production refuses any file whose sha256 is not in COHORT_IMPORT_APPROVED_SHA256 — add the REAL cohort file's fingerprint there after its staging run (P8-DATA-01). | 2026-09-24: Done at the user's instruction — acceptance confirmed met.</t>
        </is>
      </c>
    </row>
    <row r="85" ht="35.05" customHeight="1" s="75">
      <c r="A85" s="104" t="n">
        <v>76</v>
      </c>
      <c r="B85" s="105" t="inlineStr">
        <is>
          <t>P3-FE-02</t>
        </is>
      </c>
      <c r="C85" s="81" t="n">
        <v>3</v>
      </c>
      <c r="D85" s="82" t="inlineStr">
        <is>
          <t>Athlete Network</t>
        </is>
      </c>
      <c r="E85" s="119" t="inlineStr">
        <is>
          <t>FE</t>
        </is>
      </c>
      <c r="F85" s="120" t="inlineStr">
        <is>
          <t>Code</t>
        </is>
      </c>
      <c r="G85" s="80" t="inlineStr">
        <is>
          <t>Wire the admin application review queue</t>
        </is>
      </c>
      <c r="H85" s="107" t="inlineStr">
        <is>
          <t>Connect the admin review queue to real applications, with the score breakdown visible.</t>
        </is>
      </c>
      <c r="I85" s="108" t="inlineStr">
        <is>
          <t>Done</t>
        </is>
      </c>
      <c r="J85" s="108" t="n">
        <v>3</v>
      </c>
      <c r="K85" s="109" t="inlineStr">
        <is>
          <t>2026-09-25</t>
        </is>
      </c>
      <c r="L85" s="109" t="inlineStr">
        <is>
          <t>2026-09-25</t>
        </is>
      </c>
      <c r="M85" s="110" t="inlineStr">
        <is>
          <t>HeckerCreatives</t>
        </is>
      </c>
      <c r="N85" s="81" t="n">
        <v>1</v>
      </c>
      <c r="O85" s="80" t="inlineStr">
        <is>
          <t>P3-BE-07</t>
        </is>
      </c>
      <c r="P85" s="80" t="inlineStr">
        <is>
          <t>Real applications appear; approve / request-changes / reject all work; the score factor snapshot renders</t>
        </is>
      </c>
      <c r="Q85" s="82" t="inlineStr">
        <is>
          <t>§23</t>
        </is>
      </c>
      <c r="R85" s="111" t="inlineStr">
        <is>
          <t>Wired live (P3-FE-02): GET /applications now carries the latest rules-v1 snapshot; desk live mode does begin-review/approve/request-changes/reject via server actions; verified by a signed-in headless walk (24 checks) incl. persistence across reload.</t>
        </is>
      </c>
    </row>
    <row r="86" ht="35.05" customHeight="1" s="75">
      <c r="A86" s="112" t="n">
        <v>77</v>
      </c>
      <c r="B86" s="113" t="inlineStr">
        <is>
          <t>P3-BE-02</t>
        </is>
      </c>
      <c r="C86" s="85" t="n">
        <v>3</v>
      </c>
      <c r="D86" s="86" t="inlineStr">
        <is>
          <t>Athlete Network</t>
        </is>
      </c>
      <c r="E86" s="137" t="inlineStr">
        <is>
          <t>BE</t>
        </is>
      </c>
      <c r="F86" s="122" t="inlineStr">
        <is>
          <t>Code</t>
        </is>
      </c>
      <c r="G86" s="84" t="inlineStr">
        <is>
          <t>Athlete scope function + matrix rows</t>
        </is>
      </c>
      <c r="H86" s="116" t="inlineStr">
        <is>
          <t>Define who can see which athletes: admins see all, athletes see themselves, guardians see their children, sponsors see only athletes on their own campaigns.</t>
        </is>
      </c>
      <c r="I86" s="108" t="inlineStr">
        <is>
          <t>Done</t>
        </is>
      </c>
      <c r="J86" s="108" t="n">
        <v>1</v>
      </c>
      <c r="K86" s="109" t="inlineStr">
        <is>
          <t>2026-09-23</t>
        </is>
      </c>
      <c r="L86" s="109" t="inlineStr">
        <is>
          <t>2026-09-23</t>
        </is>
      </c>
      <c r="M86" s="110" t="inlineStr">
        <is>
          <t>rcfworks</t>
        </is>
      </c>
      <c r="N86" s="85" t="n"/>
      <c r="O86" s="84" t="inlineStr">
        <is>
          <t>P3-BE-01, P2-SEC-01</t>
        </is>
      </c>
      <c r="P86" s="84" t="inlineStr">
        <is>
          <t>Admin sees tenant-wide; athlete sees self; guardian sees wards; property manager sees own-property; sponsor sees only ACTIVE athletes on their own campaigns</t>
        </is>
      </c>
      <c r="Q86" s="86" t="inlineStr">
        <is>
          <t>Guide §04</t>
        </is>
      </c>
      <c r="R86" s="111" t="n"/>
    </row>
    <row r="87" ht="35.05" customHeight="1" s="75">
      <c r="A87" s="104" t="n">
        <v>78</v>
      </c>
      <c r="B87" s="105" t="inlineStr">
        <is>
          <t>P3-BE-10</t>
        </is>
      </c>
      <c r="C87" s="81" t="n">
        <v>3</v>
      </c>
      <c r="D87" s="82" t="inlineStr">
        <is>
          <t>Athlete Network</t>
        </is>
      </c>
      <c r="E87" s="139" t="inlineStr">
        <is>
          <t>BE</t>
        </is>
      </c>
      <c r="F87" s="120" t="inlineStr">
        <is>
          <t>Code</t>
        </is>
      </c>
      <c r="G87" s="80" t="inlineStr">
        <is>
          <t>Content Value Score v1 with factor snapshot</t>
        </is>
      </c>
      <c r="H87" s="107" t="inlineStr">
        <is>
          <t>Calculate the athlete's score and store the full breakdown behind it, not just the number. A score without its reasoning cannot be explained to an athlete.</t>
        </is>
      </c>
      <c r="I87" s="108" t="inlineStr">
        <is>
          <t>Done</t>
        </is>
      </c>
      <c r="J87" s="108" t="n">
        <v>3</v>
      </c>
      <c r="K87" s="109" t="inlineStr">
        <is>
          <t>2026-09-22</t>
        </is>
      </c>
      <c r="L87" s="109" t="inlineStr">
        <is>
          <t>2026-09-22</t>
        </is>
      </c>
      <c r="M87" s="110" t="inlineStr">
        <is>
          <t>rcfworks</t>
        </is>
      </c>
      <c r="N87" s="81" t="n"/>
      <c r="O87" s="80" t="inlineStr">
        <is>
          <t>P0-DATA-03, P3-BE-01</t>
        </is>
      </c>
      <c r="P87" s="80" t="inlineStr">
        <is>
          <t>AthleteScore stores the score, the full factor JSON and method: "rules-v1" — a number without its factors is not acceptable</t>
        </is>
      </c>
      <c r="Q87" s="82" t="inlineStr">
        <is>
          <t>§14</t>
        </is>
      </c>
      <c r="R87" s="111" t="inlineStr">
        <is>
          <t>A missing factor is not zero — an absent factor's weight is redistributed and the unassessed share is reported. Same athlete scores 80 with sponsorPerformance absent and 76 with it recorded as zero. Arithmetic split into content-value-rules.ts, which imports nothing.</t>
        </is>
      </c>
    </row>
    <row r="88" ht="23.85" customHeight="1" s="75">
      <c r="A88" s="112" t="n">
        <v>79</v>
      </c>
      <c r="B88" s="113" t="inlineStr">
        <is>
          <t>P3-FE-01</t>
        </is>
      </c>
      <c r="C88" s="85" t="n">
        <v>3</v>
      </c>
      <c r="D88" s="86" t="inlineStr">
        <is>
          <t>Athlete Network</t>
        </is>
      </c>
      <c r="E88" s="121" t="inlineStr">
        <is>
          <t>FE</t>
        </is>
      </c>
      <c r="F88" s="122" t="inlineStr">
        <is>
          <t>Code</t>
        </is>
      </c>
      <c r="G88" s="84" t="inlineStr">
        <is>
          <t>Wire /join to the real application API</t>
        </is>
      </c>
      <c r="H88" s="116" t="inlineStr">
        <is>
          <t>Connect the public sign-up page to the real system, including the parent branch for minors.</t>
        </is>
      </c>
      <c r="I88" s="108" t="inlineStr">
        <is>
          <t>Done</t>
        </is>
      </c>
      <c r="J88" s="108" t="n">
        <v>3</v>
      </c>
      <c r="K88" s="109" t="inlineStr">
        <is>
          <t>2026-09-24</t>
        </is>
      </c>
      <c r="L88" s="109" t="inlineStr">
        <is>
          <t>2026-09-24</t>
        </is>
      </c>
      <c r="M88" s="110" t="inlineStr">
        <is>
          <t>HeckerCreatives</t>
        </is>
      </c>
      <c r="N88" s="85" t="n"/>
      <c r="O88" s="84" t="inlineStr">
        <is>
          <t>P3-BE-01</t>
        </is>
      </c>
      <c r="P88" s="84" t="inlineStr">
        <is>
          <t>A real application submits, validates and persists; the guardian branch appears for minors</t>
        </is>
      </c>
      <c r="Q88" s="86" t="inlineStr">
        <is>
          <t>§11</t>
        </is>
      </c>
      <c r="R88" s="111" t="inlineStr">
        <is>
          <t>Wired 2026-09-24 via a server action (API_URL server-side). Verified end to end: headless browser submitted a minor's application through the real wizard into Postgres. Surfaced+fixed: ZodError answered 500 - errorBody() maps validation to 400 with named issues for all contract routes.</t>
        </is>
      </c>
    </row>
    <row r="89" ht="35.05" customHeight="1" s="75">
      <c r="A89" s="104" t="n">
        <v>80</v>
      </c>
      <c r="B89" s="105" t="inlineStr">
        <is>
          <t>P3-FE-03</t>
        </is>
      </c>
      <c r="C89" s="81" t="n">
        <v>3</v>
      </c>
      <c r="D89" s="82" t="inlineStr">
        <is>
          <t>Athlete Network</t>
        </is>
      </c>
      <c r="E89" s="119" t="inlineStr">
        <is>
          <t>FE</t>
        </is>
      </c>
      <c r="F89" s="120" t="inlineStr">
        <is>
          <t>Code</t>
        </is>
      </c>
      <c r="G89" s="80" t="inlineStr">
        <is>
          <t>Wire the athlete profile and completion meter</t>
        </is>
      </c>
      <c r="H89" s="107" t="inlineStr">
        <is>
          <t>Show real profile data and a completion meter that reflects what is actually filled in.</t>
        </is>
      </c>
      <c r="I89" s="108" t="inlineStr">
        <is>
          <t>Done</t>
        </is>
      </c>
      <c r="J89" s="108" t="n">
        <v>3</v>
      </c>
      <c r="K89" s="109" t="inlineStr">
        <is>
          <t>2026-09-25</t>
        </is>
      </c>
      <c r="L89" s="109" t="inlineStr">
        <is>
          <t>2026-09-25</t>
        </is>
      </c>
      <c r="M89" s="110" t="inlineStr">
        <is>
          <t>HeckerCreatives</t>
        </is>
      </c>
      <c r="N89" s="81" t="n"/>
      <c r="O89" s="80" t="inlineStr">
        <is>
          <t>P3-BE-04</t>
        </is>
      </c>
      <c r="P89" s="80" t="inlineStr">
        <is>
          <t>Real profile data renders; the completion meter reflects actual §11 section state</t>
        </is>
      </c>
      <c r="Q89" s="82" t="inlineStr">
        <is>
          <t>§24</t>
        </is>
      </c>
      <c r="R89" s="111" t="inlineStr">
        <is>
          <t>Wired live (P3-FE-03): new GET /athletes/me; meter derived per §11 section (payment honestly not-collected, excluded from %); signed-in athlete walk 12/12; portal chrome now greets the real user.</t>
        </is>
      </c>
    </row>
    <row r="90" ht="23.85" customHeight="1" s="75">
      <c r="A90" s="112" t="n">
        <v>81</v>
      </c>
      <c r="B90" s="113" t="inlineStr">
        <is>
          <t>P3-FE-04</t>
        </is>
      </c>
      <c r="C90" s="85" t="n">
        <v>3</v>
      </c>
      <c r="D90" s="86" t="inlineStr">
        <is>
          <t>Athlete Network</t>
        </is>
      </c>
      <c r="E90" s="121" t="inlineStr">
        <is>
          <t>FE</t>
        </is>
      </c>
      <c r="F90" s="122" t="inlineStr">
        <is>
          <t>Code</t>
        </is>
      </c>
      <c r="G90" s="84" t="inlineStr">
        <is>
          <t>Wire the athlete rate card view</t>
        </is>
      </c>
      <c r="H90" s="116" t="inlineStr">
        <is>
          <t>Let an athlete see their own rates — and nobody else's.</t>
        </is>
      </c>
      <c r="I90" s="108" t="inlineStr">
        <is>
          <t>Done</t>
        </is>
      </c>
      <c r="J90" s="108" t="n">
        <v>1</v>
      </c>
      <c r="K90" s="109" t="inlineStr">
        <is>
          <t>2026-09-25</t>
        </is>
      </c>
      <c r="L90" s="109" t="inlineStr">
        <is>
          <t>2026-09-25</t>
        </is>
      </c>
      <c r="M90" s="110" t="inlineStr">
        <is>
          <t>HeckerCreatives</t>
        </is>
      </c>
      <c r="N90" s="85" t="n"/>
      <c r="O90" s="84" t="inlineStr">
        <is>
          <t>P3-BE-09</t>
        </is>
      </c>
      <c r="P90" s="84" t="inlineStr">
        <is>
          <t>An athlete sees their own rates; no other athlete's rates are reachable</t>
        </is>
      </c>
      <c r="Q90" s="86" t="inlineStr">
        <is>
          <t>§24, Guide §04</t>
        </is>
      </c>
      <c r="R90" s="111" t="inlineStr">
        <is>
          <t>Wired live (P3-FE-04): rate card renders on the profile's private Rates section via GET /athletes/{id}/rates (readRateCard now carries the job NAME, never sponsorPrice); own-scope isolation is P3-BE-09's tests; live walk proved a real rate rendering.</t>
        </is>
      </c>
    </row>
    <row r="91" ht="46.25" customHeight="1" s="75">
      <c r="A91" s="104" t="n">
        <v>82</v>
      </c>
      <c r="B91" s="105" t="inlineStr">
        <is>
          <t>P3-FE-05</t>
        </is>
      </c>
      <c r="C91" s="81" t="n">
        <v>3</v>
      </c>
      <c r="D91" s="82" t="inlineStr">
        <is>
          <t>Athlete Network</t>
        </is>
      </c>
      <c r="E91" s="119" t="inlineStr">
        <is>
          <t>FE</t>
        </is>
      </c>
      <c r="F91" s="120" t="inlineStr">
        <is>
          <t>Code</t>
        </is>
      </c>
      <c r="G91" s="80" t="inlineStr">
        <is>
          <t>Wire the public package catalogue</t>
        </is>
      </c>
      <c r="H91" s="107" t="inlineStr">
        <is>
          <t>Show the real packages publicly, with sponsor prices only. Athlete pay must never appear on a public page.</t>
        </is>
      </c>
      <c r="I91" s="108" t="inlineStr">
        <is>
          <t>Done</t>
        </is>
      </c>
      <c r="J91" s="108" t="n">
        <v>1</v>
      </c>
      <c r="K91" s="109" t="inlineStr">
        <is>
          <t>2026-09-25</t>
        </is>
      </c>
      <c r="L91" s="109" t="inlineStr">
        <is>
          <t>2026-09-25</t>
        </is>
      </c>
      <c r="M91" s="110" t="inlineStr">
        <is>
          <t>HeckerCreatives</t>
        </is>
      </c>
      <c r="N91" s="81" t="n"/>
      <c r="O91" s="80" t="inlineStr">
        <is>
          <t>P3-BE-11</t>
        </is>
      </c>
      <c r="P91" s="80" t="inlineStr">
        <is>
          <t>Real packages render with sponsor prices only - athlete base pay never appears on a public surface - and each package shows the job-code line items it contains</t>
        </is>
      </c>
      <c r="Q91" s="82" t="inlineStr">
        <is>
          <t>§7</t>
        </is>
      </c>
      <c r="R91" s="111" t="inlineStr">
        <is>
          <t>Wired live (P3-FE-05): new public GET /public/catalogue/packages sharing the sponsor read's PACKAGE_SELECT (athlete pay absent by construction); /packages prefers real rows with job-code line items, fixture grid only as outage fallback (footer already declares prices indicative). Verified live: 6 real packages, no pay leak.</t>
        </is>
      </c>
    </row>
    <row r="92" ht="35.05" customHeight="1" s="75">
      <c r="A92" s="112" t="n">
        <v>83</v>
      </c>
      <c r="B92" s="113" t="inlineStr">
        <is>
          <t>P3-INT-02</t>
        </is>
      </c>
      <c r="C92" s="85" t="n">
        <v>3</v>
      </c>
      <c r="D92" s="86" t="inlineStr">
        <is>
          <t>Athlete Network</t>
        </is>
      </c>
      <c r="E92" s="141" t="inlineStr">
        <is>
          <t>INT</t>
        </is>
      </c>
      <c r="F92" s="122" t="inlineStr">
        <is>
          <t>Code</t>
        </is>
      </c>
      <c r="G92" s="84" t="inlineStr">
        <is>
          <t>Application and approval notification jobs</t>
        </is>
      </c>
      <c r="H92" s="116" t="inlineStr">
        <is>
          <t>Automatic emails when an application is received, needs changes, or is approved.</t>
        </is>
      </c>
      <c r="I92" s="108" t="inlineStr">
        <is>
          <t>Done</t>
        </is>
      </c>
      <c r="J92" s="108" t="n">
        <v>1</v>
      </c>
      <c r="K92" s="109" t="inlineStr">
        <is>
          <t>2026-09-22</t>
        </is>
      </c>
      <c r="L92" s="109" t="inlineStr">
        <is>
          <t>2026-09-22</t>
        </is>
      </c>
      <c r="M92" s="110" t="inlineStr">
        <is>
          <t>rcfworks</t>
        </is>
      </c>
      <c r="N92" s="85" t="n"/>
      <c r="O92" s="84" t="inlineStr">
        <is>
          <t>P3-INT-01, P3-BE-07</t>
        </is>
      </c>
      <c r="P92" s="84" t="inlineStr">
        <is>
          <t>Submission acknowledgement, changes-requested and approval emails all send as worker jobs</t>
        </is>
      </c>
      <c r="Q92" s="86" t="inlineStr">
        <is>
          <t>§39</t>
        </is>
      </c>
      <c r="R92" s="111" t="inlineStr">
        <is>
          <t>All four lifecycle templates exist, render, and survive an empty payload rather than greeting someone 'Hi undefined'. The queue path itself is P3-INT-01's and the worker already registers and drains notify.email.</t>
        </is>
      </c>
    </row>
    <row r="93" ht="23.85" customHeight="1" s="75">
      <c r="A93" s="104" t="n">
        <v>84</v>
      </c>
      <c r="B93" s="105" t="inlineStr">
        <is>
          <t>P3-QA-01</t>
        </is>
      </c>
      <c r="C93" s="81" t="n">
        <v>3</v>
      </c>
      <c r="D93" s="82" t="inlineStr">
        <is>
          <t>Athlete Network</t>
        </is>
      </c>
      <c r="E93" s="135" t="inlineStr">
        <is>
          <t>QA</t>
        </is>
      </c>
      <c r="F93" s="120" t="inlineStr">
        <is>
          <t>Code</t>
        </is>
      </c>
      <c r="G93" s="80" t="inlineStr">
        <is>
          <t>E2E: application → approval → ACTIVE</t>
        </is>
      </c>
      <c r="H93" s="107" t="inlineStr">
        <is>
          <t>An automated test covering the whole path from application to active athlete, including the minor/guardian branch.</t>
        </is>
      </c>
      <c r="I93" s="108" t="inlineStr">
        <is>
          <t>Done</t>
        </is>
      </c>
      <c r="J93" s="108" t="n">
        <v>3</v>
      </c>
      <c r="K93" s="109" t="inlineStr">
        <is>
          <t>2026-09-28</t>
        </is>
      </c>
      <c r="L93" s="109" t="inlineStr">
        <is>
          <t>2026-09-28</t>
        </is>
      </c>
      <c r="M93" s="110" t="inlineStr">
        <is>
          <t>HeckerCreatives</t>
        </is>
      </c>
      <c r="N93" s="81" t="n"/>
      <c r="O93" s="80" t="inlineStr">
        <is>
          <t>P3-FE-02</t>
        </is>
      </c>
      <c r="P93" s="80" t="inlineStr">
        <is>
          <t>The full path runs green in CI, including the minor/guardian branch</t>
        </is>
      </c>
      <c r="Q93" s="82" t="inlineStr">
        <is>
          <t>§30</t>
        </is>
      </c>
      <c r="R93" s="111" t="n"/>
    </row>
    <row r="94" ht="23.85" customHeight="1" s="75">
      <c r="A94" s="112" t="n">
        <v>85</v>
      </c>
      <c r="B94" s="113" t="inlineStr">
        <is>
          <t>P3-SEC-01</t>
        </is>
      </c>
      <c r="C94" s="85" t="n">
        <v>3</v>
      </c>
      <c r="D94" s="86" t="inlineStr">
        <is>
          <t>Athlete Network</t>
        </is>
      </c>
      <c r="E94" s="142" t="inlineStr">
        <is>
          <t>SEC</t>
        </is>
      </c>
      <c r="F94" s="130" t="inlineStr">
        <is>
          <t>Document + code</t>
        </is>
      </c>
      <c r="G94" s="84" t="inlineStr">
        <is>
          <t>Minor-athlete data handling review</t>
        </is>
      </c>
      <c r="H94" s="116" t="inlineStr">
        <is>
          <t>Check that the legal constraints around minors are enforced in the code, not just written in a document.</t>
        </is>
      </c>
      <c r="I94" s="108" t="inlineStr">
        <is>
          <t>Done</t>
        </is>
      </c>
      <c r="J94" s="108" t="n">
        <v>1</v>
      </c>
      <c r="K94" s="109" t="inlineStr">
        <is>
          <t>2026-09-22</t>
        </is>
      </c>
      <c r="L94" s="109" t="inlineStr">
        <is>
          <t>2026-09-22</t>
        </is>
      </c>
      <c r="M94" s="110" t="inlineStr">
        <is>
          <t>rcfworks</t>
        </is>
      </c>
      <c r="N94" s="85" t="n"/>
      <c r="O94" s="84" t="inlineStr">
        <is>
          <t>P3-BE-03</t>
        </is>
      </c>
      <c r="P94" s="84" t="inlineStr">
        <is>
          <t>Date of birth handling, guardian PII and the constraints from P0-LEG-06 are enforced in code, not just documented</t>
        </is>
      </c>
      <c r="Q94" s="86" t="inlineStr">
        <is>
          <t>§4, §26</t>
        </is>
      </c>
      <c r="R94" s="111" t="inlineStr">
        <is>
          <t>Minority is evaluated against today's date and never stored; 'no guardian' and 'an unverified guardian' stay distinct; no sponsor role and not the SERVICE account can reach a guardian. The field-level half of §7.2 remains P2-SEC-02's.</t>
        </is>
      </c>
    </row>
    <row r="95" ht="23.85" customHeight="1" s="75">
      <c r="A95" s="104" t="n">
        <v>86</v>
      </c>
      <c r="B95" s="105" t="inlineStr">
        <is>
          <t>P4-BE-01</t>
        </is>
      </c>
      <c r="C95" s="81" t="n">
        <v>4</v>
      </c>
      <c r="D95" s="82" t="inlineStr">
        <is>
          <t>Sponsor Demand &amp; Matching</t>
        </is>
      </c>
      <c r="E95" s="139" t="inlineStr">
        <is>
          <t>BE</t>
        </is>
      </c>
      <c r="F95" s="120" t="inlineStr">
        <is>
          <t>Code</t>
        </is>
      </c>
      <c r="G95" s="80" t="inlineStr">
        <is>
          <t>Sponsor + sponsor contact models and scope</t>
        </is>
      </c>
      <c r="H95" s="107" t="inlineStr">
        <is>
          <t>Sponsor company and contact records, linked to their Zoho equivalents.</t>
        </is>
      </c>
      <c r="I95" s="108" t="inlineStr">
        <is>
          <t>Done</t>
        </is>
      </c>
      <c r="J95" s="108" t="n">
        <v>3</v>
      </c>
      <c r="K95" s="109" t="inlineStr">
        <is>
          <t>2026-09-22</t>
        </is>
      </c>
      <c r="L95" s="109" t="inlineStr">
        <is>
          <t>2026-09-22</t>
        </is>
      </c>
      <c r="M95" s="110" t="inlineStr">
        <is>
          <t>rcfworks</t>
        </is>
      </c>
      <c r="N95" s="81" t="n">
        <v>1</v>
      </c>
      <c r="O95" s="80" t="inlineStr">
        <is>
          <t>P2-BE-04</t>
        </is>
      </c>
      <c r="P95" s="80" t="inlineStr">
        <is>
          <t>Sponsor and contact records exist with Zoho external IDs and sync markers; sponsor scope restricts to own records</t>
        </is>
      </c>
      <c r="Q95" s="82" t="inlineStr">
        <is>
          <t>§20, §18</t>
        </is>
      </c>
      <c r="R95" s="111" t="inlineStr">
        <is>
          <t>SponsorContact is its own table, not a use of User — most sponsor contacts never sign in. Actor now carries sponsorId, without which the matrix's own/own-sponsor scopes cannot be expressed. A sponsor user with no sponsorId matches nothing, never everything. Migration 20260922140000.</t>
        </is>
      </c>
    </row>
    <row r="96" ht="23.85" customHeight="1" s="75">
      <c r="A96" s="112" t="n">
        <v>87</v>
      </c>
      <c r="B96" s="113" t="inlineStr">
        <is>
          <t>P4-BE-02</t>
        </is>
      </c>
      <c r="C96" s="85" t="n">
        <v>4</v>
      </c>
      <c r="D96" s="86" t="inlineStr">
        <is>
          <t>Sponsor Demand &amp; Matching</t>
        </is>
      </c>
      <c r="E96" s="137" t="inlineStr">
        <is>
          <t>BE</t>
        </is>
      </c>
      <c r="F96" s="122" t="inlineStr">
        <is>
          <t>Code</t>
        </is>
      </c>
      <c r="G96" s="84" t="inlineStr">
        <is>
          <t>Campaign brief contract, model and state machine</t>
        </is>
      </c>
      <c r="H96" s="116" t="inlineStr">
        <is>
          <t>The sponsor's campaign request: objective, budget, package, dates, who they want to reach — and its approval lifecycle.</t>
        </is>
      </c>
      <c r="I96" s="108" t="inlineStr">
        <is>
          <t>Done</t>
        </is>
      </c>
      <c r="J96" s="108" t="n">
        <v>3</v>
      </c>
      <c r="K96" s="109" t="inlineStr">
        <is>
          <t>2026-09-22</t>
        </is>
      </c>
      <c r="L96" s="109" t="inlineStr">
        <is>
          <t>2026-09-22</t>
        </is>
      </c>
      <c r="M96" s="110" t="inlineStr">
        <is>
          <t>rcfworks</t>
        </is>
      </c>
      <c r="N96" s="85" t="n">
        <v>3</v>
      </c>
      <c r="O96" s="84" t="inlineStr">
        <is>
          <t>P4-BE-01</t>
        </is>
      </c>
      <c r="P96" s="84" t="inlineStr">
        <is>
          <t>DRAFT→QUALIFIED→APPROVED→CAMPAIGN_CREATED→CLOSED enforced; objective, budget, package, dates, targeting and category captured</t>
        </is>
      </c>
      <c r="Q96" s="86" t="inlineStr">
        <is>
          <t>§13, §21</t>
        </is>
      </c>
      <c r="R96" s="111" t="inlineStr">
        <is>
          <t>BriefState in its own pure file, asserted exhaustively. CLOSED is reachable from every pre-campaign state — 'they went quiet' and 'they said no' both end there and neither is a qualification. CAMPAIGN_CREATED is terminal: once a Campaign exists, reopening the brief gives two rows an opinion about the same work.</t>
        </is>
      </c>
    </row>
    <row r="97" ht="23.85" customHeight="1" s="75">
      <c r="A97" s="104" t="n">
        <v>88</v>
      </c>
      <c r="B97" s="105" t="inlineStr">
        <is>
          <t>P4-BE-03</t>
        </is>
      </c>
      <c r="C97" s="81" t="n">
        <v>4</v>
      </c>
      <c r="D97" s="82" t="inlineStr">
        <is>
          <t>Sponsor Demand &amp; Matching</t>
        </is>
      </c>
      <c r="E97" s="139" t="inlineStr">
        <is>
          <t>BE</t>
        </is>
      </c>
      <c r="F97" s="120" t="inlineStr">
        <is>
          <t>Code</t>
        </is>
      </c>
      <c r="G97" s="80" t="inlineStr">
        <is>
          <t>Eligible-athletes query with conflict + category checks</t>
        </is>
      </c>
      <c r="H97" s="107" t="inlineStr">
        <is>
          <t>The matching engine. Given a brief, return only athletes who fit on sport, location and availability AND are not blocked by a competitor conflict or a personal restriction. The hardest query in Phase 1.</t>
        </is>
      </c>
      <c r="I97" s="108" t="inlineStr">
        <is>
          <t>Done</t>
        </is>
      </c>
      <c r="J97" s="108" t="n">
        <v>5</v>
      </c>
      <c r="K97" s="109" t="inlineStr">
        <is>
          <t>2026-09-22</t>
        </is>
      </c>
      <c r="L97" s="109" t="inlineStr">
        <is>
          <t>2026-09-22</t>
        </is>
      </c>
      <c r="M97" s="110" t="inlineStr">
        <is>
          <t>rcfworks</t>
        </is>
      </c>
      <c r="N97" s="81" t="n">
        <v>3</v>
      </c>
      <c r="O97" s="80" t="inlineStr">
        <is>
          <t>P4-BE-02, P3-BE-05</t>
        </is>
      </c>
      <c r="P97" s="80" t="inlineStr">
        <is>
          <t>A brief returns only athletes passing sport, geography, availability, restriction and category-conflict checks; matrix rows added</t>
        </is>
      </c>
      <c r="Q97" s="82" t="inlineStr">
        <is>
          <t>§13 step 3, §26</t>
        </is>
      </c>
      <c r="R97" s="111" t="inlineStr">
        <is>
          <t>Conflict is a rule; sport and geography are targeting. An empty sports list means 'no preference', not 'nobody'. Exclusion is NOT hasSome, not a negated hasEvery — an athlete barring ANY of the brief's categories is a conflict. ACTIVE athletes only: an unactivated athlete on a shortlist is an invitation nobody could accept.</t>
        </is>
      </c>
    </row>
    <row r="98" ht="23.85" customHeight="1" s="75">
      <c r="A98" s="112" t="n">
        <v>89</v>
      </c>
      <c r="B98" s="113" t="inlineStr">
        <is>
          <t>P4-BE-04</t>
        </is>
      </c>
      <c r="C98" s="85" t="n">
        <v>4</v>
      </c>
      <c r="D98" s="86" t="inlineStr">
        <is>
          <t>Sponsor Demand &amp; Matching</t>
        </is>
      </c>
      <c r="E98" s="137" t="inlineStr">
        <is>
          <t>BE</t>
        </is>
      </c>
      <c r="F98" s="122" t="inlineStr">
        <is>
          <t>Code</t>
        </is>
      </c>
      <c r="G98" s="84" t="inlineStr">
        <is>
          <t>Campaign invitation model and lifecycle</t>
        </is>
      </c>
      <c r="H98" s="116" t="inlineStr">
        <is>
          <t>Invitations to athletes and their lifecycle: sent, viewed, accepted, declined, expired.</t>
        </is>
      </c>
      <c r="I98" s="108" t="inlineStr">
        <is>
          <t>Done</t>
        </is>
      </c>
      <c r="J98" s="108" t="n">
        <v>3</v>
      </c>
      <c r="K98" s="109" t="inlineStr">
        <is>
          <t>2026-09-22</t>
        </is>
      </c>
      <c r="L98" s="109" t="inlineStr">
        <is>
          <t>2026-09-22</t>
        </is>
      </c>
      <c r="M98" s="110" t="inlineStr">
        <is>
          <t>rcfworks</t>
        </is>
      </c>
      <c r="N98" s="85" t="n">
        <v>5</v>
      </c>
      <c r="O98" s="84" t="inlineStr">
        <is>
          <t>P4-BE-03</t>
        </is>
      </c>
      <c r="P98" s="84" t="inlineStr">
        <is>
          <t>INVITED→VIEWED→ACCEPTED/DECLINED/EXPIRED enforced; every transition audited</t>
        </is>
      </c>
      <c r="Q98" s="86" t="inlineStr">
        <is>
          <t>§21</t>
        </is>
      </c>
      <c r="R98" s="111" t="inlineStr">
        <is>
          <t>The conflict check and §37's guardian gate are BOTH re-asked at the invitation, because the shortlist is advisory and the invitation is the act. Creating an invitation requires a tenant-wide reach: ATHLETE holds invitation.write for their OWN invitation, so the coarse check alone let an athlete invite themselves — caught by a test, fixed from the matrix's own scopes rather than a role list. One live offer enforced by the partial unique index.</t>
        </is>
      </c>
    </row>
    <row r="99" ht="35.05" customHeight="1" s="75">
      <c r="A99" s="104" t="n">
        <v>90</v>
      </c>
      <c r="B99" s="105" t="inlineStr">
        <is>
          <t>P4-BE-06</t>
        </is>
      </c>
      <c r="C99" s="81" t="n">
        <v>4</v>
      </c>
      <c r="D99" s="82" t="inlineStr">
        <is>
          <t>Sponsor Demand &amp; Matching</t>
        </is>
      </c>
      <c r="E99" s="139" t="inlineStr">
        <is>
          <t>BE</t>
        </is>
      </c>
      <c r="F99" s="120" t="inlineStr">
        <is>
          <t>Code</t>
        </is>
      </c>
      <c r="G99" s="80" t="inlineStr">
        <is>
          <t>Campaign model and staffing state</t>
        </is>
      </c>
      <c r="H99" s="107" t="inlineStr">
        <is>
          <t>The campaign record and its lifecycle. Budget must never be reachable by an athlete's account.</t>
        </is>
      </c>
      <c r="I99" s="108" t="inlineStr">
        <is>
          <t>Done</t>
        </is>
      </c>
      <c r="J99" s="108" t="n">
        <v>3</v>
      </c>
      <c r="K99" s="109" t="inlineStr">
        <is>
          <t>2026-09-22</t>
        </is>
      </c>
      <c r="L99" s="109" t="inlineStr">
        <is>
          <t>2026-09-22</t>
        </is>
      </c>
      <c r="M99" s="110" t="inlineStr">
        <is>
          <t>rcfworks</t>
        </is>
      </c>
      <c r="N99" s="81" t="n">
        <v>2</v>
      </c>
      <c r="O99" s="80" t="inlineStr">
        <is>
          <t>P4-BE-02</t>
        </is>
      </c>
      <c r="P99" s="80" t="inlineStr">
        <is>
          <t>DRAFT→STAFFING→APPROVAL→ACTIVE→REPORTING→COMPLETED/CANCELLED enforced; Campaign.budget never reachable from an athlete-scoped query</t>
        </is>
      </c>
      <c r="Q99" s="82" t="inlineStr">
        <is>
          <t>§21, Guide §04</t>
        </is>
      </c>
      <c r="R99" s="111" t="inlineStr">
        <is>
          <t>A campaign cannot be cancelled once REPORTING — the athletes did the work and the sponsor owes for it, so cancelling there is a billing decision dressed as a state change. STAFFING can go back to DRAFT because matching can reveal the brief itself is wrong. Reaching ACTIVE queues zoho.pushCampaign rather than calling Zoho on the request path.</t>
        </is>
      </c>
    </row>
    <row r="100" ht="35.05" customHeight="1" s="75">
      <c r="A100" s="112" t="n">
        <v>91</v>
      </c>
      <c r="B100" s="113" t="inlineStr">
        <is>
          <t>P4-FE-01</t>
        </is>
      </c>
      <c r="C100" s="85" t="n">
        <v>4</v>
      </c>
      <c r="D100" s="86" t="inlineStr">
        <is>
          <t>Sponsor Demand &amp; Matching</t>
        </is>
      </c>
      <c r="E100" s="121" t="inlineStr">
        <is>
          <t>FE</t>
        </is>
      </c>
      <c r="F100" s="122" t="inlineStr">
        <is>
          <t>Code</t>
        </is>
      </c>
      <c r="G100" s="84" t="inlineStr">
        <is>
          <t>Wire the sponsor marketplace and brief submission</t>
        </is>
      </c>
      <c r="H100" s="116" t="inlineStr">
        <is>
          <t>Let sponsors browse packages and submit a request. Phase 1 is request-and-we-call-you, not self-service checkout.</t>
        </is>
      </c>
      <c r="I100" s="108" t="inlineStr">
        <is>
          <t>Done</t>
        </is>
      </c>
      <c r="J100" s="108" t="n">
        <v>3</v>
      </c>
      <c r="K100" s="109" t="inlineStr">
        <is>
          <t>2026-09-24</t>
        </is>
      </c>
      <c r="L100" s="109" t="n">
        <v>46296</v>
      </c>
      <c r="M100" s="110" t="inlineStr">
        <is>
          <t>rcfworks</t>
        </is>
      </c>
      <c r="N100" s="85" t="n">
        <v>1</v>
      </c>
      <c r="O100" s="84" t="inlineStr">
        <is>
          <t>P4-BE-02</t>
        </is>
      </c>
      <c r="P100" s="84" t="inlineStr">
        <is>
          <t>A sponsor browses real packages and inventory and submits a real brief — request/reserve, not self-checkout</t>
        </is>
      </c>
      <c r="Q100" s="86" t="inlineStr">
        <is>
          <t>§17, §9 screen 4</t>
        </is>
      </c>
      <c r="R100" s="111" t="inlineStr">
        <is>
          <t>2026-09-24: A signed-in SPONSOR_ADMIN/ANALYST sees the REAL catalogue (new GET /catalogue/packages and /catalogue/jobs — sponsor prices only) and the brief drawer files a REAL brief through the submitBrief server function → POST /briefs → DRAFT (request, not checkout). Demo/?demo= and signed-out keep the fixture demo; the media tab is hidden live (no Phase 1 model). Category is now the closed vocabulary (frontend copy pinned to the backend's). Proven: frontend tests/marketplace-live.test.ts; backend tests/brief-contract.test.ts imports the frontend's own mapping, parses it with CampaignBriefInput and files it through the API as a signed-in sponsor (201 DRAFT, fields stored; another sponsor's id → 403). /me now returns sponsorId.</t>
        </is>
      </c>
    </row>
    <row r="101" ht="35.05" customHeight="1" s="75">
      <c r="A101" s="104" t="n">
        <v>92</v>
      </c>
      <c r="B101" s="105" t="inlineStr">
        <is>
          <t>P4-FE-04</t>
        </is>
      </c>
      <c r="C101" s="81" t="n">
        <v>4</v>
      </c>
      <c r="D101" s="82" t="inlineStr">
        <is>
          <t>Sponsor Demand &amp; Matching</t>
        </is>
      </c>
      <c r="E101" s="119" t="inlineStr">
        <is>
          <t>FE</t>
        </is>
      </c>
      <c r="F101" s="120" t="inlineStr">
        <is>
          <t>Code</t>
        </is>
      </c>
      <c r="G101" s="80" t="inlineStr">
        <is>
          <t>Wire the athlete invitation inbox</t>
        </is>
      </c>
      <c r="H101" s="107" t="inlineStr">
        <is>
          <t>The athlete's invitation inbox — opening one marks it viewed; accept and decline both work.</t>
        </is>
      </c>
      <c r="I101" s="108" t="inlineStr">
        <is>
          <t>Done</t>
        </is>
      </c>
      <c r="J101" s="108" t="n">
        <v>3</v>
      </c>
      <c r="K101" s="109" t="inlineStr">
        <is>
          <t>2026-09-25</t>
        </is>
      </c>
      <c r="L101" s="109" t="inlineStr">
        <is>
          <t>2026-09-28</t>
        </is>
      </c>
      <c r="M101" s="110" t="inlineStr">
        <is>
          <t>HeckerCreatives</t>
        </is>
      </c>
      <c r="N101" s="81" t="n">
        <v>1</v>
      </c>
      <c r="O101" s="80" t="inlineStr">
        <is>
          <t>P4-BE-04</t>
        </is>
      </c>
      <c r="P101" s="80" t="inlineStr">
        <is>
          <t>Real invitations render in all five states; viewing transitions INVITED→VIEWED; accept and decline both work</t>
        </is>
      </c>
      <c r="Q101" s="82" t="inlineStr">
        <is>
          <t>§24</t>
        </is>
      </c>
      <c r="R101" s="111" t="n"/>
    </row>
    <row r="102" ht="35.05" customHeight="1" s="75">
      <c r="A102" s="112" t="n">
        <v>93</v>
      </c>
      <c r="B102" s="113" t="inlineStr">
        <is>
          <t>P4-ART-01</t>
        </is>
      </c>
      <c r="C102" s="85" t="n">
        <v>4</v>
      </c>
      <c r="D102" s="86" t="inlineStr">
        <is>
          <t>Sponsor Demand &amp; Matching</t>
        </is>
      </c>
      <c r="E102" s="114" t="inlineStr">
        <is>
          <t>ART</t>
        </is>
      </c>
      <c r="F102" s="115" t="inlineStr">
        <is>
          <t>Design tool</t>
        </is>
      </c>
      <c r="G102" s="84" t="inlineStr">
        <is>
          <t>Design the matching and roster-review experience</t>
        </is>
      </c>
      <c r="H102" s="116" t="inlineStr">
        <is>
          <t>Design the matching screen before it is built. It is the densest screen in the product: filters, roster comparison, scores side by side.</t>
        </is>
      </c>
      <c r="I102" s="108" t="inlineStr">
        <is>
          <t>Done</t>
        </is>
      </c>
      <c r="J102" s="108" t="n">
        <v>3</v>
      </c>
      <c r="K102" s="109" t="inlineStr">
        <is>
          <t>2026-09-17</t>
        </is>
      </c>
      <c r="L102" s="109" t="inlineStr">
        <is>
          <t>2026-09-18</t>
        </is>
      </c>
      <c r="M102" s="110" t="inlineStr">
        <is>
          <t>rcfworks</t>
        </is>
      </c>
      <c r="N102" s="85" t="n">
        <v>1</v>
      </c>
      <c r="O102" s="84" t="n"/>
      <c r="P102" s="84" t="inlineStr">
        <is>
          <t>The densest admin screen in the product is designed before it is built — filters, roster comparison, score presentation</t>
        </is>
      </c>
      <c r="Q102" s="86" t="inlineStr">
        <is>
          <t>§9 screen 8</t>
        </is>
      </c>
      <c r="R102" s="111" t="inlineStr">
        <is>
          <t>Designed in Claude Design from documentation/Design/matching-roster-review/BRIEF.md. Exported as editable .dc.html source (all five screens as state branches in one file), saved to that folder with its design system. Content checked against the brief; not yet reviewed visually and no contrast audit run. Closed Code review -&gt; Done 2026-09-18 at the user's instruction.</t>
        </is>
      </c>
    </row>
    <row r="103" ht="23.85" customHeight="1" s="75">
      <c r="A103" s="104" t="n">
        <v>94</v>
      </c>
      <c r="B103" s="105" t="inlineStr">
        <is>
          <t>P4-BE-05</t>
        </is>
      </c>
      <c r="C103" s="81" t="n">
        <v>4</v>
      </c>
      <c r="D103" s="82" t="inlineStr">
        <is>
          <t>Sponsor Demand &amp; Matching</t>
        </is>
      </c>
      <c r="E103" s="139" t="inlineStr">
        <is>
          <t>BE</t>
        </is>
      </c>
      <c r="F103" s="120" t="inlineStr">
        <is>
          <t>Code</t>
        </is>
      </c>
      <c r="G103" s="80" t="inlineStr">
        <is>
          <t>Invitation expiry worker job</t>
        </is>
      </c>
      <c r="H103" s="107" t="inlineStr">
        <is>
          <t>A scheduled job that expires stale invitations so they cannot be accepted weeks later.</t>
        </is>
      </c>
      <c r="I103" s="108" t="inlineStr">
        <is>
          <t>Done</t>
        </is>
      </c>
      <c r="J103" s="108" t="n">
        <v>1</v>
      </c>
      <c r="K103" s="109" t="inlineStr">
        <is>
          <t>2026-09-22</t>
        </is>
      </c>
      <c r="L103" s="109" t="inlineStr">
        <is>
          <t>2026-09-22</t>
        </is>
      </c>
      <c r="M103" s="110" t="inlineStr">
        <is>
          <t>rcfworks</t>
        </is>
      </c>
      <c r="N103" s="81" t="n"/>
      <c r="O103" s="80" t="inlineStr">
        <is>
          <t>P4-BE-04, P2-BE-05</t>
        </is>
      </c>
      <c r="P103" s="80" t="inlineStr">
        <is>
          <t>Invitations past their window move to EXPIRED automatically and cannot be accepted afterwards</t>
        </is>
      </c>
      <c r="Q103" s="82" t="inlineStr">
        <is>
          <t>§21</t>
        </is>
      </c>
      <c r="R103" s="111" t="inlineStr">
        <is>
          <t>A sweep rather than a timer per invitation — a per-invite job that is lost leaves that offer open forever, where a missed sweep catches everything next run. Expires and audits in one statement so the log cannot lag the data. Hourly; no email, because an athlete who ignored an invitation for a week does not need telling.</t>
        </is>
      </c>
    </row>
    <row r="104" ht="46.25" customHeight="1" s="75">
      <c r="A104" s="112" t="n">
        <v>95</v>
      </c>
      <c r="B104" s="113" t="inlineStr">
        <is>
          <t>P4-FE-02</t>
        </is>
      </c>
      <c r="C104" s="85" t="n">
        <v>4</v>
      </c>
      <c r="D104" s="86" t="inlineStr">
        <is>
          <t>Sponsor Demand &amp; Matching</t>
        </is>
      </c>
      <c r="E104" s="121" t="inlineStr">
        <is>
          <t>FE</t>
        </is>
      </c>
      <c r="F104" s="122" t="inlineStr">
        <is>
          <t>Code</t>
        </is>
      </c>
      <c r="G104" s="84" t="inlineStr">
        <is>
          <t>Wire the campaign builder and athlete matching UI</t>
        </is>
      </c>
      <c r="H104" s="116" t="inlineStr">
        <is>
          <t>The campaign builder: filter athletes, compare them, pick the roster.</t>
        </is>
      </c>
      <c r="I104" s="108" t="inlineStr">
        <is>
          <t>Done</t>
        </is>
      </c>
      <c r="J104" s="108" t="n">
        <v>5</v>
      </c>
      <c r="K104" s="109" t="inlineStr">
        <is>
          <t>2026-09-28</t>
        </is>
      </c>
      <c r="L104" s="109" t="inlineStr">
        <is>
          <t>2026-09-28</t>
        </is>
      </c>
      <c r="M104" s="110" t="inlineStr">
        <is>
          <t>HeckerCreatives</t>
        </is>
      </c>
      <c r="N104" s="85" t="n"/>
      <c r="O104" s="84" t="inlineStr">
        <is>
          <t>P4-BE-03</t>
        </is>
      </c>
      <c r="P104" s="84" t="inlineStr">
        <is>
          <t>Campaign manager filters, reviews the eligible roster with score snapshots, and selects athletes</t>
        </is>
      </c>
      <c r="Q104" s="86" t="inlineStr">
        <is>
          <t>§9 screen 8</t>
        </is>
      </c>
      <c r="R104" s="111" t="n"/>
    </row>
    <row r="105" ht="23.85" customHeight="1" s="75">
      <c r="A105" s="104" t="n">
        <v>96</v>
      </c>
      <c r="B105" s="105" t="inlineStr">
        <is>
          <t>P4-FE-03</t>
        </is>
      </c>
      <c r="C105" s="81" t="n">
        <v>4</v>
      </c>
      <c r="D105" s="82" t="inlineStr">
        <is>
          <t>Sponsor Demand &amp; Matching</t>
        </is>
      </c>
      <c r="E105" s="119" t="inlineStr">
        <is>
          <t>FE</t>
        </is>
      </c>
      <c r="F105" s="120" t="inlineStr">
        <is>
          <t>Code</t>
        </is>
      </c>
      <c r="G105" s="80" t="inlineStr">
        <is>
          <t>Wire the invitation send flow</t>
        </is>
      </c>
      <c r="H105" s="107" t="inlineStr">
        <is>
          <t>Send invitations from the builder and show who has responded.</t>
        </is>
      </c>
      <c r="I105" s="108" t="inlineStr">
        <is>
          <t>Done</t>
        </is>
      </c>
      <c r="J105" s="108" t="n">
        <v>3</v>
      </c>
      <c r="K105" s="109" t="inlineStr">
        <is>
          <t>2026-09-28</t>
        </is>
      </c>
      <c r="L105" s="109" t="inlineStr">
        <is>
          <t>2026-09-28</t>
        </is>
      </c>
      <c r="M105" s="110" t="inlineStr">
        <is>
          <t>HeckerCreatives</t>
        </is>
      </c>
      <c r="N105" s="81" t="n"/>
      <c r="O105" s="80" t="inlineStr">
        <is>
          <t>P4-BE-04</t>
        </is>
      </c>
      <c r="P105" s="80" t="inlineStr">
        <is>
          <t>Invitations send from the builder; roster shows SENT / awaiting state per athlete</t>
        </is>
      </c>
      <c r="Q105" s="82" t="inlineStr">
        <is>
          <t>§13 step 4</t>
        </is>
      </c>
      <c r="R105" s="111" t="n"/>
    </row>
    <row r="106" ht="35.05" customHeight="1" s="75">
      <c r="A106" s="112" t="n">
        <v>97</v>
      </c>
      <c r="B106" s="113" t="inlineStr">
        <is>
          <t>P4-FE-05</t>
        </is>
      </c>
      <c r="C106" s="85" t="n">
        <v>4</v>
      </c>
      <c r="D106" s="86" t="inlineStr">
        <is>
          <t>Sponsor Demand &amp; Matching</t>
        </is>
      </c>
      <c r="E106" s="121" t="inlineStr">
        <is>
          <t>FE</t>
        </is>
      </c>
      <c r="F106" s="122" t="inlineStr">
        <is>
          <t>Code</t>
        </is>
      </c>
      <c r="G106" s="84" t="inlineStr">
        <is>
          <t>Wire the sponsor dashboard to real campaign data</t>
        </is>
      </c>
      <c r="H106" s="116" t="inlineStr">
        <is>
          <t>Point the sponsor dashboard at real campaign data.</t>
        </is>
      </c>
      <c r="I106" s="108" t="inlineStr">
        <is>
          <t>Done</t>
        </is>
      </c>
      <c r="J106" s="108" t="n">
        <v>3</v>
      </c>
      <c r="K106" s="109" t="inlineStr">
        <is>
          <t>2026-09-28</t>
        </is>
      </c>
      <c r="L106" s="109" t="inlineStr">
        <is>
          <t>2026-09-28</t>
        </is>
      </c>
      <c r="M106" s="110" t="inlineStr">
        <is>
          <t>HeckerCreatives</t>
        </is>
      </c>
      <c r="N106" s="85" t="n"/>
      <c r="O106" s="84" t="inlineStr">
        <is>
          <t>P4-BE-06</t>
        </is>
      </c>
      <c r="P106" s="84" t="inlineStr">
        <is>
          <t>Active campaigns, spend, package status and athlete count all come from Postgres</t>
        </is>
      </c>
      <c r="Q106" s="86" t="inlineStr">
        <is>
          <t>§9 screen 3</t>
        </is>
      </c>
      <c r="R106" s="111" t="n"/>
    </row>
    <row r="107" ht="35.05" customHeight="1" s="75">
      <c r="A107" s="104" t="n">
        <v>98</v>
      </c>
      <c r="B107" s="105" t="inlineStr">
        <is>
          <t>P4-INT-01</t>
        </is>
      </c>
      <c r="C107" s="81" t="n">
        <v>4</v>
      </c>
      <c r="D107" s="82" t="inlineStr">
        <is>
          <t>Sponsor Demand &amp; Matching</t>
        </is>
      </c>
      <c r="E107" s="138" t="inlineStr">
        <is>
          <t>INT</t>
        </is>
      </c>
      <c r="F107" s="120" t="inlineStr">
        <is>
          <t>Code</t>
        </is>
      </c>
      <c r="G107" s="80" t="inlineStr">
        <is>
          <t>Invitation notification jobs</t>
        </is>
      </c>
      <c r="H107" s="107" t="inlineStr">
        <is>
          <t>Invitation, reminder and expiry-warning emails.</t>
        </is>
      </c>
      <c r="I107" s="108" t="inlineStr">
        <is>
          <t>Done</t>
        </is>
      </c>
      <c r="J107" s="108" t="n">
        <v>1</v>
      </c>
      <c r="K107" s="109" t="inlineStr">
        <is>
          <t>2026-09-22</t>
        </is>
      </c>
      <c r="L107" s="109" t="inlineStr">
        <is>
          <t>2026-09-22</t>
        </is>
      </c>
      <c r="M107" s="110" t="inlineStr">
        <is>
          <t>rcfworks</t>
        </is>
      </c>
      <c r="N107" s="81" t="n"/>
      <c r="O107" s="80" t="inlineStr">
        <is>
          <t>P3-INT-01, P4-BE-04</t>
        </is>
      </c>
      <c r="P107" s="80" t="inlineStr">
        <is>
          <t>Invitation, reminder and expiry-warning emails all send as queued jobs</t>
        </is>
      </c>
      <c r="Q107" s="82" t="inlineStr">
        <is>
          <t>§39</t>
        </is>
      </c>
      <c r="R107" s="111" t="inlineStr">
        <is>
          <t>The handler notify.invitationSent had been waiting for since P4-BE-04 — the drain was holding those outbox rows rather than dispatching them into a queue nobody worked. Resolves the invitation AT SEND TIME and skips one accepted, declined or expired since: the payload carries an id and the world moves between enqueue and drain. All three emails now enqueued: the invitation by inviteAthlete, the reminder and the expiry warning by the hourly sweep, each with an idempotency key per invitation per kind so an hourly sweep does not nag.</t>
        </is>
      </c>
    </row>
    <row r="108" ht="23.85" customHeight="1" s="75">
      <c r="A108" s="112" t="n">
        <v>99</v>
      </c>
      <c r="B108" s="113" t="inlineStr">
        <is>
          <t>P4-QA-01</t>
        </is>
      </c>
      <c r="C108" s="85" t="n">
        <v>4</v>
      </c>
      <c r="D108" s="86" t="inlineStr">
        <is>
          <t>Sponsor Demand &amp; Matching</t>
        </is>
      </c>
      <c r="E108" s="134" t="inlineStr">
        <is>
          <t>QA</t>
        </is>
      </c>
      <c r="F108" s="122" t="inlineStr">
        <is>
          <t>Code</t>
        </is>
      </c>
      <c r="G108" s="84" t="inlineStr">
        <is>
          <t>E2E: brief → matching → invitation → response</t>
        </is>
      </c>
      <c r="H108" s="116" t="inlineStr">
        <is>
          <t>Automated test of the whole brief-to-response path, including declines and expiry.</t>
        </is>
      </c>
      <c r="I108" s="108" t="inlineStr">
        <is>
          <t>Done</t>
        </is>
      </c>
      <c r="J108" s="108" t="n">
        <v>3</v>
      </c>
      <c r="K108" s="109" t="inlineStr">
        <is>
          <t>2026-09-28</t>
        </is>
      </c>
      <c r="L108" s="109" t="inlineStr">
        <is>
          <t>2026-09-28</t>
        </is>
      </c>
      <c r="M108" s="110" t="inlineStr">
        <is>
          <t>HeckerCreatives</t>
        </is>
      </c>
      <c r="N108" s="85" t="n"/>
      <c r="O108" s="84" t="inlineStr">
        <is>
          <t>P4-FE-04</t>
        </is>
      </c>
      <c r="P108" s="84" t="inlineStr">
        <is>
          <t>The full segment runs green, including decline and expiry paths</t>
        </is>
      </c>
      <c r="Q108" s="86" t="inlineStr">
        <is>
          <t>§30</t>
        </is>
      </c>
      <c r="R108" s="111" t="n"/>
    </row>
    <row r="109" ht="23.85" customHeight="1" s="75">
      <c r="A109" s="104" t="n">
        <v>100</v>
      </c>
      <c r="B109" s="105" t="inlineStr">
        <is>
          <t>P4-SEC-01</t>
        </is>
      </c>
      <c r="C109" s="81" t="n">
        <v>4</v>
      </c>
      <c r="D109" s="82" t="inlineStr">
        <is>
          <t>Sponsor Demand &amp; Matching</t>
        </is>
      </c>
      <c r="E109" s="140" t="inlineStr">
        <is>
          <t>SEC</t>
        </is>
      </c>
      <c r="F109" s="120" t="inlineStr">
        <is>
          <t>Code</t>
        </is>
      </c>
      <c r="G109" s="80" t="inlineStr">
        <is>
          <t>Conflict and restriction enforcement test</t>
        </is>
      </c>
      <c r="H109" s="107" t="inlineStr">
        <is>
          <t>Prove by test that a competing sponsor cannot be matched to a restricted athlete. Inspection is not enough here.</t>
        </is>
      </c>
      <c r="I109" s="108" t="inlineStr">
        <is>
          <t>Done</t>
        </is>
      </c>
      <c r="J109" s="108" t="n">
        <v>3</v>
      </c>
      <c r="K109" s="109" t="inlineStr">
        <is>
          <t>2026-09-23</t>
        </is>
      </c>
      <c r="L109" s="109" t="inlineStr">
        <is>
          <t>2026-09-23</t>
        </is>
      </c>
      <c r="M109" s="110" t="inlineStr">
        <is>
          <t>rcfworks</t>
        </is>
      </c>
      <c r="N109" s="81" t="n"/>
      <c r="O109" s="80" t="inlineStr">
        <is>
          <t>P4-BE-03</t>
        </is>
      </c>
      <c r="P109" s="80" t="inlineStr">
        <is>
          <t>A competitor-category sponsor cannot be matched to a restricted athlete — proven by test, not by inspection</t>
        </is>
      </c>
      <c r="Q109" s="82" t="inlineStr">
        <is>
          <t>§26</t>
        </is>
      </c>
      <c r="R109" s="111" t="n"/>
    </row>
    <row r="110" ht="23.85" customHeight="1" s="75">
      <c r="A110" s="112" t="n">
        <v>101</v>
      </c>
      <c r="B110" s="113" t="inlineStr">
        <is>
          <t>P4-SEC-02</t>
        </is>
      </c>
      <c r="C110" s="85" t="n">
        <v>4</v>
      </c>
      <c r="D110" s="86" t="inlineStr">
        <is>
          <t>Sponsor Demand &amp; Matching</t>
        </is>
      </c>
      <c r="E110" s="142" t="inlineStr">
        <is>
          <t>SEC</t>
        </is>
      </c>
      <c r="F110" s="122" t="inlineStr">
        <is>
          <t>Code</t>
        </is>
      </c>
      <c r="G110" s="84" t="inlineStr">
        <is>
          <t>Field-level authz pass on sponsor surfaces</t>
        </is>
      </c>
      <c r="H110" s="116" t="inlineStr">
        <is>
          <t>Re-check every sponsor-facing query lists its fields explicitly and never includes athlete pay.</t>
        </is>
      </c>
      <c r="I110" s="108" t="inlineStr">
        <is>
          <t>Done</t>
        </is>
      </c>
      <c r="J110" s="108" t="n">
        <v>1</v>
      </c>
      <c r="K110" s="109" t="inlineStr">
        <is>
          <t>2026-09-24</t>
        </is>
      </c>
      <c r="L110" s="109" t="inlineStr">
        <is>
          <t>2026-09-24</t>
        </is>
      </c>
      <c r="M110" s="110" t="inlineStr">
        <is>
          <t>rcfworks</t>
        </is>
      </c>
      <c r="N110" s="85" t="n"/>
      <c r="O110" s="84" t="inlineStr">
        <is>
          <t>P4-FE-01</t>
        </is>
      </c>
      <c r="P110" s="84" t="inlineStr">
        <is>
          <t>Every sponsor-facing query uses explicit select; AthleteRate.amount is absent from all of them</t>
        </is>
      </c>
      <c r="Q110" s="86" t="inlineStr">
        <is>
          <t>Guide §04</t>
        </is>
      </c>
      <c r="R110" s="111" t="inlineStr">
        <is>
          <t>2026-09-24: Explicit select: the P2-OPS-06 lint rule (src, worker, tests) is pinned by tests/sponsor-field-authz.test.ts. No athlete pay on the wire: marker values planted in AthleteRate.amount, NilJob base pay + sell floors, CampaignOrder.compensation and Earning.gross; every documented GET called as SPONSOR_ADMIN and SPONSOR_ANALYST on their own campaign — no marker and no pay field name in any response; positive control reaches their report and catalogue; rate card → 403. Mutation-checked: adding baseLow to the jobs read fails it and names the column. | 2026-09-24: Done at the user's instruction — acceptance confirmed met.</t>
        </is>
      </c>
    </row>
    <row r="111" ht="23.85" customHeight="1" s="75">
      <c r="A111" s="104" t="n">
        <v>102</v>
      </c>
      <c r="B111" s="105" t="inlineStr">
        <is>
          <t>P5-BE-01</t>
        </is>
      </c>
      <c r="C111" s="81" t="n">
        <v>5</v>
      </c>
      <c r="D111" s="82" t="inlineStr">
        <is>
          <t>Campaign Execution</t>
        </is>
      </c>
      <c r="E111" s="139" t="inlineStr">
        <is>
          <t>BE</t>
        </is>
      </c>
      <c r="F111" s="120" t="inlineStr">
        <is>
          <t>Code</t>
        </is>
      </c>
      <c r="G111" s="80" t="inlineStr">
        <is>
          <t>Campaign Order acceptance with body-hash capture</t>
        </is>
      </c>
      <c r="H111" s="107" t="inlineStr">
        <is>
          <t>Accepting a campaign contract: record the exact text shown, who accepted, when and from where. An unverified guardian blocks acceptance. Do not build this until counsel has approved the template.</t>
        </is>
      </c>
      <c r="I111" s="108" t="inlineStr">
        <is>
          <t>Done</t>
        </is>
      </c>
      <c r="J111" s="108" t="n">
        <v>5</v>
      </c>
      <c r="K111" s="109" t="inlineStr">
        <is>
          <t>2026-09-22</t>
        </is>
      </c>
      <c r="L111" s="109" t="inlineStr">
        <is>
          <t>2026-09-22</t>
        </is>
      </c>
      <c r="M111" s="110" t="inlineStr">
        <is>
          <t>rcfworks</t>
        </is>
      </c>
      <c r="N111" s="81" t="n">
        <v>2</v>
      </c>
      <c r="O111" s="80" t="inlineStr">
        <is>
          <t>P3-BE-06, P4-BE-04</t>
        </is>
      </c>
      <c r="P111" s="80" t="inlineStr">
        <is>
          <t>Acceptance records agreement version, body hash, signer, timestamp, IP and user agent; an unverified guardian blocks acceptance; state must be SENT to accept</t>
        </is>
      </c>
      <c r="Q111" s="82" t="inlineStr">
        <is>
          <t>§12, Guide §08</t>
        </is>
      </c>
      <c r="R111" s="111" t="inlineStr">
        <is>
          <t>Acceptance is evidence: body hash of the text actually shown, signer, IP and user agent, all from the request and never the body. Refused unless the order is SENT, and refused for a minor whose guardian is not verified (§37, §4). Acceptance was reachable around every guard via transitionOrder(ACCEPTED) with no hash, signer or guardian check — refused there now. The acceptance and the order state also commit in ONE transaction: three transactions could leave the order SENT with the agreement already accepted, which no retry could ever get past.</t>
        </is>
      </c>
    </row>
    <row r="112" ht="23.85" customHeight="1" s="75">
      <c r="A112" s="112" t="n">
        <v>103</v>
      </c>
      <c r="B112" s="113" t="inlineStr">
        <is>
          <t>P5-BE-03</t>
        </is>
      </c>
      <c r="C112" s="85" t="n">
        <v>5</v>
      </c>
      <c r="D112" s="86" t="inlineStr">
        <is>
          <t>Campaign Execution</t>
        </is>
      </c>
      <c r="E112" s="137" t="inlineStr">
        <is>
          <t>BE</t>
        </is>
      </c>
      <c r="F112" s="122" t="inlineStr">
        <is>
          <t>Code</t>
        </is>
      </c>
      <c r="G112" s="84" t="inlineStr">
        <is>
          <t>Auto-create deliverables from the job/package template</t>
        </is>
      </c>
      <c r="H112" s="116" t="inlineStr">
        <is>
          <t>Accepting a contract automatically creates the list of things the athlete owes, with due dates — in the same transaction, so one can never exist without the other.</t>
        </is>
      </c>
      <c r="I112" s="108" t="inlineStr">
        <is>
          <t>Done</t>
        </is>
      </c>
      <c r="J112" s="108" t="n">
        <v>3</v>
      </c>
      <c r="K112" s="109" t="inlineStr">
        <is>
          <t>2026-09-23</t>
        </is>
      </c>
      <c r="L112" s="109" t="inlineStr">
        <is>
          <t>2026-09-23</t>
        </is>
      </c>
      <c r="M112" s="110" t="inlineStr">
        <is>
          <t>rcfworks</t>
        </is>
      </c>
      <c r="N112" s="85" t="n">
        <v>2</v>
      </c>
      <c r="O112" s="84" t="inlineStr">
        <is>
          <t>P5-BE-01</t>
        </is>
      </c>
      <c r="P112" s="84" t="inlineStr">
        <is>
          <t>Accepting an order creates the deliverable set with due dates derived from the SX job — inside the same transaction as acceptance</t>
        </is>
      </c>
      <c r="Q112" s="86" t="inlineStr">
        <is>
          <t>§13 step 7, §30</t>
        </is>
      </c>
      <c r="R112" s="111" t="n"/>
    </row>
    <row r="113" ht="23.85" customHeight="1" s="75">
      <c r="A113" s="104" t="n">
        <v>104</v>
      </c>
      <c r="B113" s="105" t="inlineStr">
        <is>
          <t>P5-BE-05</t>
        </is>
      </c>
      <c r="C113" s="81" t="n">
        <v>5</v>
      </c>
      <c r="D113" s="82" t="inlineStr">
        <is>
          <t>Campaign Execution</t>
        </is>
      </c>
      <c r="E113" s="139" t="inlineStr">
        <is>
          <t>BE</t>
        </is>
      </c>
      <c r="F113" s="120" t="inlineStr">
        <is>
          <t>Code</t>
        </is>
      </c>
      <c r="G113" s="80" t="inlineStr">
        <is>
          <t>Deliverable state machine</t>
        </is>
      </c>
      <c r="H113" s="107" t="inlineStr">
        <is>
          <t>The deliverable lifecycle: not started, draft submitted, BTG review, sponsor review, approved, published, verified — with revisions sending it back.</t>
        </is>
      </c>
      <c r="I113" s="108" t="inlineStr">
        <is>
          <t>Done</t>
        </is>
      </c>
      <c r="J113" s="108" t="n">
        <v>3</v>
      </c>
      <c r="K113" s="109" t="inlineStr">
        <is>
          <t>2026-09-23</t>
        </is>
      </c>
      <c r="L113" s="109" t="inlineStr">
        <is>
          <t>2026-09-23</t>
        </is>
      </c>
      <c r="M113" s="110" t="inlineStr">
        <is>
          <t>rcfworks</t>
        </is>
      </c>
      <c r="N113" s="81" t="n">
        <v>6</v>
      </c>
      <c r="O113" s="80" t="inlineStr">
        <is>
          <t>P5-BE-03</t>
        </is>
      </c>
      <c r="P113" s="80" t="inlineStr">
        <is>
          <t>NOT_STARTED→DRAFT_SUBMITTED→BTG_REVIEW→SPONSOR_REVIEW→APPROVED→PUBLISHED→VERIFIED enforced; revision requests return to DRAFT_SUBMITTED</t>
        </is>
      </c>
      <c r="Q113" s="82" t="inlineStr">
        <is>
          <t>§21</t>
        </is>
      </c>
      <c r="R113" s="111" t="n"/>
    </row>
    <row r="114" ht="23.85" customHeight="1" s="75">
      <c r="A114" s="112" t="n">
        <v>105</v>
      </c>
      <c r="B114" s="113" t="inlineStr">
        <is>
          <t>P5-BE-06</t>
        </is>
      </c>
      <c r="C114" s="85" t="n">
        <v>5</v>
      </c>
      <c r="D114" s="86" t="inlineStr">
        <is>
          <t>Campaign Execution</t>
        </is>
      </c>
      <c r="E114" s="137" t="inlineStr">
        <is>
          <t>BE</t>
        </is>
      </c>
      <c r="F114" s="122" t="inlineStr">
        <is>
          <t>Code</t>
        </is>
      </c>
      <c r="G114" s="84" t="inlineStr">
        <is>
          <t>Creative asset model + direct R2 upload</t>
        </is>
      </c>
      <c r="H114" s="116" t="inlineStr">
        <is>
          <t>Athletes upload creative straight to Cloudflare from their phone, never through your server.</t>
        </is>
      </c>
      <c r="I114" s="108" t="inlineStr">
        <is>
          <t>Done</t>
        </is>
      </c>
      <c r="J114" s="108" t="n">
        <v>3</v>
      </c>
      <c r="K114" s="109" t="inlineStr">
        <is>
          <t>2026-09-23</t>
        </is>
      </c>
      <c r="L114" s="109" t="inlineStr">
        <is>
          <t>2026-09-23</t>
        </is>
      </c>
      <c r="M114" s="110" t="inlineStr">
        <is>
          <t>rcfworks</t>
        </is>
      </c>
      <c r="N114" s="85" t="n">
        <v>3</v>
      </c>
      <c r="O114" s="84" t="inlineStr">
        <is>
          <t>P2-BE-08, P5-BE-05</t>
        </is>
      </c>
      <c r="P114" s="84" t="inlineStr">
        <is>
          <t>The browser PUTs straight to R2 with a presigned URL; athlete video never passes through the app server</t>
        </is>
      </c>
      <c r="Q114" s="86" t="inlineStr">
        <is>
          <t>Addendum A8, Guide §11</t>
        </is>
      </c>
      <c r="R114" s="111" t="n"/>
    </row>
    <row r="115" ht="23.85" customHeight="1" s="75">
      <c r="A115" s="104" t="n">
        <v>106</v>
      </c>
      <c r="B115" s="105" t="inlineStr">
        <is>
          <t>P5-BE-08</t>
        </is>
      </c>
      <c r="C115" s="81" t="n">
        <v>5</v>
      </c>
      <c r="D115" s="82" t="inlineStr">
        <is>
          <t>Campaign Execution</t>
        </is>
      </c>
      <c r="E115" s="139" t="inlineStr">
        <is>
          <t>BE</t>
        </is>
      </c>
      <c r="F115" s="120" t="inlineStr">
        <is>
          <t>Code</t>
        </is>
      </c>
      <c r="G115" s="80" t="inlineStr">
        <is>
          <t>Approval chain domain functions</t>
        </is>
      </c>
      <c r="H115" s="107" t="inlineStr">
        <is>
          <t>The review actions: BTG reviews, sponsor optionally reviews, request revision, approve, mark published.</t>
        </is>
      </c>
      <c r="I115" s="108" t="inlineStr">
        <is>
          <t>Done</t>
        </is>
      </c>
      <c r="J115" s="108" t="n">
        <v>3</v>
      </c>
      <c r="K115" s="109" t="inlineStr">
        <is>
          <t>2026-09-23</t>
        </is>
      </c>
      <c r="L115" s="109" t="inlineStr">
        <is>
          <t>2026-09-23</t>
        </is>
      </c>
      <c r="M115" s="110" t="inlineStr">
        <is>
          <t>rcfworks</t>
        </is>
      </c>
      <c r="N115" s="81" t="n">
        <v>2</v>
      </c>
      <c r="O115" s="80" t="inlineStr">
        <is>
          <t>P5-BE-05</t>
        </is>
      </c>
      <c r="P115" s="80" t="inlineStr">
        <is>
          <t>BTG review, optional sponsor review, revision request, approve and mark-published all work and are audited</t>
        </is>
      </c>
      <c r="Q115" s="82" t="inlineStr">
        <is>
          <t>§13 steps 8–9</t>
        </is>
      </c>
      <c r="R115" s="111" t="n"/>
    </row>
    <row r="116" ht="46.25" customHeight="1" s="75">
      <c r="A116" s="112" t="n">
        <v>107</v>
      </c>
      <c r="B116" s="113" t="inlineStr">
        <is>
          <t>P5-BE-02</t>
        </is>
      </c>
      <c r="C116" s="85" t="n">
        <v>5</v>
      </c>
      <c r="D116" s="86" t="inlineStr">
        <is>
          <t>Campaign Execution</t>
        </is>
      </c>
      <c r="E116" s="137" t="inlineStr">
        <is>
          <t>BE</t>
        </is>
      </c>
      <c r="F116" s="122" t="inlineStr">
        <is>
          <t>Code</t>
        </is>
      </c>
      <c r="G116" s="84" t="inlineStr">
        <is>
          <t>Campaign Order model and state machine</t>
        </is>
      </c>
      <c r="H116" s="116" t="inlineStr">
        <is>
          <t>The campaign contract record, with commercial terms frozen at the moment it was sent rather than read live.</t>
        </is>
      </c>
      <c r="I116" s="108" t="inlineStr">
        <is>
          <t>Done</t>
        </is>
      </c>
      <c r="J116" s="108" t="n">
        <v>3</v>
      </c>
      <c r="K116" s="109" t="inlineStr">
        <is>
          <t>2026-09-22</t>
        </is>
      </c>
      <c r="L116" s="109" t="inlineStr">
        <is>
          <t>2026-09-22</t>
        </is>
      </c>
      <c r="M116" s="110" t="inlineStr">
        <is>
          <t>rcfworks</t>
        </is>
      </c>
      <c r="N116" s="85" t="n">
        <v>1</v>
      </c>
      <c r="O116" s="84" t="inlineStr">
        <is>
          <t>P4-BE-06</t>
        </is>
      </c>
      <c r="P116" s="84" t="inlineStr">
        <is>
          <t>DRAFT→SENT→ACCEPTED/REJECTED→ACTIVE→COMPLETED/CANCELLED enforced; commercial terms snapshotted at send time, not read live</t>
        </is>
      </c>
      <c r="Q116" s="86" t="inlineStr">
        <is>
          <t>§21</t>
        </is>
      </c>
      <c r="R116" s="111" t="inlineStr">
        <is>
          <t>Terms frozen at send, never read live — an order reading the rate card live would pay an athlete who accepted $150 in March whatever the card says in September. REJECTED is terminal: the answer to a refusal is a new order with new terms, not an edit of the declined one. Terms are frozen by enforcement, not by absence. updateOrderTerms exists and refuses past DRAFT — before, nothing read terms live and nothing froze them either, so the first person to add an edit path could have changed an order under an athlete who had been sent it.</t>
        </is>
      </c>
    </row>
    <row r="117" ht="35.05" customHeight="1" s="75">
      <c r="A117" s="104" t="n">
        <v>108</v>
      </c>
      <c r="B117" s="105" t="inlineStr">
        <is>
          <t>P5-FE-04</t>
        </is>
      </c>
      <c r="C117" s="81" t="n">
        <v>5</v>
      </c>
      <c r="D117" s="82" t="inlineStr">
        <is>
          <t>Campaign Execution</t>
        </is>
      </c>
      <c r="E117" s="119" t="inlineStr">
        <is>
          <t>FE</t>
        </is>
      </c>
      <c r="F117" s="120" t="inlineStr">
        <is>
          <t>Code</t>
        </is>
      </c>
      <c r="G117" s="80" t="inlineStr">
        <is>
          <t>Wire the content approval workspace</t>
        </is>
      </c>
      <c r="H117" s="107" t="inlineStr">
        <is>
          <t>The content approval board where BTG staff work: review drafts, request changes, route to sponsor, approve, record proof of publication.</t>
        </is>
      </c>
      <c r="I117" s="108" t="inlineStr">
        <is>
          <t>Done</t>
        </is>
      </c>
      <c r="J117" s="108" t="n">
        <v>5</v>
      </c>
      <c r="K117" s="109" t="inlineStr">
        <is>
          <t>2026-09-28</t>
        </is>
      </c>
      <c r="L117" s="109" t="inlineStr">
        <is>
          <t>2026-09-28</t>
        </is>
      </c>
      <c r="M117" s="110" t="inlineStr">
        <is>
          <t>HeckerCreatives</t>
        </is>
      </c>
      <c r="N117" s="81" t="n">
        <v>1</v>
      </c>
      <c r="O117" s="80" t="inlineStr">
        <is>
          <t>P5-BE-08</t>
        </is>
      </c>
      <c r="P117" s="80" t="inlineStr">
        <is>
          <t>The full review board works — draft review, revision request, sponsor routing, approval, publication proof</t>
        </is>
      </c>
      <c r="Q117" s="82" t="inlineStr">
        <is>
          <t>§10, §23</t>
        </is>
      </c>
      <c r="R117" s="111" t="inlineStr">
        <is>
          <t>2026-09-28: no sponsor-side content approval screen exists; BTG approves SPONSOR_REVIEW items on the sponsor's behalf (policy allows). A sponsor approvals surface may be a missing task.</t>
        </is>
      </c>
    </row>
    <row r="118" ht="46.25" customHeight="1" s="75">
      <c r="A118" s="112" t="n">
        <v>109</v>
      </c>
      <c r="B118" s="113" t="inlineStr">
        <is>
          <t>P5-ART-01</t>
        </is>
      </c>
      <c r="C118" s="85" t="n">
        <v>5</v>
      </c>
      <c r="D118" s="86" t="inlineStr">
        <is>
          <t>Campaign Execution</t>
        </is>
      </c>
      <c r="E118" s="114" t="inlineStr">
        <is>
          <t>ART</t>
        </is>
      </c>
      <c r="F118" s="115" t="inlineStr">
        <is>
          <t>Design tool</t>
        </is>
      </c>
      <c r="G118" s="84" t="inlineStr">
        <is>
          <t>Design the deliverable and approval states</t>
        </is>
      </c>
      <c r="H118" s="116" t="inlineStr">
        <is>
          <t>Design how each deliverable state looks to the athlete, to BTG and to the sponsor — three different audiences, same record.</t>
        </is>
      </c>
      <c r="I118" s="108" t="inlineStr">
        <is>
          <t>Done</t>
        </is>
      </c>
      <c r="J118" s="108" t="n">
        <v>3</v>
      </c>
      <c r="K118" s="109" t="inlineStr">
        <is>
          <t>2026-09-17</t>
        </is>
      </c>
      <c r="L118" s="109" t="inlineStr">
        <is>
          <t>2026-09-18</t>
        </is>
      </c>
      <c r="M118" s="110" t="inlineStr">
        <is>
          <t>rcfworks</t>
        </is>
      </c>
      <c r="N118" s="85" t="n"/>
      <c r="O118" s="84" t="n"/>
      <c r="P118" s="84" t="inlineStr">
        <is>
          <t>Every deliverable state has a designed presentation for athlete, BTG and sponsor views</t>
        </is>
      </c>
      <c r="Q118" s="86" t="inlineStr">
        <is>
          <t>§21</t>
        </is>
      </c>
      <c r="R118" s="111" t="inlineStr">
        <is>
          <t>Designed in Claude Design from documentation/Design/deliverable-states/BRIEF.md. 9 screens: state map, athlete (phone) x3, BTG x2, sponsor x2, and all three side by side. Both Sec.21 return paths designed. Screen 09 doubles as a field-level visibility matrix - input to P4-SEC-02. PNG export only; title bands render near-white on white. Closed Code review -&gt; Done 2026-09-18 at the user's instruction.</t>
        </is>
      </c>
    </row>
    <row r="119" ht="23.85" customHeight="1" s="75">
      <c r="A119" s="104" t="n">
        <v>110</v>
      </c>
      <c r="B119" s="105" t="inlineStr">
        <is>
          <t>P5-BE-04</t>
        </is>
      </c>
      <c r="C119" s="81" t="n">
        <v>5</v>
      </c>
      <c r="D119" s="82" t="inlineStr">
        <is>
          <t>Campaign Execution</t>
        </is>
      </c>
      <c r="E119" s="139" t="inlineStr">
        <is>
          <t>BE</t>
        </is>
      </c>
      <c r="F119" s="120" t="inlineStr">
        <is>
          <t>Code</t>
        </is>
      </c>
      <c r="G119" s="80" t="inlineStr">
        <is>
          <t>launchCampaign transactional domain function</t>
        </is>
      </c>
      <c r="H119" s="107" t="inlineStr">
        <is>
          <t>Going live: campaign and contracts flip to active, Zoho sync and notifications queue, audit written — all or nothing in one transaction.</t>
        </is>
      </c>
      <c r="I119" s="108" t="inlineStr">
        <is>
          <t>Done</t>
        </is>
      </c>
      <c r="J119" s="108" t="n">
        <v>3</v>
      </c>
      <c r="K119" s="109" t="inlineStr">
        <is>
          <t>2026-09-23</t>
        </is>
      </c>
      <c r="L119" s="109" t="inlineStr">
        <is>
          <t>2026-09-23</t>
        </is>
      </c>
      <c r="M119" s="110" t="inlineStr">
        <is>
          <t>rcfworks</t>
        </is>
      </c>
      <c r="N119" s="81" t="n"/>
      <c r="O119" s="80" t="inlineStr">
        <is>
          <t>P5-BE-02, P2-BE-05</t>
        </is>
      </c>
      <c r="P119" s="80" t="inlineStr">
        <is>
          <t>Campaign → ACTIVE, accepted orders → ACTIVE, zoho.pushCampaign and notify.campaignLive enqueued, audit written — all in one transaction</t>
        </is>
      </c>
      <c r="Q119" s="82" t="inlineStr">
        <is>
          <t>Guide §05</t>
        </is>
      </c>
      <c r="R119" s="111" t="n"/>
    </row>
    <row r="120" ht="23.85" customHeight="1" s="75">
      <c r="A120" s="112" t="n">
        <v>111</v>
      </c>
      <c r="B120" s="113" t="inlineStr">
        <is>
          <t>P5-BE-07</t>
        </is>
      </c>
      <c r="C120" s="85" t="n">
        <v>5</v>
      </c>
      <c r="D120" s="86" t="inlineStr">
        <is>
          <t>Campaign Execution</t>
        </is>
      </c>
      <c r="E120" s="137" t="inlineStr">
        <is>
          <t>BE</t>
        </is>
      </c>
      <c r="F120" s="122" t="inlineStr">
        <is>
          <t>Code</t>
        </is>
      </c>
      <c r="G120" s="84" t="inlineStr">
        <is>
          <t>Image derivative worker job</t>
        </is>
      </c>
      <c r="H120" s="116" t="inlineStr">
        <is>
          <t>Resize uploaded images into three sizes in the background, so pages stay fast without locking you into one host's image service.</t>
        </is>
      </c>
      <c r="I120" s="108" t="inlineStr">
        <is>
          <t>Done</t>
        </is>
      </c>
      <c r="J120" s="108" t="n">
        <v>3</v>
      </c>
      <c r="K120" s="109" t="inlineStr">
        <is>
          <t>2026-09-23</t>
        </is>
      </c>
      <c r="L120" s="109" t="inlineStr">
        <is>
          <t>2026-09-23</t>
        </is>
      </c>
      <c r="M120" s="110" t="inlineStr">
        <is>
          <t>rcfworks</t>
        </is>
      </c>
      <c r="N120" s="85" t="n"/>
      <c r="O120" s="84" t="inlineStr">
        <is>
          <t>P5-BE-06</t>
        </is>
      </c>
      <c r="P120" s="84" t="inlineStr">
        <is>
          <t>derive-image.ts produces 320/640/1280 webp derivatives via sharp; the UI renders a plain &lt;img&gt; with srcSet — no next/image optimisation</t>
        </is>
      </c>
      <c r="Q120" s="86" t="inlineStr">
        <is>
          <t>Guide §11</t>
        </is>
      </c>
      <c r="R120" s="111" t="n"/>
    </row>
    <row r="121" ht="46.25" customHeight="1" s="75">
      <c r="A121" s="104" t="n">
        <v>112</v>
      </c>
      <c r="B121" s="105" t="inlineStr">
        <is>
          <t>P5-FE-01</t>
        </is>
      </c>
      <c r="C121" s="81" t="n">
        <v>5</v>
      </c>
      <c r="D121" s="82" t="inlineStr">
        <is>
          <t>Campaign Execution</t>
        </is>
      </c>
      <c r="E121" s="119" t="inlineStr">
        <is>
          <t>FE</t>
        </is>
      </c>
      <c r="F121" s="120" t="inlineStr">
        <is>
          <t>Code</t>
        </is>
      </c>
      <c r="G121" s="80" t="inlineStr">
        <is>
          <t>Wire the Campaign Order view and acceptance</t>
        </is>
      </c>
      <c r="H121" s="107" t="inlineStr">
        <is>
          <t>The athlete reads the real contract and accepts. The exact text on screen is what gets fingerprinted.</t>
        </is>
      </c>
      <c r="I121" s="108" t="inlineStr">
        <is>
          <t>Done</t>
        </is>
      </c>
      <c r="J121" s="108" t="n">
        <v>3</v>
      </c>
      <c r="K121" s="109" t="inlineStr">
        <is>
          <t>2026-09-28</t>
        </is>
      </c>
      <c r="L121" s="109" t="inlineStr">
        <is>
          <t>2026-09-28</t>
        </is>
      </c>
      <c r="M121" s="110" t="inlineStr">
        <is>
          <t>HeckerCreatives</t>
        </is>
      </c>
      <c r="N121" s="81" t="n"/>
      <c r="O121" s="80" t="inlineStr">
        <is>
          <t>P5-BE-01</t>
        </is>
      </c>
      <c r="P121" s="80" t="inlineStr">
        <is>
          <t>An athlete reads the real order terms and accepts; the guardian branch renders for minors; the exact text shown is what gets hashed</t>
        </is>
      </c>
      <c r="Q121" s="82" t="inlineStr">
        <is>
          <t>§24</t>
        </is>
      </c>
      <c r="R121" s="111" t="inlineStr">
        <is>
          <t>2026-09-28: also fixed P5-BE-01 defect — acceptAgreementIn was once-per-signer, so an athlete's 2nd Campaign Order under the same version was unacceptable forever; acceptOrder now asks per-order. Acceptance evidence now records the signer's IP/UA via the edge-keyed forward (SPONSORX_EDGE_KEY must be set in each env).</t>
        </is>
      </c>
    </row>
    <row r="122" ht="23.85" customHeight="1" s="75">
      <c r="A122" s="112" t="n">
        <v>113</v>
      </c>
      <c r="B122" s="113" t="inlineStr">
        <is>
          <t>P5-FE-02</t>
        </is>
      </c>
      <c r="C122" s="85" t="n">
        <v>5</v>
      </c>
      <c r="D122" s="86" t="inlineStr">
        <is>
          <t>Campaign Execution</t>
        </is>
      </c>
      <c r="E122" s="121" t="inlineStr">
        <is>
          <t>FE</t>
        </is>
      </c>
      <c r="F122" s="122" t="inlineStr">
        <is>
          <t>Code</t>
        </is>
      </c>
      <c r="G122" s="84" t="inlineStr">
        <is>
          <t>Wire the deliverable calendar</t>
        </is>
      </c>
      <c r="H122" s="116" t="inlineStr">
        <is>
          <t>The athlete's calendar of what is due when.</t>
        </is>
      </c>
      <c r="I122" s="108" t="inlineStr">
        <is>
          <t>Done</t>
        </is>
      </c>
      <c r="J122" s="108" t="n">
        <v>3</v>
      </c>
      <c r="K122" s="109" t="inlineStr">
        <is>
          <t>2026-09-28</t>
        </is>
      </c>
      <c r="L122" s="109" t="inlineStr">
        <is>
          <t>2026-09-28</t>
        </is>
      </c>
      <c r="M122" s="110" t="inlineStr">
        <is>
          <t>HeckerCreatives</t>
        </is>
      </c>
      <c r="N122" s="85" t="n"/>
      <c r="O122" s="84" t="inlineStr">
        <is>
          <t>P5-BE-03</t>
        </is>
      </c>
      <c r="P122" s="84" t="inlineStr">
        <is>
          <t>Real due dates and appearances render for the athlete</t>
        </is>
      </c>
      <c r="Q122" s="86" t="inlineStr">
        <is>
          <t>§24</t>
        </is>
      </c>
      <c r="R122" s="111" t="n"/>
    </row>
    <row r="123" ht="23.85" customHeight="1" s="75">
      <c r="A123" s="104" t="n">
        <v>114</v>
      </c>
      <c r="B123" s="105" t="inlineStr">
        <is>
          <t>P5-FE-03</t>
        </is>
      </c>
      <c r="C123" s="81" t="n">
        <v>5</v>
      </c>
      <c r="D123" s="82" t="inlineStr">
        <is>
          <t>Campaign Execution</t>
        </is>
      </c>
      <c r="E123" s="119" t="inlineStr">
        <is>
          <t>FE</t>
        </is>
      </c>
      <c r="F123" s="120" t="inlineStr">
        <is>
          <t>Code</t>
        </is>
      </c>
      <c r="G123" s="80" t="inlineStr">
        <is>
          <t>Build the upload and proof submission UI</t>
        </is>
      </c>
      <c r="H123" s="107" t="inlineStr">
        <is>
          <t>Upload screen with progress, that recovers gracefully when a phone loses signal mid-upload.</t>
        </is>
      </c>
      <c r="I123" s="108" t="inlineStr">
        <is>
          <t>Done</t>
        </is>
      </c>
      <c r="J123" s="108" t="n">
        <v>3</v>
      </c>
      <c r="K123" s="109" t="inlineStr">
        <is>
          <t>2026-09-28</t>
        </is>
      </c>
      <c r="L123" s="109" t="inlineStr">
        <is>
          <t>2026-09-28</t>
        </is>
      </c>
      <c r="M123" s="110" t="inlineStr">
        <is>
          <t>HeckerCreatives</t>
        </is>
      </c>
      <c r="N123" s="81" t="n"/>
      <c r="O123" s="80" t="inlineStr">
        <is>
          <t>P5-BE-06</t>
        </is>
      </c>
      <c r="P123" s="80" t="inlineStr">
        <is>
          <t>Direct-to-R2 upload with progress; draft submission transitions state; failures are recoverable</t>
        </is>
      </c>
      <c r="Q123" s="82" t="inlineStr">
        <is>
          <t>§24</t>
        </is>
      </c>
      <c r="R123" s="111" t="n"/>
    </row>
    <row r="124" ht="35.05" customHeight="1" s="75">
      <c r="A124" s="112" t="n">
        <v>115</v>
      </c>
      <c r="B124" s="113" t="inlineStr">
        <is>
          <t>P5-FE-05</t>
        </is>
      </c>
      <c r="C124" s="85" t="n">
        <v>5</v>
      </c>
      <c r="D124" s="86" t="inlineStr">
        <is>
          <t>Campaign Execution</t>
        </is>
      </c>
      <c r="E124" s="121" t="inlineStr">
        <is>
          <t>FE</t>
        </is>
      </c>
      <c r="F124" s="122" t="inlineStr">
        <is>
          <t>Code</t>
        </is>
      </c>
      <c r="G124" s="84" t="inlineStr">
        <is>
          <t>Wire the campaign operations dashboard</t>
        </is>
      </c>
      <c r="H124" s="116" t="inlineStr">
        <is>
          <t>The campaign operations board: who accepted, what is due, what is late, what is under-delivering.</t>
        </is>
      </c>
      <c r="I124" s="108" t="inlineStr">
        <is>
          <t>Done</t>
        </is>
      </c>
      <c r="J124" s="108" t="n">
        <v>5</v>
      </c>
      <c r="K124" s="109" t="inlineStr">
        <is>
          <t>2026-09-28</t>
        </is>
      </c>
      <c r="L124" s="109" t="inlineStr">
        <is>
          <t>2026-09-28</t>
        </is>
      </c>
      <c r="M124" s="110" t="inlineStr">
        <is>
          <t>HeckerCreatives</t>
        </is>
      </c>
      <c r="N124" s="85" t="n"/>
      <c r="O124" s="84" t="inlineStr">
        <is>
          <t>P5-BE-05</t>
        </is>
      </c>
      <c r="P124" s="84" t="inlineStr">
        <is>
          <t>Per-athlete acceptance, due dates, approval state, under-delivery and issue flags all render from real data</t>
        </is>
      </c>
      <c r="Q124" s="86" t="inlineStr">
        <is>
          <t>§9 screen 9</t>
        </is>
      </c>
      <c r="R124" s="111" t="inlineStr">
        <is>
          <t>2026-09-28: also built the missing BTG step 'draft &amp; send Campaign Order' (after an accepted invite) in the ops drawer — POST /campaigns/:id/orders had no screen, which broke the §39 loop between invitation and signature.</t>
        </is>
      </c>
    </row>
    <row r="125" ht="35.05" customHeight="1" s="75">
      <c r="A125" s="104" t="n">
        <v>116</v>
      </c>
      <c r="B125" s="105" t="inlineStr">
        <is>
          <t>P5-INT-01</t>
        </is>
      </c>
      <c r="C125" s="81" t="n">
        <v>5</v>
      </c>
      <c r="D125" s="82" t="inlineStr">
        <is>
          <t>Campaign Execution</t>
        </is>
      </c>
      <c r="E125" s="138" t="inlineStr">
        <is>
          <t>INT</t>
        </is>
      </c>
      <c r="F125" s="120" t="inlineStr">
        <is>
          <t>Code</t>
        </is>
      </c>
      <c r="G125" s="80" t="inlineStr">
        <is>
          <t>Deliverable notification jobs</t>
        </is>
      </c>
      <c r="H125" s="107" t="inlineStr">
        <is>
          <t>Deadline reminders, revision requests and approval emails.</t>
        </is>
      </c>
      <c r="I125" s="108" t="inlineStr">
        <is>
          <t>Done</t>
        </is>
      </c>
      <c r="J125" s="108" t="n">
        <v>1</v>
      </c>
      <c r="K125" s="109" t="inlineStr">
        <is>
          <t>2026-09-23</t>
        </is>
      </c>
      <c r="L125" s="109" t="inlineStr">
        <is>
          <t>2026-09-23</t>
        </is>
      </c>
      <c r="M125" s="110" t="inlineStr">
        <is>
          <t>rcfworks</t>
        </is>
      </c>
      <c r="N125" s="81" t="n"/>
      <c r="O125" s="80" t="inlineStr">
        <is>
          <t>P3-INT-01, P5-BE-05</t>
        </is>
      </c>
      <c r="P125" s="80" t="inlineStr">
        <is>
          <t>Deadline reminders, revision requests and approval notifications all send as queued jobs</t>
        </is>
      </c>
      <c r="Q125" s="82" t="inlineStr">
        <is>
          <t>§39</t>
        </is>
      </c>
      <c r="R125" s="111" t="n"/>
    </row>
    <row r="126" ht="35.05" customHeight="1" s="75">
      <c r="A126" s="112" t="n">
        <v>117</v>
      </c>
      <c r="B126" s="113" t="inlineStr">
        <is>
          <t>P5-QA-01</t>
        </is>
      </c>
      <c r="C126" s="85" t="n">
        <v>5</v>
      </c>
      <c r="D126" s="86" t="inlineStr">
        <is>
          <t>Campaign Execution</t>
        </is>
      </c>
      <c r="E126" s="134" t="inlineStr">
        <is>
          <t>QA</t>
        </is>
      </c>
      <c r="F126" s="122" t="inlineStr">
        <is>
          <t>Code</t>
        </is>
      </c>
      <c r="G126" s="84" t="inlineStr">
        <is>
          <t>E2E: acceptance → deliverable → approval → published</t>
        </is>
      </c>
      <c r="H126" s="116" t="inlineStr">
        <is>
          <t>Automated test from contract acceptance through to published content, including the revision loop.</t>
        </is>
      </c>
      <c r="I126" s="108" t="inlineStr">
        <is>
          <t>Done</t>
        </is>
      </c>
      <c r="J126" s="108" t="n">
        <v>3</v>
      </c>
      <c r="K126" s="109" t="inlineStr">
        <is>
          <t>2026-09-28</t>
        </is>
      </c>
      <c r="L126" s="109" t="inlineStr">
        <is>
          <t>2026-09-28</t>
        </is>
      </c>
      <c r="M126" s="110" t="inlineStr">
        <is>
          <t>HeckerCreatives</t>
        </is>
      </c>
      <c r="N126" s="85" t="n"/>
      <c r="O126" s="84" t="inlineStr">
        <is>
          <t>P5-FE-04</t>
        </is>
      </c>
      <c r="P126" s="84" t="inlineStr">
        <is>
          <t>The full segment runs green, including the revision loop</t>
        </is>
      </c>
      <c r="Q126" s="86" t="inlineStr">
        <is>
          <t>§30</t>
        </is>
      </c>
      <c r="R126" s="111" t="n"/>
    </row>
    <row r="127" ht="15" customHeight="1" s="75">
      <c r="A127" s="104" t="n">
        <v>118</v>
      </c>
      <c r="B127" s="105" t="inlineStr">
        <is>
          <t>P5-SEC-01</t>
        </is>
      </c>
      <c r="C127" s="81" t="n">
        <v>5</v>
      </c>
      <c r="D127" s="82" t="inlineStr">
        <is>
          <t>Campaign Execution</t>
        </is>
      </c>
      <c r="E127" s="140" t="inlineStr">
        <is>
          <t>SEC</t>
        </is>
      </c>
      <c r="F127" s="120" t="inlineStr">
        <is>
          <t>Code</t>
        </is>
      </c>
      <c r="G127" s="80" t="inlineStr">
        <is>
          <t>Private-bucket access audit</t>
        </is>
      </c>
      <c r="H127" s="107" t="inlineStr">
        <is>
          <t>Confirm every temporary link to a private file is logged, short-lived, and that no contract or draft is publicly reachable.</t>
        </is>
      </c>
      <c r="I127" s="108" t="inlineStr">
        <is>
          <t>Done</t>
        </is>
      </c>
      <c r="J127" s="108" t="n">
        <v>1</v>
      </c>
      <c r="K127" s="109" t="inlineStr">
        <is>
          <t>2026-09-23</t>
        </is>
      </c>
      <c r="L127" s="109" t="inlineStr">
        <is>
          <t>2026-09-23</t>
        </is>
      </c>
      <c r="M127" s="110" t="inlineStr">
        <is>
          <t>rcfworks</t>
        </is>
      </c>
      <c r="N127" s="81" t="n"/>
      <c r="O127" s="80" t="inlineStr">
        <is>
          <t>P5-BE-06</t>
        </is>
      </c>
      <c r="P127" s="80" t="inlineStr">
        <is>
          <t>Every signed URL grant against the private bucket is audited; TTLs are short; no agreement or creative asset is publicly reachable</t>
        </is>
      </c>
      <c r="Q127" s="82" t="inlineStr">
        <is>
          <t>§26</t>
        </is>
      </c>
      <c r="R127" s="111" t="n"/>
    </row>
    <row r="128" ht="23.85" customHeight="1" s="75">
      <c r="A128" s="112" t="n">
        <v>119</v>
      </c>
      <c r="B128" s="113" t="inlineStr">
        <is>
          <t>P6-BE-02</t>
        </is>
      </c>
      <c r="C128" s="85" t="n">
        <v>6</v>
      </c>
      <c r="D128" s="86" t="inlineStr">
        <is>
          <t>Measurement &amp; Reward</t>
        </is>
      </c>
      <c r="E128" s="137" t="inlineStr">
        <is>
          <t>BE</t>
        </is>
      </c>
      <c r="F128" s="122" t="inlineStr">
        <is>
          <t>Code</t>
        </is>
      </c>
      <c r="G128" s="84" t="inlineStr">
        <is>
          <t>Reward, reward token and reward event models</t>
        </is>
      </c>
      <c r="H128" s="116" t="inlineStr">
        <is>
          <t>The reward, the individual QR tokens, and the events they generate.</t>
        </is>
      </c>
      <c r="I128" s="108" t="inlineStr">
        <is>
          <t>Done</t>
        </is>
      </c>
      <c r="J128" s="108" t="n">
        <v>3</v>
      </c>
      <c r="K128" s="109" t="inlineStr">
        <is>
          <t>2026-09-23</t>
        </is>
      </c>
      <c r="L128" s="109" t="inlineStr">
        <is>
          <t>2026-09-23</t>
        </is>
      </c>
      <c r="M128" s="110" t="inlineStr">
        <is>
          <t>rcfworks</t>
        </is>
      </c>
      <c r="N128" s="85" t="n">
        <v>3</v>
      </c>
      <c r="O128" s="84" t="inlineStr">
        <is>
          <t>P2-BE-02</t>
        </is>
      </c>
      <c r="P128" s="84" t="inlineStr">
        <is>
          <t>Reward state DRAFT→ACTIVE→PAUSED→EXPIRED/ARCHIVED; four distinct RewardEventType values</t>
        </is>
      </c>
      <c r="Q128" s="86" t="inlineStr">
        <is>
          <t>§16, §21</t>
        </is>
      </c>
      <c r="R128" s="111" t="n"/>
    </row>
    <row r="129" ht="23.85" customHeight="1" s="75">
      <c r="A129" s="104" t="n">
        <v>120</v>
      </c>
      <c r="B129" s="105" t="inlineStr">
        <is>
          <t>P6-BE-03</t>
        </is>
      </c>
      <c r="C129" s="81" t="n">
        <v>6</v>
      </c>
      <c r="D129" s="82" t="inlineStr">
        <is>
          <t>Measurement &amp; Reward</t>
        </is>
      </c>
      <c r="E129" s="139" t="inlineStr">
        <is>
          <t>BE</t>
        </is>
      </c>
      <c r="F129" s="120" t="inlineStr">
        <is>
          <t>Code</t>
        </is>
      </c>
      <c r="G129" s="80" t="inlineStr">
        <is>
          <t>Four-event separation across the fan journey</t>
        </is>
      </c>
      <c r="H129" s="107" t="inlineStr">
        <is>
          <t>Four separate records for four separate moments: the scan, the page loading, the fan claiming, the merchant redeeming. Collapsing these into one counter destroys the funnel.</t>
        </is>
      </c>
      <c r="I129" s="108" t="inlineStr">
        <is>
          <t>Done</t>
        </is>
      </c>
      <c r="J129" s="108" t="n">
        <v>3</v>
      </c>
      <c r="K129" s="109" t="inlineStr">
        <is>
          <t>2026-09-23</t>
        </is>
      </c>
      <c r="L129" s="109" t="inlineStr">
        <is>
          <t>2026-09-23</t>
        </is>
      </c>
      <c r="M129" s="110" t="inlineStr">
        <is>
          <t>rcfworks</t>
        </is>
      </c>
      <c r="N129" s="81" t="n">
        <v>4</v>
      </c>
      <c r="O129" s="80" t="inlineStr">
        <is>
          <t>P6-BE-02</t>
        </is>
      </c>
      <c r="P129" s="80" t="inlineStr">
        <is>
          <t>SCAN on QR resolution, LANDING on page render, CLAIM on offer acceptance, REDEEM on validation — four rows, never one counter</t>
        </is>
      </c>
      <c r="Q129" s="82" t="inlineStr">
        <is>
          <t>§16</t>
        </is>
      </c>
      <c r="R129" s="111" t="n"/>
    </row>
    <row r="130" ht="23.85" customHeight="1" s="75">
      <c r="A130" s="112" t="n">
        <v>121</v>
      </c>
      <c r="B130" s="113" t="inlineStr">
        <is>
          <t>P6-BE-04</t>
        </is>
      </c>
      <c r="C130" s="85" t="n">
        <v>6</v>
      </c>
      <c r="D130" s="86" t="inlineStr">
        <is>
          <t>Measurement &amp; Reward</t>
        </is>
      </c>
      <c r="E130" s="137" t="inlineStr">
        <is>
          <t>BE</t>
        </is>
      </c>
      <c r="F130" s="122" t="inlineStr">
        <is>
          <t>Code</t>
        </is>
      </c>
      <c r="G130" s="84" t="inlineStr">
        <is>
          <t>Race-safe single-use redemption</t>
        </is>
      </c>
      <c r="H130" s="116" t="inlineStr">
        <is>
          <t>Make double-redemption impossible at the database level, not in application code. Two people scanning the same code at once must produce exactly one redemption.</t>
        </is>
      </c>
      <c r="I130" s="108" t="inlineStr">
        <is>
          <t>Done</t>
        </is>
      </c>
      <c r="J130" s="108" t="n">
        <v>3</v>
      </c>
      <c r="K130" s="109" t="inlineStr">
        <is>
          <t>2026-09-23</t>
        </is>
      </c>
      <c r="L130" s="109" t="inlineStr">
        <is>
          <t>2026-09-23</t>
        </is>
      </c>
      <c r="M130" s="110" t="inlineStr">
        <is>
          <t>rcfworks</t>
        </is>
      </c>
      <c r="N130" s="85" t="n">
        <v>1</v>
      </c>
      <c r="O130" s="84" t="inlineStr">
        <is>
          <t>P6-BE-03, P2-BE-03</t>
        </is>
      </c>
      <c r="P130" s="84" t="inlineStr">
        <is>
          <t>Concurrent redemption attempts on one token produce exactly one REDEEM — enforced by the partial unique index, caught as a unique violation</t>
        </is>
      </c>
      <c r="Q130" s="86" t="inlineStr">
        <is>
          <t>Guide §06</t>
        </is>
      </c>
      <c r="R130" s="111" t="n"/>
    </row>
    <row r="131" ht="23.85" customHeight="1" s="75">
      <c r="A131" s="104" t="n">
        <v>122</v>
      </c>
      <c r="B131" s="105" t="inlineStr">
        <is>
          <t>P6-FE-02</t>
        </is>
      </c>
      <c r="C131" s="81" t="n">
        <v>6</v>
      </c>
      <c r="D131" s="82" t="inlineStr">
        <is>
          <t>Measurement &amp; Reward</t>
        </is>
      </c>
      <c r="E131" s="119" t="inlineStr">
        <is>
          <t>FE</t>
        </is>
      </c>
      <c r="F131" s="120" t="inlineStr">
        <is>
          <t>Code</t>
        </is>
      </c>
      <c r="G131" s="80" t="inlineStr">
        <is>
          <t>Wire the fan redeem page to real tokens</t>
        </is>
      </c>
      <c r="H131" s="107" t="inlineStr">
        <is>
          <t>The fan-facing redeem page on real data, still working with JavaScript off — it is hit once, on venue wifi, on a phone.</t>
        </is>
      </c>
      <c r="I131" s="108" t="inlineStr">
        <is>
          <t>Done</t>
        </is>
      </c>
      <c r="J131" s="108" t="n">
        <v>3</v>
      </c>
      <c r="K131" s="109" t="inlineStr">
        <is>
          <t>2026-09-24</t>
        </is>
      </c>
      <c r="L131" s="109" t="n">
        <v>46296</v>
      </c>
      <c r="M131" s="110" t="inlineStr">
        <is>
          <t>rcfworks</t>
        </is>
      </c>
      <c r="N131" s="81" t="n">
        <v>4</v>
      </c>
      <c r="O131" s="80" t="inlineStr">
        <is>
          <t>P6-BE-04</t>
        </is>
      </c>
      <c r="P131" s="80" t="inlineStr">
        <is>
          <t>Real redemption works; the page still renders without JavaScript; invalid, expired and already-used states all render</t>
        </is>
      </c>
      <c r="Q131" s="82" t="inlineStr">
        <is>
          <t>§16, Guide §06</t>
        </is>
      </c>
      <c r="R131" s="111" t="inlineStr">
        <is>
          <t>2026-09-24: /r/&lt;token&gt; is now a route handler returning plain HTML (no React, no scripts) rendered from the API's new read-only GET /public/rewards/:token: invalid, not active, expired, already used, claimable and claimed all render. Claim and redeem are plain &lt;form method=post&gt; → route handlers → API → 303 back; LANDING is a 1×1 image beacon; SCAN recorded on first visit only. Consent wording comes from the API (CONSENT_TEXT for version 2026-09-01). Proven: frontend tests/redeem-page.test.ts (every state, zero &lt;script&gt;, escaping, real claim/redeem payloads) and a LIVE run — real API + Next dev + local DB, driven by curl (no JS): all states rendered, a real claim stored with consent version, first redeem OK, second tap 'Already used', funnel exactly 1 SCAN/LANDING/CLAIM/REDEEM.</t>
        </is>
      </c>
    </row>
    <row r="132" ht="35.05" customHeight="1" s="75">
      <c r="A132" s="112" t="n">
        <v>123</v>
      </c>
      <c r="B132" s="113" t="inlineStr">
        <is>
          <t>P6-BE-01</t>
        </is>
      </c>
      <c r="C132" s="85" t="n">
        <v>6</v>
      </c>
      <c r="D132" s="86" t="inlineStr">
        <is>
          <t>Measurement &amp; Reward</t>
        </is>
      </c>
      <c r="E132" s="137" t="inlineStr">
        <is>
          <t>BE</t>
        </is>
      </c>
      <c r="F132" s="122" t="inlineStr">
        <is>
          <t>Code</t>
        </is>
      </c>
      <c r="G132" s="84" t="inlineStr">
        <is>
          <t>Tracking link model and t/[code] redirect route</t>
        </is>
      </c>
      <c r="H132" s="116" t="inlineStr">
        <is>
          <t>Short links that redirect instantly and record the click after the visitor has already gone. The fan never waits on your database.</t>
        </is>
      </c>
      <c r="I132" s="108" t="inlineStr">
        <is>
          <t>Done</t>
        </is>
      </c>
      <c r="J132" s="108" t="n">
        <v>3</v>
      </c>
      <c r="K132" s="109" t="inlineStr">
        <is>
          <t>2026-09-23</t>
        </is>
      </c>
      <c r="L132" s="109" t="inlineStr">
        <is>
          <t>2026-09-23</t>
        </is>
      </c>
      <c r="M132" s="110" t="inlineStr">
        <is>
          <t>rcfworks</t>
        </is>
      </c>
      <c r="N132" s="85" t="n">
        <v>2</v>
      </c>
      <c r="O132" s="84" t="inlineStr">
        <is>
          <t>P5-BE-05</t>
        </is>
      </c>
      <c r="P132" s="84" t="inlineStr">
        <is>
          <t>A 302 redirect fires immediately; the LinkEvent write happens after the response — the fan never waits on our write</t>
        </is>
      </c>
      <c r="Q132" s="86" t="inlineStr">
        <is>
          <t>Guide §06</t>
        </is>
      </c>
      <c r="R132" s="111" t="inlineStr">
        <is>
          <t>DEFECT RAISED 2026-09-21, found on the first staging deploy (P2-INT-01). THE SCAFFOLD ROUTE REDIRECTS FANS TO THE CONTAINER'S OWN ADDRESS. On staging, GET /t/ABC123 returns 302 to https://localhost:8080/ instead of to the site. Cause: src/app/t/[code]/route.ts builds its fallback with `new URL(FALLBACK_URL, req.url)`, and inside a Railway container req.url is the internal origin (localhost:8080), not the public host. It cannot be caught locally - on localhost:3000 the internal and public origins are the same string, so the bug is invisible until deployed behind a proxy. THE FIX belongs to this task when it is built: either derive the origin from the x-forwarded-proto and x-forwarded-host headers Railway sets, or return a RELATIVE Location header (a bare path is valid per RFC 7231 and needs no origin at all), which is the simpler and host-portable choice and matches the 'stay host-portable' rule in CLAUDE.md. WHY IT MATTERS MORE THAN IT LOOKS: /t/[code] is a fan-facing surface reached by scanning a QR code in a stadium, so the failure mode is a dead link on printed material that cannot be recalled. Check the same pattern anywhere else an absolute URL is derived from req.url before launch; /r/[token] was checked on 2026-09-21 and does NOT have it. Still Blocked on P5-BE-05 - this note records the defect so whoever builds the route does not reintroduce it, it does not unblock the row.</t>
        </is>
      </c>
    </row>
    <row r="133" ht="35.05" customHeight="1" s="75">
      <c r="A133" s="104" t="n">
        <v>124</v>
      </c>
      <c r="B133" s="105" t="inlineStr">
        <is>
          <t>P6-SEC-01</t>
        </is>
      </c>
      <c r="C133" s="81" t="n">
        <v>6</v>
      </c>
      <c r="D133" s="82" t="inlineStr">
        <is>
          <t>Measurement &amp; Reward</t>
        </is>
      </c>
      <c r="E133" s="140" t="inlineStr">
        <is>
          <t>SEC</t>
        </is>
      </c>
      <c r="F133" s="120" t="inlineStr">
        <is>
          <t>Code</t>
        </is>
      </c>
      <c r="G133" s="80" t="inlineStr">
        <is>
          <t>Fan consent capture and version tracking</t>
        </is>
      </c>
      <c r="H133" s="107" t="inlineStr">
        <is>
          <t>Record consent with its version at the moment a fan claims. No fan's details leave the system without it.</t>
        </is>
      </c>
      <c r="I133" s="108" t="inlineStr">
        <is>
          <t>Done</t>
        </is>
      </c>
      <c r="J133" s="108" t="n">
        <v>3</v>
      </c>
      <c r="K133" s="109" t="inlineStr">
        <is>
          <t>2026-09-23</t>
        </is>
      </c>
      <c r="L133" s="109" t="inlineStr">
        <is>
          <t>2026-09-23</t>
        </is>
      </c>
      <c r="M133" s="110" t="inlineStr">
        <is>
          <t>rcfworks</t>
        </is>
      </c>
      <c r="N133" s="81" t="n">
        <v>3</v>
      </c>
      <c r="O133" s="80" t="inlineStr">
        <is>
          <t>P6-BE-03</t>
        </is>
      </c>
      <c r="P133" s="80" t="inlineStr">
        <is>
          <t>Consent is recorded with its version at claim time; no fan PII leaves the system without it</t>
        </is>
      </c>
      <c r="Q133" s="82" t="inlineStr">
        <is>
          <t>§26</t>
        </is>
      </c>
      <c r="R133" s="111" t="inlineStr">
        <is>
          <t>2026-09-15: legal dependency removed (P0-LEG-04) — legal approvals no longer gate development.</t>
        </is>
      </c>
    </row>
    <row r="134" ht="35.05" customHeight="1" s="75">
      <c r="A134" s="112" t="n">
        <v>125</v>
      </c>
      <c r="B134" s="113" t="inlineStr">
        <is>
          <t>P6-BE-06</t>
        </is>
      </c>
      <c r="C134" s="85" t="n">
        <v>6</v>
      </c>
      <c r="D134" s="86" t="inlineStr">
        <is>
          <t>Measurement &amp; Reward</t>
        </is>
      </c>
      <c r="E134" s="137" t="inlineStr">
        <is>
          <t>BE</t>
        </is>
      </c>
      <c r="F134" s="122" t="inlineStr">
        <is>
          <t>Code</t>
        </is>
      </c>
      <c r="G134" s="84" t="inlineStr">
        <is>
          <t>QR code generation into R2</t>
        </is>
      </c>
      <c r="H134" s="116" t="inlineStr">
        <is>
          <t>Generate a QR image per athlete per campaign and store it privately.</t>
        </is>
      </c>
      <c r="I134" s="108" t="inlineStr">
        <is>
          <t>Done</t>
        </is>
      </c>
      <c r="J134" s="108" t="n">
        <v>1</v>
      </c>
      <c r="K134" s="109" t="inlineStr">
        <is>
          <t>2026-09-23</t>
        </is>
      </c>
      <c r="L134" s="109" t="inlineStr">
        <is>
          <t>2026-09-23</t>
        </is>
      </c>
      <c r="M134" s="110" t="inlineStr">
        <is>
          <t>rcfworks</t>
        </is>
      </c>
      <c r="N134" s="85" t="n">
        <v>1</v>
      </c>
      <c r="O134" s="84" t="inlineStr">
        <is>
          <t>P6-BE-02, P2-BE-08</t>
        </is>
      </c>
      <c r="P134" s="84" t="inlineStr">
        <is>
          <t>A QR PNG is generated per athlete/campaign token and stored in the private bucket</t>
        </is>
      </c>
      <c r="Q134" s="86" t="inlineStr">
        <is>
          <t>§16</t>
        </is>
      </c>
      <c r="R134" s="111" t="n"/>
    </row>
    <row r="135" ht="35.05" customHeight="1" s="75">
      <c r="A135" s="104" t="n">
        <v>126</v>
      </c>
      <c r="B135" s="105" t="inlineStr">
        <is>
          <t>P6-ART-01</t>
        </is>
      </c>
      <c r="C135" s="81" t="n">
        <v>6</v>
      </c>
      <c r="D135" s="82" t="inlineStr">
        <is>
          <t>Measurement &amp; Reward</t>
        </is>
      </c>
      <c r="E135" s="117" t="inlineStr">
        <is>
          <t>ART</t>
        </is>
      </c>
      <c r="F135" s="118" t="inlineStr">
        <is>
          <t>Design tool</t>
        </is>
      </c>
      <c r="G135" s="80" t="inlineStr">
        <is>
          <t>Produce the printable QR asset formats</t>
        </is>
      </c>
      <c r="H135" s="107" t="inlineStr">
        <is>
          <t>Produce QR artwork that actually scans at poster and table-tent sizes.</t>
        </is>
      </c>
      <c r="I135" s="108" t="inlineStr">
        <is>
          <t>Done</t>
        </is>
      </c>
      <c r="J135" s="108" t="n">
        <v>1</v>
      </c>
      <c r="K135" s="109" t="n">
        <v>46294</v>
      </c>
      <c r="L135" s="109" t="n">
        <v>46296</v>
      </c>
      <c r="M135" s="110" t="inlineStr">
        <is>
          <t>rcfworks</t>
        </is>
      </c>
      <c r="N135" s="81" t="n"/>
      <c r="O135" s="80" t="inlineStr">
        <is>
          <t>P6-BE-06</t>
        </is>
      </c>
      <c r="P135" s="80" t="inlineStr">
        <is>
          <t>QR assets usable at venue print sizes with adequate quiet zone and contrast</t>
        </is>
      </c>
      <c r="Q135" s="82" t="inlineStr">
        <is>
          <t>§16</t>
        </is>
      </c>
      <c r="R135" s="111" t="inlineStr">
        <is>
          <t xml:space="preserve"> Designed 2026-09-29 by Claude Design: https://claude.ai/artifact/UmkyjWppiZ2PPDoeJ5RnBU — poster 11×17 (QR 4 in), table tent 4×6 folded (QR 1.75 in), sticker 3×3 (QR 1.25 in); quiet zone ≥4 modules; light and dark-brand versions. Made usable 2026-09-29: /print/reward (admin; 'Print templates' in each reward's QR panel) fills poster / table tent / sticker, light or dark brand, with the token's real QR at real inches (@page); measured 4.00 / 1.75 / 1.25 in; quiet-zone padding added to the PNG's 2-module margin (lib/qr-print.ts, tested). Sponsor name stands in for a logo — none is stored. | 2026-10-02 (HeckerCreatives, via Claude): Post-close audit fix: dark-brand art lost its ground in print ('background graphics' off) — print-color-adjust: exact. Quiet-zone comment corrected (≥4 modules from version 3 up); test now encodes real reward URLs.</t>
        </is>
      </c>
    </row>
    <row r="136" ht="35.05" customHeight="1" s="75">
      <c r="A136" s="112" t="n">
        <v>127</v>
      </c>
      <c r="B136" s="113" t="inlineStr">
        <is>
          <t>P6-BE-05</t>
        </is>
      </c>
      <c r="C136" s="85" t="n">
        <v>6</v>
      </c>
      <c r="D136" s="86" t="inlineStr">
        <is>
          <t>Measurement &amp; Reward</t>
        </is>
      </c>
      <c r="E136" s="137" t="inlineStr">
        <is>
          <t>BE</t>
        </is>
      </c>
      <c r="F136" s="122" t="inlineStr">
        <is>
          <t>Code</t>
        </is>
      </c>
      <c r="G136" s="84" t="inlineStr">
        <is>
          <t>Geo resolution worker job</t>
        </is>
      </c>
      <c r="H136" s="116" t="inlineStr">
        <is>
          <t>Work out roughly where a scan happened, in the background, from a local lookup file. The visitor's IP address is never stored — only city and region.</t>
        </is>
      </c>
      <c r="I136" s="108" t="inlineStr">
        <is>
          <t>Done</t>
        </is>
      </c>
      <c r="J136" s="108" t="n">
        <v>3</v>
      </c>
      <c r="K136" s="109" t="inlineStr">
        <is>
          <t>2026-09-23</t>
        </is>
      </c>
      <c r="L136" s="109" t="inlineStr">
        <is>
          <t>2026-09-24</t>
        </is>
      </c>
      <c r="M136" s="110" t="inlineStr">
        <is>
          <t>rcfworks</t>
        </is>
      </c>
      <c r="N136" s="85" t="n"/>
      <c r="O136" s="84" t="inlineStr">
        <is>
          <t>P6-BE-01, P2-BE-05</t>
        </is>
      </c>
      <c r="P136" s="84" t="inlineStr">
        <is>
          <t>resolve-geo.ts reads x-forwarded-for, resolves against local GeoLite2, writes city/region — the raw IP is never persisted, it lives only in the job payload</t>
        </is>
      </c>
      <c r="Q136" s="86" t="inlineStr">
        <is>
          <t>Guide §06, §26</t>
        </is>
      </c>
      <c r="R136" s="111" t="inlineStr">
        <is>
          <t>Code complete and wired: resolve-geo.mts, reader opened from GEOLITE2_CITY_PATH at worker boot, drain scrubs clientIp from the outbox payload (§26). NOT Done: the acceptance clause "resolves against local GeoLite2" cannot be verified without a GeoLite2-City.mmdb, which needs a MaxMind account and licence key. Close it once the file is in place and a real click resolves to a city. | 2026-09-24: Done at the user's instruction — acceptance confirmed met.</t>
        </is>
      </c>
    </row>
    <row r="137" ht="35.05" customHeight="1" s="75">
      <c r="A137" s="104" t="n">
        <v>128</v>
      </c>
      <c r="B137" s="105" t="inlineStr">
        <is>
          <t>P6-BE-07</t>
        </is>
      </c>
      <c r="C137" s="81" t="n">
        <v>6</v>
      </c>
      <c r="D137" s="82" t="inlineStr">
        <is>
          <t>Measurement &amp; Reward</t>
        </is>
      </c>
      <c r="E137" s="139" t="inlineStr">
        <is>
          <t>BE</t>
        </is>
      </c>
      <c r="F137" s="120" t="inlineStr">
        <is>
          <t>Code</t>
        </is>
      </c>
      <c r="G137" s="80" t="inlineStr">
        <is>
          <t>Unique per-athlete tracking codes</t>
        </is>
      </c>
      <c r="H137" s="107" t="inlineStr">
        <is>
          <t>Give each athlete on a campaign their own code so you can tell who actually drove traffic.</t>
        </is>
      </c>
      <c r="I137" s="108" t="inlineStr">
        <is>
          <t>Done</t>
        </is>
      </c>
      <c r="J137" s="108" t="n">
        <v>1</v>
      </c>
      <c r="K137" s="109" t="inlineStr">
        <is>
          <t>2026-09-23</t>
        </is>
      </c>
      <c r="L137" s="109" t="inlineStr">
        <is>
          <t>2026-09-23</t>
        </is>
      </c>
      <c r="M137" s="110" t="inlineStr">
        <is>
          <t>rcfworks</t>
        </is>
      </c>
      <c r="N137" s="81" t="n"/>
      <c r="O137" s="80" t="inlineStr">
        <is>
          <t>P6-BE-01</t>
        </is>
      </c>
      <c r="P137" s="80" t="inlineStr">
        <is>
          <t>Each athlete on a campaign gets a distinct code, so relative performance is measurable</t>
        </is>
      </c>
      <c r="Q137" s="82" t="inlineStr">
        <is>
          <t>§16, §30</t>
        </is>
      </c>
      <c r="R137" s="111" t="n"/>
    </row>
    <row r="138" ht="23.85" customHeight="1" s="75">
      <c r="A138" s="112" t="n">
        <v>129</v>
      </c>
      <c r="B138" s="113" t="inlineStr">
        <is>
          <t>P6-FE-01</t>
        </is>
      </c>
      <c r="C138" s="85" t="n">
        <v>6</v>
      </c>
      <c r="D138" s="86" t="inlineStr">
        <is>
          <t>Measurement &amp; Reward</t>
        </is>
      </c>
      <c r="E138" s="121" t="inlineStr">
        <is>
          <t>FE</t>
        </is>
      </c>
      <c r="F138" s="122" t="inlineStr">
        <is>
          <t>Code</t>
        </is>
      </c>
      <c r="G138" s="84" t="inlineStr">
        <is>
          <t>Wire the QR / reward creator</t>
        </is>
      </c>
      <c r="H138" s="116" t="inlineStr">
        <is>
          <t>The screen where staff create a reward: the offer, who qualifies, the consent wording, limits and expiry.</t>
        </is>
      </c>
      <c r="I138" s="108" t="inlineStr">
        <is>
          <t>Done</t>
        </is>
      </c>
      <c r="J138" s="108" t="n">
        <v>5</v>
      </c>
      <c r="K138" s="109" t="inlineStr">
        <is>
          <t>2026-09-28</t>
        </is>
      </c>
      <c r="L138" s="109" t="inlineStr">
        <is>
          <t>2026-09-28</t>
        </is>
      </c>
      <c r="M138" s="110" t="inlineStr">
        <is>
          <t>HeckerCreatives</t>
        </is>
      </c>
      <c r="N138" s="85" t="n"/>
      <c r="O138" s="84" t="inlineStr">
        <is>
          <t>P6-BE-02</t>
        </is>
      </c>
      <c r="P138" s="84" t="inlineStr">
        <is>
          <t>Reward, eligibility, landing page, consent copy, limits and expiration are all configurable and persist</t>
        </is>
      </c>
      <c r="Q138" s="86" t="inlineStr">
        <is>
          <t>§9 screen 10</t>
        </is>
      </c>
      <c r="R138" s="111" t="inlineStr">
        <is>
          <t>2026-09-28: live desk wired — rewards list with 4-event funnels, lifecycle, per-athlete QR tokens (worker PNG via audited signed URL), creator persisting offer/terms/expiry/single-use/tokens/go-live, consent shown read-only (central version). Open: eligibility, redemption cap, landing copy have no columns — raised P6-BE-08.</t>
        </is>
      </c>
    </row>
    <row r="139" ht="23.85" customHeight="1" s="75">
      <c r="A139" s="104" t="n">
        <v>130</v>
      </c>
      <c r="B139" s="105" t="inlineStr">
        <is>
          <t>P6-FE-03</t>
        </is>
      </c>
      <c r="C139" s="81" t="n">
        <v>6</v>
      </c>
      <c r="D139" s="82" t="inlineStr">
        <is>
          <t>Measurement &amp; Reward</t>
        </is>
      </c>
      <c r="E139" s="119" t="inlineStr">
        <is>
          <t>FE</t>
        </is>
      </c>
      <c r="F139" s="120" t="inlineStr">
        <is>
          <t>Code</t>
        </is>
      </c>
      <c r="G139" s="80" t="inlineStr">
        <is>
          <t>Wire the analytics dashboard funnel panels</t>
        </is>
      </c>
      <c r="H139" s="107" t="inlineStr">
        <is>
          <t>Show the scan-to-redemption funnel with real numbers.</t>
        </is>
      </c>
      <c r="I139" s="108" t="inlineStr">
        <is>
          <t>Done</t>
        </is>
      </c>
      <c r="J139" s="108" t="n">
        <v>3</v>
      </c>
      <c r="K139" s="109" t="inlineStr">
        <is>
          <t>2026-09-28</t>
        </is>
      </c>
      <c r="L139" s="109" t="inlineStr">
        <is>
          <t>2026-09-28</t>
        </is>
      </c>
      <c r="M139" s="110" t="inlineStr">
        <is>
          <t>HeckerCreatives</t>
        </is>
      </c>
      <c r="N139" s="81" t="n"/>
      <c r="O139" s="80" t="inlineStr">
        <is>
          <t>P6-BE-03</t>
        </is>
      </c>
      <c r="P139" s="80" t="inlineStr">
        <is>
          <t>Scan → landing → claim → redemption render as a real funnel with real counts</t>
        </is>
      </c>
      <c r="Q139" s="82" t="inlineStr">
        <is>
          <t>§9 screen 11</t>
        </is>
      </c>
      <c r="R139" s="111" t="n"/>
    </row>
    <row r="140" ht="23.85" customHeight="1" s="75">
      <c r="A140" s="112" t="n">
        <v>131</v>
      </c>
      <c r="B140" s="113" t="inlineStr">
        <is>
          <t>P6-INT-01</t>
        </is>
      </c>
      <c r="C140" s="85" t="n">
        <v>6</v>
      </c>
      <c r="D140" s="86" t="inlineStr">
        <is>
          <t>Measurement &amp; Reward</t>
        </is>
      </c>
      <c r="E140" s="141" t="inlineStr">
        <is>
          <t>INT</t>
        </is>
      </c>
      <c r="F140" s="122" t="inlineStr">
        <is>
          <t>Code</t>
        </is>
      </c>
      <c r="G140" s="84" t="inlineStr">
        <is>
          <t>Consent-gated lead push to Zoho</t>
        </is>
      </c>
      <c r="H140" s="116" t="inlineStr">
        <is>
          <t>Send fan leads to Zoho only where consent was given. No consent, no push — enforced in code.</t>
        </is>
      </c>
      <c r="I140" s="108" t="inlineStr">
        <is>
          <t>Dropped</t>
        </is>
      </c>
      <c r="J140" s="108" t="n">
        <v>3</v>
      </c>
      <c r="K140" s="109" t="n"/>
      <c r="L140" s="109" t="n"/>
      <c r="M140" s="110" t="n"/>
      <c r="N140" s="85" t="n"/>
      <c r="O140" s="84" t="inlineStr">
        <is>
          <t>P6-SEC-01, P2-BE-05</t>
        </is>
      </c>
      <c r="P140" s="84" t="inlineStr">
        <is>
          <t>Claims with consent enqueue zoho.pushLead; claims without consent never do</t>
        </is>
      </c>
      <c r="Q140" s="86" t="inlineStr">
        <is>
          <t>§18</t>
        </is>
      </c>
      <c r="R140" s="111" t="inlineStr">
        <is>
          <t>MOVED TO PHASE 2 on 2026-09-24 (business decision) as 2S6-INT-03 — needs the sponsor-contact consent option (2S6-BE-03), also Phase 2.</t>
        </is>
      </c>
    </row>
    <row r="141" ht="35.05" customHeight="1" s="75">
      <c r="A141" s="104" t="n">
        <v>132</v>
      </c>
      <c r="B141" s="105" t="inlineStr">
        <is>
          <t>P6-QA-01</t>
        </is>
      </c>
      <c r="C141" s="81" t="n">
        <v>6</v>
      </c>
      <c r="D141" s="82" t="inlineStr">
        <is>
          <t>Measurement &amp; Reward</t>
        </is>
      </c>
      <c r="E141" s="135" t="inlineStr">
        <is>
          <t>QA</t>
        </is>
      </c>
      <c r="F141" s="120" t="inlineStr">
        <is>
          <t>Code</t>
        </is>
      </c>
      <c r="G141" s="80" t="inlineStr">
        <is>
          <t>E2E: scan → landing → claim → redeem</t>
        </is>
      </c>
      <c r="H141" s="107" t="inlineStr">
        <is>
          <t>Automated test that a scan produces four distinct events and a second redemption is refused.</t>
        </is>
      </c>
      <c r="I141" s="108" t="inlineStr">
        <is>
          <t>Done</t>
        </is>
      </c>
      <c r="J141" s="108" t="n">
        <v>3</v>
      </c>
      <c r="K141" s="109" t="inlineStr">
        <is>
          <t>2026-09-25</t>
        </is>
      </c>
      <c r="L141" s="109" t="inlineStr">
        <is>
          <t>2026-09-25</t>
        </is>
      </c>
      <c r="M141" s="110" t="inlineStr">
        <is>
          <t>rcfworks</t>
        </is>
      </c>
      <c r="N141" s="81" t="n"/>
      <c r="O141" s="80" t="inlineStr">
        <is>
          <t>P6-FE-02</t>
        </is>
      </c>
      <c r="P141" s="80" t="inlineStr">
        <is>
          <t>All four events recorded separately; a second redeem attempt is rejected</t>
        </is>
      </c>
      <c r="Q141" s="82" t="inlineStr">
        <is>
          <t>§30</t>
        </is>
      </c>
      <c r="R141" s="111" t="inlineStr">
        <is>
          <t>2026-09-25: e2e/redeem-flow.spec.ts drives the REAL stack (web → API → Postgres, JavaScript off) — scan the QR page, LANDING beacon, claim with email + consent, staff redeem, then a second redeem POST: 303 → 'Already used'. Asserts the database holds exactly SCAN 1 · LANDING 1 · CLAIM 1 · REDEEM 1. Found and fixed a double LANDING (the post-redirect-get return re-fired the beacon). CI e2e job now has Postgres + migrations + the API so it runs on every push. | 2026-09-25: Done at the user's instruction — acceptance met; both specs run and pass in CI (PR #69).</t>
        </is>
      </c>
    </row>
    <row r="142" ht="23.85" customHeight="1" s="75">
      <c r="A142" s="112" t="n">
        <v>133</v>
      </c>
      <c r="B142" s="113" t="inlineStr">
        <is>
          <t>P6-QA-02</t>
        </is>
      </c>
      <c r="C142" s="85" t="n">
        <v>6</v>
      </c>
      <c r="D142" s="86" t="inlineStr">
        <is>
          <t>Measurement &amp; Reward</t>
        </is>
      </c>
      <c r="E142" s="134" t="inlineStr">
        <is>
          <t>QA</t>
        </is>
      </c>
      <c r="F142" s="122" t="inlineStr">
        <is>
          <t>Code</t>
        </is>
      </c>
      <c r="G142" s="84" t="inlineStr">
        <is>
          <t>Redeem page performance budget</t>
        </is>
      </c>
      <c r="H142" s="116" t="inlineStr">
        <is>
          <t>Test the redeem page on a throttled mobile connection. This is the one page in the product that must be fast.</t>
        </is>
      </c>
      <c r="I142" s="108" t="inlineStr">
        <is>
          <t>Done</t>
        </is>
      </c>
      <c r="J142" s="108" t="n">
        <v>1</v>
      </c>
      <c r="K142" s="109" t="inlineStr">
        <is>
          <t>2026-09-25</t>
        </is>
      </c>
      <c r="L142" s="109" t="inlineStr">
        <is>
          <t>2026-09-25</t>
        </is>
      </c>
      <c r="M142" s="110" t="inlineStr">
        <is>
          <t>rcfworks</t>
        </is>
      </c>
      <c r="N142" s="85" t="n"/>
      <c r="O142" s="84" t="inlineStr">
        <is>
          <t>P6-FE-02</t>
        </is>
      </c>
      <c r="P142" s="84" t="inlineStr">
        <is>
          <t>Verified on a throttled mobile connection: no client bundle, no render-blocking font, plain dynamic route — no ISR, no edge middleware</t>
        </is>
      </c>
      <c r="Q142" s="86" t="inlineStr">
        <is>
          <t>§16, Addendum A10</t>
        </is>
      </c>
      <c r="R142" s="111" t="inlineStr">
        <is>
          <t>2026-09-25: e2e/redeem-budget.spec.ts on Pixel 7 with Slow 4G + 4× CPU throttling: 0 script requests, 0 &lt;script&gt; tags, no font, no stylesheet, &lt;20 KB (all gated); load time recorded per run, not gated — the next dev server swung 1.2–5.7 s on CI runners; production latency is P8-OPS-02's staging measurement. Measured locally 2 requests · 4.1 KB · 1,224 ms. frontend/tests/fan-route-budget.test.ts pins plain dynamic route: no revalidate/generateStaticParams/force-static/edge runtime in /r, /t, /u, and the Clerk proxy (edge middleware) now skips them. | 2026-09-25: Done at the user's instruction — acceptance met; both specs run and pass in CI (PR #69).</t>
        </is>
      </c>
    </row>
    <row r="143" ht="23.85" customHeight="1" s="75">
      <c r="A143" s="104" t="n">
        <v>134</v>
      </c>
      <c r="B143" s="105" t="inlineStr">
        <is>
          <t>P6-SEC-02</t>
        </is>
      </c>
      <c r="C143" s="81" t="n">
        <v>6</v>
      </c>
      <c r="D143" s="82" t="inlineStr">
        <is>
          <t>Measurement &amp; Reward</t>
        </is>
      </c>
      <c r="E143" s="140" t="inlineStr">
        <is>
          <t>SEC</t>
        </is>
      </c>
      <c r="F143" s="120" t="inlineStr">
        <is>
          <t>Code</t>
        </is>
      </c>
      <c r="G143" s="80" t="inlineStr">
        <is>
          <t>Fan PII purpose limitation</t>
        </is>
      </c>
      <c r="H143" s="107" t="inlineStr">
        <is>
          <t>Sponsors receive only the fan fields consent allows — enforced in the database query, not by hiding it in the interface.</t>
        </is>
      </c>
      <c r="I143" s="108" t="inlineStr">
        <is>
          <t>Done</t>
        </is>
      </c>
      <c r="J143" s="108" t="n">
        <v>3</v>
      </c>
      <c r="K143" s="109" t="inlineStr">
        <is>
          <t>2026-09-24</t>
        </is>
      </c>
      <c r="L143" s="109" t="inlineStr">
        <is>
          <t>2026-09-24</t>
        </is>
      </c>
      <c r="M143" s="110" t="inlineStr">
        <is>
          <t>rcfworks</t>
        </is>
      </c>
      <c r="N143" s="81" t="n"/>
      <c r="O143" s="80" t="inlineStr">
        <is>
          <t>P6-SEC-01</t>
        </is>
      </c>
      <c r="P143" s="80" t="inlineStr">
        <is>
          <t>Sponsors receive only the fields consent permits; the restriction is enforced in select, not in the UI</t>
        </is>
      </c>
      <c r="Q143" s="82" t="inlineStr">
        <is>
          <t>§26, Memory 04</t>
        </is>
      </c>
      <c r="R143" s="111" t="inlineStr">
        <is>
          <t>Sponsors get fan data only as counts (funnel groupBy, report folds event types); no query anywhere selects fanEmail and every RewardEvent read names its columns — pinned by backend/tests/fan-pii.test.ts, which fails the build otherwise. Phase 1 consent (reward-delivery) permits sponsors no fan fields; the sponsor-contact option is Phase 2 (2S6-BE-03). | 2026-09-24: Done at the user's instruction — acceptance confirmed met.</t>
        </is>
      </c>
    </row>
    <row r="144" ht="23.85" customHeight="1" s="75">
      <c r="A144" s="112" t="n">
        <v>135</v>
      </c>
      <c r="B144" s="113" t="inlineStr">
        <is>
          <t>P7-DATA-01</t>
        </is>
      </c>
      <c r="C144" s="85" t="n">
        <v>7</v>
      </c>
      <c r="D144" s="86" t="inlineStr">
        <is>
          <t>Money &amp; Reporting</t>
        </is>
      </c>
      <c r="E144" s="129" t="inlineStr">
        <is>
          <t>DATA</t>
        </is>
      </c>
      <c r="F144" s="122" t="inlineStr">
        <is>
          <t>Code</t>
        </is>
      </c>
      <c r="G144" s="84" t="inlineStr">
        <is>
          <t>Metric entry with provenance labels</t>
        </is>
      </c>
      <c r="H144" s="116" t="inlineStr">
        <is>
          <t>Every performance number carries a label saying where it came from. Verified and estimated figures must never be presented as the same thing — this is the biggest credibility risk in the product.</t>
        </is>
      </c>
      <c r="I144" s="108" t="inlineStr">
        <is>
          <t>Done</t>
        </is>
      </c>
      <c r="J144" s="108" t="n">
        <v>3</v>
      </c>
      <c r="K144" s="109" t="inlineStr">
        <is>
          <t>2026-09-23</t>
        </is>
      </c>
      <c r="L144" s="109" t="inlineStr">
        <is>
          <t>2026-09-23</t>
        </is>
      </c>
      <c r="M144" s="110" t="inlineStr">
        <is>
          <t>rcfworks</t>
        </is>
      </c>
      <c r="N144" s="85" t="n">
        <v>3</v>
      </c>
      <c r="O144" s="84" t="inlineStr">
        <is>
          <t>P0-DATA-01, P5-BE-05</t>
        </is>
      </c>
      <c r="P144" s="84" t="inlineStr">
        <is>
          <t>Every metric row carries one of the five §22 source labels; verified-API, verified-manual, self-reported, estimated and attributed are never conflated</t>
        </is>
      </c>
      <c r="Q144" s="86" t="inlineStr">
        <is>
          <t>§22, §26</t>
        </is>
      </c>
      <c r="R144" s="111" t="n"/>
    </row>
    <row r="145" ht="23.85" customHeight="1" s="75">
      <c r="A145" s="104" t="n">
        <v>136</v>
      </c>
      <c r="B145" s="105" t="inlineStr">
        <is>
          <t>P7-DATA-02</t>
        </is>
      </c>
      <c r="C145" s="81" t="n">
        <v>7</v>
      </c>
      <c r="D145" s="82" t="inlineStr">
        <is>
          <t>Money &amp; Reporting</t>
        </is>
      </c>
      <c r="E145" s="143" t="inlineStr">
        <is>
          <t>DATA</t>
        </is>
      </c>
      <c r="F145" s="120" t="inlineStr">
        <is>
          <t>Code</t>
        </is>
      </c>
      <c r="G145" s="80" t="inlineStr">
        <is>
          <t>Metric rollup worker job</t>
        </is>
      </c>
      <c r="H145" s="107" t="inlineStr">
        <is>
          <t>A scheduled job that totals up athlete and campaign performance, in a way that can always be recomputed from the raw events.</t>
        </is>
      </c>
      <c r="I145" s="108" t="inlineStr">
        <is>
          <t>Done</t>
        </is>
      </c>
      <c r="J145" s="108" t="n">
        <v>3</v>
      </c>
      <c r="K145" s="109" t="inlineStr">
        <is>
          <t>2026-09-23</t>
        </is>
      </c>
      <c r="L145" s="109" t="inlineStr">
        <is>
          <t>2026-09-23</t>
        </is>
      </c>
      <c r="M145" s="110" t="inlineStr">
        <is>
          <t>rcfworks</t>
        </is>
      </c>
      <c r="N145" s="81" t="n">
        <v>3</v>
      </c>
      <c r="O145" s="80" t="inlineStr">
        <is>
          <t>P7-DATA-01, P2-BE-05</t>
        </is>
      </c>
      <c r="P145" s="80" t="inlineStr">
        <is>
          <t>rollup-metrics.ts aggregates athlete and campaign metrics on a schedule; aggregates are reproducible from events</t>
        </is>
      </c>
      <c r="Q145" s="82" t="inlineStr">
        <is>
          <t>§22</t>
        </is>
      </c>
      <c r="R145" s="111" t="n"/>
    </row>
    <row r="146" ht="23.85" customHeight="1" s="75">
      <c r="A146" s="112" t="n">
        <v>137</v>
      </c>
      <c r="B146" s="113" t="inlineStr">
        <is>
          <t>P7-BE-01</t>
        </is>
      </c>
      <c r="C146" s="85" t="n">
        <v>7</v>
      </c>
      <c r="D146" s="86" t="inlineStr">
        <is>
          <t>Money &amp; Reporting</t>
        </is>
      </c>
      <c r="E146" s="137" t="inlineStr">
        <is>
          <t>BE</t>
        </is>
      </c>
      <c r="F146" s="122" t="inlineStr">
        <is>
          <t>Code</t>
        </is>
      </c>
      <c r="G146" s="84" t="inlineStr">
        <is>
          <t>Earnings model and state machine</t>
        </is>
      </c>
      <c r="H146" s="116" t="inlineStr">
        <is>
          <t>Track what an athlete has earned and whether it is pending, eligible, approved or paid. No tax IDs, no bank details — money moves outside the system in Phase 1.</t>
        </is>
      </c>
      <c r="I146" s="108" t="inlineStr">
        <is>
          <t>Done</t>
        </is>
      </c>
      <c r="J146" s="108" t="n">
        <v>3</v>
      </c>
      <c r="K146" s="109" t="inlineStr">
        <is>
          <t>2026-09-23</t>
        </is>
      </c>
      <c r="L146" s="109" t="inlineStr">
        <is>
          <t>2026-09-23</t>
        </is>
      </c>
      <c r="M146" s="110" t="inlineStr">
        <is>
          <t>rcfworks</t>
        </is>
      </c>
      <c r="N146" s="85" t="n">
        <v>4</v>
      </c>
      <c r="O146" s="84" t="inlineStr">
        <is>
          <t>P0-PMO-01</t>
        </is>
      </c>
      <c r="P146" s="84" t="inlineStr">
        <is>
          <t>PENDING→ELIGIBLE→APPROVED_FOR_PAYOUT→PAID/HELD/DISPUTED enforced; no tax ID field, no bank details</t>
        </is>
      </c>
      <c r="Q146" s="86" t="inlineStr">
        <is>
          <t>§21, Addendum A6</t>
        </is>
      </c>
      <c r="R146" s="111" t="n"/>
    </row>
    <row r="147" ht="35.05" customHeight="1" s="75">
      <c r="A147" s="104" t="n">
        <v>138</v>
      </c>
      <c r="B147" s="105" t="inlineStr">
        <is>
          <t>P7-BE-05</t>
        </is>
      </c>
      <c r="C147" s="81" t="n">
        <v>7</v>
      </c>
      <c r="D147" s="82" t="inlineStr">
        <is>
          <t>Money &amp; Reporting</t>
        </is>
      </c>
      <c r="E147" s="139" t="inlineStr">
        <is>
          <t>BE</t>
        </is>
      </c>
      <c r="F147" s="120" t="inlineStr">
        <is>
          <t>Code</t>
        </is>
      </c>
      <c r="G147" s="80" t="inlineStr">
        <is>
          <t>Sponsor ROI report data assembly</t>
        </is>
      </c>
      <c r="H147" s="107" t="inlineStr">
        <is>
          <t>Assemble the sponsor's results report: what was promised, who delivered, what it achieved, with every number's provenance intact.</t>
        </is>
      </c>
      <c r="I147" s="108" t="inlineStr">
        <is>
          <t>Done</t>
        </is>
      </c>
      <c r="J147" s="108" t="n">
        <v>5</v>
      </c>
      <c r="K147" s="109" t="inlineStr">
        <is>
          <t>2026-09-23</t>
        </is>
      </c>
      <c r="L147" s="109" t="inlineStr">
        <is>
          <t>2026-09-23</t>
        </is>
      </c>
      <c r="M147" s="110" t="inlineStr">
        <is>
          <t>rcfworks</t>
        </is>
      </c>
      <c r="N147" s="81" t="n">
        <v>2</v>
      </c>
      <c r="O147" s="80" t="inlineStr">
        <is>
          <t>P7-DATA-02</t>
        </is>
      </c>
      <c r="P147" s="80" t="inlineStr">
        <is>
          <t>Objective, roster, delivered assets, verified/estimated metrics, QR funnel, redemption, media value and recommendations all assembled with labels intact</t>
        </is>
      </c>
      <c r="Q147" s="82" t="inlineStr">
        <is>
          <t>§9 screen 12</t>
        </is>
      </c>
      <c r="R147" s="111" t="n"/>
    </row>
    <row r="148" ht="23.85" customHeight="1" s="75">
      <c r="A148" s="112" t="n">
        <v>139</v>
      </c>
      <c r="B148" s="113" t="inlineStr">
        <is>
          <t>P7-BE-03</t>
        </is>
      </c>
      <c r="C148" s="85" t="n">
        <v>7</v>
      </c>
      <c r="D148" s="86" t="inlineStr">
        <is>
          <t>Money &amp; Reporting</t>
        </is>
      </c>
      <c r="E148" s="137" t="inlineStr">
        <is>
          <t>BE</t>
        </is>
      </c>
      <c r="F148" s="122" t="inlineStr">
        <is>
          <t>Code</t>
        </is>
      </c>
      <c r="G148" s="84" t="inlineStr">
        <is>
          <t>Commission and management fee calculation</t>
        </is>
      </c>
      <c r="H148" s="116" t="inlineStr">
        <is>
          <t>Work out gross pay, adjustments and BTG's margin from the job's pay and price.</t>
        </is>
      </c>
      <c r="I148" s="108" t="inlineStr">
        <is>
          <t>Done</t>
        </is>
      </c>
      <c r="J148" s="108" t="n">
        <v>3</v>
      </c>
      <c r="K148" s="109" t="inlineStr">
        <is>
          <t>2026-09-23</t>
        </is>
      </c>
      <c r="L148" s="109" t="inlineStr">
        <is>
          <t>2026-09-23</t>
        </is>
      </c>
      <c r="M148" s="110" t="inlineStr">
        <is>
          <t>rcfworks</t>
        </is>
      </c>
      <c r="N148" s="85" t="n">
        <v>2</v>
      </c>
      <c r="O148" s="84" t="inlineStr">
        <is>
          <t>P7-BE-01</t>
        </is>
      </c>
      <c r="P148" s="84" t="inlineStr">
        <is>
          <t>Gross compensation, adjustments and BTG margin computed from the agreed athlete rate and the sponsor price; a line below athlete cost x 1.4 cannot exist, because P3-BE-12 blocks it at creation</t>
        </is>
      </c>
      <c r="Q148" s="86" t="inlineStr">
        <is>
          <t>§5, §10</t>
        </is>
      </c>
      <c r="R148" s="111" t="inlineStr">
        <is>
          <t>Updated 2026-09-18 by P0-PMO-13 (margin floor rule at 1.4x with tier-derived sell floors) - see documentation/SponsorX-Pricing-Floor-Decision.md. Margin is no longer derivable from the band midpoints - it is the agreed rate against the agreed price.</t>
        </is>
      </c>
    </row>
    <row r="149" ht="35.05" customHeight="1" s="75">
      <c r="A149" s="104" t="n">
        <v>140</v>
      </c>
      <c r="B149" s="105" t="inlineStr">
        <is>
          <t>P7-FE-03</t>
        </is>
      </c>
      <c r="C149" s="81" t="n">
        <v>7</v>
      </c>
      <c r="D149" s="82" t="inlineStr">
        <is>
          <t>Money &amp; Reporting</t>
        </is>
      </c>
      <c r="E149" s="119" t="inlineStr">
        <is>
          <t>FE</t>
        </is>
      </c>
      <c r="F149" s="120" t="inlineStr">
        <is>
          <t>Code</t>
        </is>
      </c>
      <c r="G149" s="80" t="inlineStr">
        <is>
          <t>Wire the sponsor ROI report screen</t>
        </is>
      </c>
      <c r="H149" s="107" t="inlineStr">
        <is>
          <t>The sponsor results screen, with estimated figures visibly labelled as estimates.</t>
        </is>
      </c>
      <c r="I149" s="108" t="inlineStr">
        <is>
          <t>Done</t>
        </is>
      </c>
      <c r="J149" s="108" t="n">
        <v>5</v>
      </c>
      <c r="K149" s="109" t="inlineStr">
        <is>
          <t>2026-09-28</t>
        </is>
      </c>
      <c r="L149" s="109" t="inlineStr">
        <is>
          <t>2026-09-28</t>
        </is>
      </c>
      <c r="M149" s="110" t="inlineStr">
        <is>
          <t>HeckerCreatives</t>
        </is>
      </c>
      <c r="N149" s="81" t="n">
        <v>2</v>
      </c>
      <c r="O149" s="80" t="inlineStr">
        <is>
          <t>P7-BE-05</t>
        </is>
      </c>
      <c r="P149" s="80" t="inlineStr">
        <is>
          <t>Screen 12 renders the real report with provenance labels visible — estimated figures are never presented as verified</t>
        </is>
      </c>
      <c r="Q149" s="82" t="inlineStr">
        <is>
          <t>§9 screen 12, §22</t>
        </is>
      </c>
      <c r="R149" s="111" t="n"/>
    </row>
    <row r="150" ht="35.05" customHeight="1" s="75">
      <c r="A150" s="112" t="n">
        <v>141</v>
      </c>
      <c r="B150" s="113" t="inlineStr">
        <is>
          <t>P7-DATA-05</t>
        </is>
      </c>
      <c r="C150" s="85" t="n">
        <v>7</v>
      </c>
      <c r="D150" s="86" t="inlineStr">
        <is>
          <t>Money &amp; Reporting</t>
        </is>
      </c>
      <c r="E150" s="129" t="inlineStr">
        <is>
          <t>DATA</t>
        </is>
      </c>
      <c r="F150" s="122" t="inlineStr">
        <is>
          <t>Code</t>
        </is>
      </c>
      <c r="G150" s="84" t="inlineStr">
        <is>
          <t>Network and marketplace-learning metrics</t>
        </is>
      </c>
      <c r="H150" s="116" t="inlineStr">
        <is>
          <t>Network-level numbers: active athletes, participation, total earnings, average job pay, margin by package.</t>
        </is>
      </c>
      <c r="I150" s="108" t="inlineStr">
        <is>
          <t>Done</t>
        </is>
      </c>
      <c r="J150" s="108" t="n">
        <v>3</v>
      </c>
      <c r="K150" s="109" t="inlineStr">
        <is>
          <t>2026-09-23</t>
        </is>
      </c>
      <c r="L150" s="109" t="inlineStr">
        <is>
          <t>2026-09-23</t>
        </is>
      </c>
      <c r="M150" s="110" t="inlineStr">
        <is>
          <t>rcfworks</t>
        </is>
      </c>
      <c r="N150" s="85" t="n">
        <v>1</v>
      </c>
      <c r="O150" s="84" t="inlineStr">
        <is>
          <t>P7-DATA-02</t>
        </is>
      </c>
      <c r="P150" s="84" t="inlineStr">
        <is>
          <t>Active athletes, participation rate, total earnings, average job pay, utilisation, average sell price by job and margin by package are all queryable</t>
        </is>
      </c>
      <c r="Q150" s="86" t="inlineStr">
        <is>
          <t>§22</t>
        </is>
      </c>
      <c r="R150" s="111" t="n"/>
    </row>
    <row r="151" ht="35.05" customHeight="1" s="75">
      <c r="A151" s="104" t="n">
        <v>142</v>
      </c>
      <c r="B151" s="105" t="inlineStr">
        <is>
          <t>P7-BE-02</t>
        </is>
      </c>
      <c r="C151" s="81" t="n">
        <v>7</v>
      </c>
      <c r="D151" s="82" t="inlineStr">
        <is>
          <t>Money &amp; Reporting</t>
        </is>
      </c>
      <c r="E151" s="139" t="inlineStr">
        <is>
          <t>BE</t>
        </is>
      </c>
      <c r="F151" s="120" t="inlineStr">
        <is>
          <t>Code</t>
        </is>
      </c>
      <c r="G151" s="80" t="inlineStr">
        <is>
          <t>Earnings eligibility from deliverable completion</t>
        </is>
      </c>
      <c r="H151" s="107" t="inlineStr">
        <is>
          <t>Verifying the last of an order's deliverables makes the athlete's earning eligible, automatically and audited.</t>
        </is>
      </c>
      <c r="I151" s="108" t="inlineStr">
        <is>
          <t>Done</t>
        </is>
      </c>
      <c r="J151" s="108" t="n">
        <v>3</v>
      </c>
      <c r="K151" s="109" t="inlineStr">
        <is>
          <t>2026-09-23</t>
        </is>
      </c>
      <c r="L151" s="109" t="inlineStr">
        <is>
          <t>2026-09-23</t>
        </is>
      </c>
      <c r="M151" s="110" t="inlineStr">
        <is>
          <t>rcfworks</t>
        </is>
      </c>
      <c r="N151" s="81" t="n"/>
      <c r="O151" s="80" t="inlineStr">
        <is>
          <t>P7-BE-01, P5-BE-08</t>
        </is>
      </c>
      <c r="P151" s="80" t="inlineStr">
        <is>
          <t>Verifying the last of an order's deliverables (each created from the order's NIL job at acceptance) makes that order's earning ELIGIBLE, in full; the transition is audited</t>
        </is>
      </c>
      <c r="Q151" s="82" t="inlineStr">
        <is>
          <t>§13 step 11</t>
        </is>
      </c>
      <c r="R151" s="111" t="inlineStr">
        <is>
          <t>Wording amended 2026-09-24 (business decision: release on the last verified deliverable).</t>
        </is>
      </c>
    </row>
    <row r="152" ht="35.05" customHeight="1" s="75">
      <c r="A152" s="112" t="n">
        <v>143</v>
      </c>
      <c r="B152" s="113" t="inlineStr">
        <is>
          <t>P7-BE-04</t>
        </is>
      </c>
      <c r="C152" s="85" t="n">
        <v>7</v>
      </c>
      <c r="D152" s="86" t="inlineStr">
        <is>
          <t>Money &amp; Reporting</t>
        </is>
      </c>
      <c r="E152" s="137" t="inlineStr">
        <is>
          <t>BE</t>
        </is>
      </c>
      <c r="F152" s="122" t="inlineStr">
        <is>
          <t>Code</t>
        </is>
      </c>
      <c r="G152" s="84" t="inlineStr">
        <is>
          <t>Invoice / payment reference ingestion from Zoho</t>
        </is>
      </c>
      <c r="H152" s="116" t="inlineStr">
        <is>
          <t>Pull invoice and payment status in from Zoho. SponsorX never becomes the invoicing system.</t>
        </is>
      </c>
      <c r="I152" s="108" t="inlineStr">
        <is>
          <t>Done</t>
        </is>
      </c>
      <c r="J152" s="108" t="n">
        <v>3</v>
      </c>
      <c r="K152" s="109" t="inlineStr">
        <is>
          <t>2026-09-23</t>
        </is>
      </c>
      <c r="L152" s="109" t="inlineStr">
        <is>
          <t>2026-09-23</t>
        </is>
      </c>
      <c r="M152" s="110" t="inlineStr">
        <is>
          <t>rcfworks</t>
        </is>
      </c>
      <c r="N152" s="85" t="n"/>
      <c r="O152" s="84" t="inlineStr">
        <is>
          <t>P2-BE-05</t>
        </is>
      </c>
      <c r="P152" s="84" t="inlineStr">
        <is>
          <t>Invoice and payment status flow Zoho → SponsorX and attach to the campaign; SponsorX never becomes the invoice system of record</t>
        </is>
      </c>
      <c r="Q152" s="86" t="inlineStr">
        <is>
          <t>§18</t>
        </is>
      </c>
      <c r="R152" s="111" t="inlineStr">
        <is>
          <t>2026-09-24: invoice reads gated on a new RBAC `invoice` resource — BTG admin + the invoiced sponsor only (business decision).</t>
        </is>
      </c>
    </row>
    <row r="153" ht="23.85" customHeight="1" s="75">
      <c r="A153" s="104" t="n">
        <v>144</v>
      </c>
      <c r="B153" s="105" t="inlineStr">
        <is>
          <t>P7-BE-06</t>
        </is>
      </c>
      <c r="C153" s="81" t="n">
        <v>7</v>
      </c>
      <c r="D153" s="82" t="inlineStr">
        <is>
          <t>Money &amp; Reporting</t>
        </is>
      </c>
      <c r="E153" s="139" t="inlineStr">
        <is>
          <t>BE</t>
        </is>
      </c>
      <c r="F153" s="120" t="inlineStr">
        <is>
          <t>Code</t>
        </is>
      </c>
      <c r="G153" s="80" t="inlineStr">
        <is>
          <t>Report render worker job</t>
        </is>
      </c>
      <c r="H153" s="107" t="inlineStr">
        <is>
          <t>Render the sponsor report as a PDF in the background — only if the earlier decision says a PDF is actually needed.</t>
        </is>
      </c>
      <c r="I153" s="108" t="inlineStr">
        <is>
          <t>Dropped</t>
        </is>
      </c>
      <c r="J153" s="108" t="n">
        <v>3</v>
      </c>
      <c r="K153" s="109" t="n"/>
      <c r="L153" s="109" t="n"/>
      <c r="M153" s="110" t="n"/>
      <c r="N153" s="81" t="n"/>
      <c r="O153" s="80" t="inlineStr">
        <is>
          <t>P7-BE-05, P0-PMO-05</t>
        </is>
      </c>
      <c r="P153" s="80" t="inlineStr">
        <is>
          <t>If G-07 requires a PDF, Playwright renders it on the worker and stores it in the private bucket. If not, this task is closed as not-required</t>
        </is>
      </c>
      <c r="Q153" s="82" t="inlineStr">
        <is>
          <t>Addendum A10, Guide §10</t>
        </is>
      </c>
      <c r="R153" s="111" t="inlineStr">
        <is>
          <t>PARKED 2026-09-24 by business decision — retained, not dropped. Frontend browser PDF (report-pdf.ts) covers the demo; worker job picked up only if a server-rendered file becomes a requirement. | MOVED TO PHASE 2 on 2026-09-24 (user decision) as 2S7-BE-02. By its own AC it is not required in Phase 1: G-07 (P0-PMO-05) chose a print stylesheet, delivered by the browser PDF (report-pdf.ts).</t>
        </is>
      </c>
    </row>
    <row r="154" ht="35.05" customHeight="1" s="75">
      <c r="A154" s="112" t="n">
        <v>145</v>
      </c>
      <c r="B154" s="113" t="inlineStr">
        <is>
          <t>P7-DATA-03</t>
        </is>
      </c>
      <c r="C154" s="85" t="n">
        <v>7</v>
      </c>
      <c r="D154" s="86" t="inlineStr">
        <is>
          <t>Money &amp; Reporting</t>
        </is>
      </c>
      <c r="E154" s="129" t="inlineStr">
        <is>
          <t>DATA</t>
        </is>
      </c>
      <c r="F154" s="122" t="inlineStr">
        <is>
          <t>Code</t>
        </is>
      </c>
      <c r="G154" s="84" t="inlineStr">
        <is>
          <t>Implied CPM calculation</t>
        </is>
      </c>
      <c r="H154" s="116" t="inlineStr">
        <is>
          <t>Calculate an implied cost-per-thousand even for fixed-price jobs, so you learn what your inventory is really worth.</t>
        </is>
      </c>
      <c r="I154" s="108" t="inlineStr">
        <is>
          <t>Done</t>
        </is>
      </c>
      <c r="J154" s="108" t="n">
        <v>3</v>
      </c>
      <c r="K154" s="109" t="inlineStr">
        <is>
          <t>2026-09-23</t>
        </is>
      </c>
      <c r="L154" s="109" t="inlineStr">
        <is>
          <t>2026-09-23</t>
        </is>
      </c>
      <c r="M154" s="110" t="inlineStr">
        <is>
          <t>rcfworks</t>
        </is>
      </c>
      <c r="N154" s="85" t="n"/>
      <c r="O154" s="84" t="inlineStr">
        <is>
          <t>P7-DATA-01</t>
        </is>
      </c>
      <c r="P154" s="84" t="inlineStr">
        <is>
          <t>Both list price and implied CPM are stored whenever impressions are projected — fixed-price jobs still compute it for learning</t>
        </is>
      </c>
      <c r="Q154" s="86" t="inlineStr">
        <is>
          <t>§15</t>
        </is>
      </c>
      <c r="R154" s="111" t="n"/>
    </row>
    <row r="155" ht="35.05" customHeight="1" s="75">
      <c r="A155" s="104" t="n">
        <v>146</v>
      </c>
      <c r="B155" s="105" t="inlineStr">
        <is>
          <t>P7-DATA-04</t>
        </is>
      </c>
      <c r="C155" s="81" t="n">
        <v>7</v>
      </c>
      <c r="D155" s="82" t="inlineStr">
        <is>
          <t>Money &amp; Reporting</t>
        </is>
      </c>
      <c r="E155" s="143" t="inlineStr">
        <is>
          <t>DATA</t>
        </is>
      </c>
      <c r="F155" s="120" t="inlineStr">
        <is>
          <t>Code</t>
        </is>
      </c>
      <c r="G155" s="80" t="inlineStr">
        <is>
          <t>Campaign delivered-vs-planned tracking</t>
        </is>
      </c>
      <c r="H155" s="107" t="inlineStr">
        <is>
          <t>Detect when a campaign is delivering less than promised, and surface it before the sponsor notices.</t>
        </is>
      </c>
      <c r="I155" s="108" t="inlineStr">
        <is>
          <t>Done</t>
        </is>
      </c>
      <c r="J155" s="108" t="n">
        <v>1</v>
      </c>
      <c r="K155" s="109" t="inlineStr">
        <is>
          <t>2026-09-23</t>
        </is>
      </c>
      <c r="L155" s="109" t="inlineStr">
        <is>
          <t>2026-09-23</t>
        </is>
      </c>
      <c r="M155" s="110" t="inlineStr">
        <is>
          <t>rcfworks</t>
        </is>
      </c>
      <c r="N155" s="81" t="n"/>
      <c r="O155" s="80" t="inlineStr">
        <is>
          <t>P7-DATA-01</t>
        </is>
      </c>
      <c r="P155" s="80" t="inlineStr">
        <is>
          <t>Under-delivery is detectable and surfaces on the operations dashboard</t>
        </is>
      </c>
      <c r="Q155" s="82" t="inlineStr">
        <is>
          <t>§22, §9 screen 9</t>
        </is>
      </c>
      <c r="R155" s="111" t="n"/>
    </row>
    <row r="156" ht="23.85" customHeight="1" s="75">
      <c r="A156" s="112" t="n">
        <v>147</v>
      </c>
      <c r="B156" s="113" t="inlineStr">
        <is>
          <t>P7-FE-01</t>
        </is>
      </c>
      <c r="C156" s="85" t="n">
        <v>7</v>
      </c>
      <c r="D156" s="86" t="inlineStr">
        <is>
          <t>Money &amp; Reporting</t>
        </is>
      </c>
      <c r="E156" s="121" t="inlineStr">
        <is>
          <t>FE</t>
        </is>
      </c>
      <c r="F156" s="122" t="inlineStr">
        <is>
          <t>Code</t>
        </is>
      </c>
      <c r="G156" s="84" t="inlineStr">
        <is>
          <t>Wire the athlete earnings view</t>
        </is>
      </c>
      <c r="H156" s="116" t="inlineStr">
        <is>
          <t>The athlete's earnings view. No tax ID or bank field appears anywhere on it.</t>
        </is>
      </c>
      <c r="I156" s="108" t="inlineStr">
        <is>
          <t>Done</t>
        </is>
      </c>
      <c r="J156" s="108" t="n">
        <v>3</v>
      </c>
      <c r="K156" s="109" t="inlineStr">
        <is>
          <t>2026-09-28</t>
        </is>
      </c>
      <c r="L156" s="109" t="inlineStr">
        <is>
          <t>2026-09-28</t>
        </is>
      </c>
      <c r="M156" s="110" t="inlineStr">
        <is>
          <t>HeckerCreatives</t>
        </is>
      </c>
      <c r="N156" s="85" t="n"/>
      <c r="O156" s="84" t="inlineStr">
        <is>
          <t>P7-BE-01</t>
        </is>
      </c>
      <c r="P156" s="84" t="inlineStr">
        <is>
          <t>Pending / eligible / approved / paid statuses render; no tax ID or bank field appears anywhere</t>
        </is>
      </c>
      <c r="Q156" s="86" t="inlineStr">
        <is>
          <t>§24, §30</t>
        </is>
      </c>
      <c r="R156" s="111" t="n"/>
    </row>
    <row r="157" ht="35.05" customHeight="1" s="75">
      <c r="A157" s="104" t="n">
        <v>148</v>
      </c>
      <c r="B157" s="105" t="inlineStr">
        <is>
          <t>P7-FE-02</t>
        </is>
      </c>
      <c r="C157" s="81" t="n">
        <v>7</v>
      </c>
      <c r="D157" s="82" t="inlineStr">
        <is>
          <t>Money &amp; Reporting</t>
        </is>
      </c>
      <c r="E157" s="119" t="inlineStr">
        <is>
          <t>FE</t>
        </is>
      </c>
      <c r="F157" s="120" t="inlineStr">
        <is>
          <t>Code</t>
        </is>
      </c>
      <c r="G157" s="80" t="inlineStr">
        <is>
          <t>Wire the finance workspace</t>
        </is>
      </c>
      <c r="H157" s="107" t="inlineStr">
        <is>
          <t>The finance workspace: earnings states, commission, Zoho invoice references, reconciliation.</t>
        </is>
      </c>
      <c r="I157" s="108" t="inlineStr">
        <is>
          <t>Done</t>
        </is>
      </c>
      <c r="J157" s="108" t="n">
        <v>5</v>
      </c>
      <c r="K157" s="109" t="inlineStr">
        <is>
          <t>2026-09-28</t>
        </is>
      </c>
      <c r="L157" s="109" t="inlineStr">
        <is>
          <t>2026-09-28</t>
        </is>
      </c>
      <c r="M157" s="110" t="inlineStr">
        <is>
          <t>HeckerCreatives</t>
        </is>
      </c>
      <c r="N157" s="81" t="n"/>
      <c r="O157" s="80" t="inlineStr">
        <is>
          <t>P7-BE-03</t>
        </is>
      </c>
      <c r="P157" s="80" t="inlineStr">
        <is>
          <t>Earnings states, commission calculation, Zoho invoice references and reconciliation view all render from real data</t>
        </is>
      </c>
      <c r="Q157" s="82" t="inlineStr">
        <is>
          <t>§10, §23</t>
        </is>
      </c>
      <c r="R157" s="111" t="inlineStr">
        <is>
          <t>2026-09-28: read-only by design — payout actions stay blocked on the §37 payment policy. Zoho invoice refs + reconciliation render for BTG_ADMIN only: the RBAC matrix's 2026-09-24 decision denies FINANCE the invoice read; the FINANCE view says so. Confirm that's intended for a finance workspace.</t>
        </is>
      </c>
    </row>
    <row r="158" ht="35.05" customHeight="1" s="75">
      <c r="A158" s="112" t="n">
        <v>149</v>
      </c>
      <c r="B158" s="113" t="inlineStr">
        <is>
          <t>P7-FE-04</t>
        </is>
      </c>
      <c r="C158" s="85" t="n">
        <v>7</v>
      </c>
      <c r="D158" s="86" t="inlineStr">
        <is>
          <t>Money &amp; Reporting</t>
        </is>
      </c>
      <c r="E158" s="121" t="inlineStr">
        <is>
          <t>FE</t>
        </is>
      </c>
      <c r="F158" s="122" t="inlineStr">
        <is>
          <t>Code</t>
        </is>
      </c>
      <c r="G158" s="84" t="inlineStr">
        <is>
          <t>Wire the analytics and athlete performance dashboard</t>
        </is>
      </c>
      <c r="H158" s="116" t="inlineStr">
        <is>
          <t>The performance dashboard: per-athlete views, engagement, clicks, claims, redemptions, reliability.</t>
        </is>
      </c>
      <c r="I158" s="108" t="inlineStr">
        <is>
          <t>Done</t>
        </is>
      </c>
      <c r="J158" s="108" t="n">
        <v>5</v>
      </c>
      <c r="K158" s="109" t="inlineStr">
        <is>
          <t>2026-09-28</t>
        </is>
      </c>
      <c r="L158" s="109" t="inlineStr">
        <is>
          <t>2026-09-28</t>
        </is>
      </c>
      <c r="M158" s="110" t="inlineStr">
        <is>
          <t>HeckerCreatives</t>
        </is>
      </c>
      <c r="N158" s="85" t="n"/>
      <c r="O158" s="84" t="inlineStr">
        <is>
          <t>P7-DATA-02</t>
        </is>
      </c>
      <c r="P158" s="84" t="inlineStr">
        <is>
          <t>Per-athlete views, engagement, clicks, claims, redemptions, reliability and revision rate all render from real aggregates</t>
        </is>
      </c>
      <c r="Q158" s="86" t="inlineStr">
        <is>
          <t>§9 screen 11</t>
        </is>
      </c>
      <c r="R158" s="111" t="n"/>
    </row>
    <row r="159" ht="35.05" customHeight="1" s="75">
      <c r="A159" s="104" t="n">
        <v>150</v>
      </c>
      <c r="B159" s="105" t="inlineStr">
        <is>
          <t>P7-FE-05</t>
        </is>
      </c>
      <c r="C159" s="81" t="n">
        <v>7</v>
      </c>
      <c r="D159" s="82" t="inlineStr">
        <is>
          <t>Money &amp; Reporting</t>
        </is>
      </c>
      <c r="E159" s="119" t="inlineStr">
        <is>
          <t>FE</t>
        </is>
      </c>
      <c r="F159" s="120" t="inlineStr">
        <is>
          <t>Code</t>
        </is>
      </c>
      <c r="G159" s="80" t="inlineStr">
        <is>
          <t>Wire the admin network analytics view</t>
        </is>
      </c>
      <c r="H159" s="107" t="inlineStr">
        <is>
          <t>The network-level analytics view for BTG.</t>
        </is>
      </c>
      <c r="I159" s="108" t="inlineStr">
        <is>
          <t>Done</t>
        </is>
      </c>
      <c r="J159" s="108" t="n">
        <v>3</v>
      </c>
      <c r="K159" s="109" t="inlineStr">
        <is>
          <t>2026-09-28</t>
        </is>
      </c>
      <c r="L159" s="109" t="inlineStr">
        <is>
          <t>2026-09-28</t>
        </is>
      </c>
      <c r="M159" s="110" t="inlineStr">
        <is>
          <t>HeckerCreatives</t>
        </is>
      </c>
      <c r="N159" s="81" t="n"/>
      <c r="O159" s="80" t="inlineStr">
        <is>
          <t>P7-DATA-05</t>
        </is>
      </c>
      <c r="P159" s="80" t="inlineStr">
        <is>
          <t>Network-level and marketplace-learning metrics render</t>
        </is>
      </c>
      <c r="Q159" s="82" t="inlineStr">
        <is>
          <t>§22, §23</t>
        </is>
      </c>
      <c r="R159" s="111" t="n"/>
    </row>
    <row r="160" ht="23.85" customHeight="1" s="75">
      <c r="A160" s="112" t="n">
        <v>151</v>
      </c>
      <c r="B160" s="113" t="inlineStr">
        <is>
          <t>P7-QA-01</t>
        </is>
      </c>
      <c r="C160" s="85" t="n">
        <v>7</v>
      </c>
      <c r="D160" s="86" t="inlineStr">
        <is>
          <t>Money &amp; Reporting</t>
        </is>
      </c>
      <c r="E160" s="134" t="inlineStr">
        <is>
          <t>QA</t>
        </is>
      </c>
      <c r="F160" s="122" t="inlineStr">
        <is>
          <t>Code</t>
        </is>
      </c>
      <c r="G160" s="84" t="inlineStr">
        <is>
          <t>E2E: deliverable → earnings → sponsor report</t>
        </is>
      </c>
      <c r="H160" s="116" t="inlineStr">
        <is>
          <t>Automated test of the final stretch: deliverable through earnings to the sponsor report.</t>
        </is>
      </c>
      <c r="I160" s="108" t="inlineStr">
        <is>
          <t>Done</t>
        </is>
      </c>
      <c r="J160" s="108" t="n">
        <v>3</v>
      </c>
      <c r="K160" s="109" t="inlineStr">
        <is>
          <t>2026-09-28</t>
        </is>
      </c>
      <c r="L160" s="109" t="inlineStr">
        <is>
          <t>2026-09-28</t>
        </is>
      </c>
      <c r="M160" s="110" t="inlineStr">
        <is>
          <t>HeckerCreatives</t>
        </is>
      </c>
      <c r="N160" s="85" t="n"/>
      <c r="O160" s="84" t="inlineStr">
        <is>
          <t>P7-FE-03</t>
        </is>
      </c>
      <c r="P160" s="84" t="inlineStr">
        <is>
          <t>The final loop segment runs green end to end</t>
        </is>
      </c>
      <c r="Q160" s="86" t="inlineStr">
        <is>
          <t>§30</t>
        </is>
      </c>
      <c r="R160" s="111" t="n"/>
    </row>
    <row r="161" ht="23.85" customHeight="1" s="75">
      <c r="A161" s="104" t="n">
        <v>152</v>
      </c>
      <c r="B161" s="105" t="inlineStr">
        <is>
          <t>P7-QA-02</t>
        </is>
      </c>
      <c r="C161" s="81" t="n">
        <v>7</v>
      </c>
      <c r="D161" s="82" t="inlineStr">
        <is>
          <t>Money &amp; Reporting</t>
        </is>
      </c>
      <c r="E161" s="135" t="inlineStr">
        <is>
          <t>QA</t>
        </is>
      </c>
      <c r="F161" s="120" t="inlineStr">
        <is>
          <t>Code</t>
        </is>
      </c>
      <c r="G161" s="80" t="inlineStr">
        <is>
          <t>Metric provenance honesty review</t>
        </is>
      </c>
      <c r="H161" s="107" t="inlineStr">
        <is>
          <t>Trace every number on every dashboard back to where it actually comes from. Anything hand-picked gets labelled as such.</t>
        </is>
      </c>
      <c r="I161" s="108" t="inlineStr">
        <is>
          <t>Done</t>
        </is>
      </c>
      <c r="J161" s="108" t="n">
        <v>3</v>
      </c>
      <c r="K161" s="109" t="inlineStr">
        <is>
          <t>2026-09-28</t>
        </is>
      </c>
      <c r="L161" s="109" t="inlineStr">
        <is>
          <t>2026-09-28</t>
        </is>
      </c>
      <c r="M161" s="110" t="inlineStr">
        <is>
          <t>HeckerCreatives</t>
        </is>
      </c>
      <c r="N161" s="81" t="n"/>
      <c r="O161" s="80" t="inlineStr">
        <is>
          <t>P7-FE-03</t>
        </is>
      </c>
      <c r="P161" s="80" t="inlineStr">
        <is>
          <t>Every number on every dashboard is traced to its retrieval path; anything curated carries an EST · curated label</t>
        </is>
      </c>
      <c r="Q161" s="82" t="inlineStr">
        <is>
          <t>§22, Memory rule</t>
        </is>
      </c>
      <c r="R161" s="111" t="n"/>
    </row>
    <row r="162" ht="35.05" customHeight="1" s="75">
      <c r="A162" s="112" t="n">
        <v>153</v>
      </c>
      <c r="B162" s="113" t="inlineStr">
        <is>
          <t>P7-SEC-01</t>
        </is>
      </c>
      <c r="C162" s="85" t="n">
        <v>7</v>
      </c>
      <c r="D162" s="86" t="inlineStr">
        <is>
          <t>Money &amp; Reporting</t>
        </is>
      </c>
      <c r="E162" s="142" t="inlineStr">
        <is>
          <t>SEC</t>
        </is>
      </c>
      <c r="F162" s="122" t="inlineStr">
        <is>
          <t>Code</t>
        </is>
      </c>
      <c r="G162" s="84" t="inlineStr">
        <is>
          <t>Financial audit coverage</t>
        </is>
      </c>
      <c r="H162" s="116" t="inlineStr">
        <is>
          <t>Confirm every pricing, earnings and payout change is recorded in the audit log.</t>
        </is>
      </c>
      <c r="I162" s="108" t="inlineStr">
        <is>
          <t>Done</t>
        </is>
      </c>
      <c r="J162" s="108" t="n">
        <v>1</v>
      </c>
      <c r="K162" s="109" t="inlineStr">
        <is>
          <t>2026-09-23</t>
        </is>
      </c>
      <c r="L162" s="109" t="inlineStr">
        <is>
          <t>2026-09-23</t>
        </is>
      </c>
      <c r="M162" s="110" t="inlineStr">
        <is>
          <t>rcfworks</t>
        </is>
      </c>
      <c r="N162" s="85" t="n"/>
      <c r="O162" s="84" t="inlineStr">
        <is>
          <t>P7-BE-03</t>
        </is>
      </c>
      <c r="P162" s="84" t="inlineStr">
        <is>
          <t>Every pricing, earnings and payout-status change writes an audit entry</t>
        </is>
      </c>
      <c r="Q162" s="86" t="inlineStr">
        <is>
          <t>§26</t>
        </is>
      </c>
      <c r="R162" s="111" t="n"/>
    </row>
    <row r="163" ht="35.05" customHeight="1" s="75">
      <c r="A163" s="104" t="n">
        <v>154</v>
      </c>
      <c r="B163" s="105" t="inlineStr">
        <is>
          <t>P7-SEC-02</t>
        </is>
      </c>
      <c r="C163" s="81" t="n">
        <v>7</v>
      </c>
      <c r="D163" s="82" t="inlineStr">
        <is>
          <t>Money &amp; Reporting</t>
        </is>
      </c>
      <c r="E163" s="140" t="inlineStr">
        <is>
          <t>SEC</t>
        </is>
      </c>
      <c r="F163" s="120" t="inlineStr">
        <is>
          <t>Code</t>
        </is>
      </c>
      <c r="G163" s="80" t="inlineStr">
        <is>
          <t>Payment-policy compliance check</t>
        </is>
      </c>
      <c r="H163" s="107" t="inlineStr">
        <is>
          <t>Search the whole codebase to confirm no tax ID, bank or card field exists anywhere.</t>
        </is>
      </c>
      <c r="I163" s="108" t="inlineStr">
        <is>
          <t>Done</t>
        </is>
      </c>
      <c r="J163" s="108" t="n">
        <v>1</v>
      </c>
      <c r="K163" s="109" t="inlineStr">
        <is>
          <t>2026-09-23</t>
        </is>
      </c>
      <c r="L163" s="109" t="inlineStr">
        <is>
          <t>2026-09-23</t>
        </is>
      </c>
      <c r="M163" s="110" t="inlineStr">
        <is>
          <t>rcfworks</t>
        </is>
      </c>
      <c r="N163" s="81" t="n"/>
      <c r="O163" s="80" t="inlineStr">
        <is>
          <t>P7-BE-01</t>
        </is>
      </c>
      <c r="P163" s="80" t="inlineStr">
        <is>
          <t>A codebase-wide check confirms no tax ID, bank credential or card data field exists in any model</t>
        </is>
      </c>
      <c r="Q163" s="82" t="inlineStr">
        <is>
          <t>§26, Addendum A6</t>
        </is>
      </c>
      <c r="R163" s="111" t="n"/>
    </row>
    <row r="164" ht="15" customHeight="1" s="75">
      <c r="A164" s="112" t="n">
        <v>155</v>
      </c>
      <c r="B164" s="113" t="inlineStr">
        <is>
          <t>P8-INT-01</t>
        </is>
      </c>
      <c r="C164" s="85" t="n">
        <v>8</v>
      </c>
      <c r="D164" s="86" t="inlineStr">
        <is>
          <t>Integration, Hardening &amp; Launch</t>
        </is>
      </c>
      <c r="E164" s="141" t="inlineStr">
        <is>
          <t>INT</t>
        </is>
      </c>
      <c r="F164" s="122" t="inlineStr">
        <is>
          <t>Code</t>
        </is>
      </c>
      <c r="G164" s="84" t="inlineStr">
        <is>
          <t>Zoho outbound push jobs for all four bi-directional objects</t>
        </is>
      </c>
      <c r="H164" s="116" t="inlineStr">
        <is>
          <t>Push accounts, contacts, deals and tasks to Zoho from the background worker, using a shared ID so records never duplicate.</t>
        </is>
      </c>
      <c r="I164" s="108" t="inlineStr">
        <is>
          <t>Done</t>
        </is>
      </c>
      <c r="J164" s="108" t="n">
        <v>5</v>
      </c>
      <c r="K164" s="109" t="inlineStr">
        <is>
          <t>2026-09-24</t>
        </is>
      </c>
      <c r="L164" s="109" t="inlineStr">
        <is>
          <t>2026-09-24</t>
        </is>
      </c>
      <c r="M164" s="110" t="inlineStr">
        <is>
          <t>rcfworks</t>
        </is>
      </c>
      <c r="N164" s="85" t="n">
        <v>4</v>
      </c>
      <c r="O164" s="84" t="inlineStr">
        <is>
          <t>P0-PMO-08, P2-BE-05</t>
        </is>
      </c>
      <c r="P164" s="84" t="inlineStr">
        <is>
          <t>Accounts, Contacts, Deals and Tasks push from the worker with SponsorX_ID as the dedupe key</t>
        </is>
      </c>
      <c r="Q164" s="86" t="inlineStr">
        <is>
          <t>§18</t>
        </is>
      </c>
      <c r="R164" s="111" t="inlineStr">
        <is>
          <t>Blocked on SponsorX-Zoho-Field-Mapping.md open decisions O-2 (Campaign as Deal — needs sign-off) and O-5 (Zoho user mapping / record ownership — UNRESOLVED; otherwise CRM records land ownerless and nobody is notified). O-6: no sandbox org exists, so any push writes to production Zoho. The document states these must be closed before dependent code is written. | 2026-09-24: Built 2026-09-24. Worker-only client src/lib/zoho.ts + src/domain/zoho-sync.ts. Accounts, Contacts, Deals and Tasks push from the worker; every create is an upsert with duplicate_check_fields=SponsorX_ID (Tasks: Zoho's upsert endpoint refuses Activities — found live — so the same key is deduped by find-then-write). Parents first (account→contact→deal→task). Triggered on the request path only by ENQUEUE, in the transition's own transaction: brief QUALIFIED/APPROVED/CLOSED, campaign created/cancelled/launched (zoho.pushDeal), follow-up/approval/renewal SyncTasks (zoho.pushTask). O-2 adopted (Campaign = Deal), O-5 decided (User.zohoUserId, task owner = acting staff). Proven: tests/zoho-sync.test.ts on a real DB from the domain call through the outbox into the worker handlers; AND a live run against the SponsorX-Dev sandbox 2026-09-24 — all four created, re-push after losing our id updated the same Deal (1 record), test records deleted. | 2026-09-24: Done at the user's instruction — acceptance confirmed met.</t>
        </is>
      </c>
    </row>
    <row r="165" ht="22.35" customHeight="1" s="75">
      <c r="A165" s="104" t="n">
        <v>156</v>
      </c>
      <c r="B165" s="105" t="inlineStr">
        <is>
          <t>P8-INT-03</t>
        </is>
      </c>
      <c r="C165" s="81" t="n">
        <v>8</v>
      </c>
      <c r="D165" s="82" t="inlineStr">
        <is>
          <t>Integration, Hardening &amp; Launch</t>
        </is>
      </c>
      <c r="E165" s="138" t="inlineStr">
        <is>
          <t>INT</t>
        </is>
      </c>
      <c r="F165" s="120" t="inlineStr">
        <is>
          <t>Code</t>
        </is>
      </c>
      <c r="G165" s="80" t="inlineStr">
        <is>
          <t>Inbound Zoho webhook route with signature verification</t>
        </is>
      </c>
      <c r="H165" s="107" t="inlineStr">
        <is>
          <t>Receive Zoho's updates, verify they are genuine, write them to your own database and queue the follow-up. This route never calls Zoho back.</t>
        </is>
      </c>
      <c r="I165" s="108" t="inlineStr">
        <is>
          <t>Done</t>
        </is>
      </c>
      <c r="J165" s="108" t="n">
        <v>3</v>
      </c>
      <c r="K165" s="109" t="inlineStr">
        <is>
          <t>2026-09-24</t>
        </is>
      </c>
      <c r="L165" s="109" t="inlineStr">
        <is>
          <t>2026-09-24</t>
        </is>
      </c>
      <c r="M165" s="110" t="inlineStr">
        <is>
          <t>rcfworks</t>
        </is>
      </c>
      <c r="N165" s="81" t="n">
        <v>1</v>
      </c>
      <c r="O165" s="80" t="inlineStr">
        <is>
          <t>P8-INT-01</t>
        </is>
      </c>
      <c r="P165" s="80" t="inlineStr">
        <is>
          <t>The route verifies the signature, writes to our own database and enqueues — it never calls Zoho</t>
        </is>
      </c>
      <c r="Q165" s="82" t="inlineStr">
        <is>
          <t>Guide §07</t>
        </is>
      </c>
      <c r="R165" s="111" t="inlineStr">
        <is>
          <t>2026-09-24: POST /api/v1/webhooks/zoho/crm (Notifications API). Verifies the channel token (constant-time) and channel id Zoho echoes on every callback — CRM notifications carry no HMAC — then writes a WebhookDelivery and enqueues zoho.ingestCrm in one transaction. Never calls Zoho: tests/zoho-boundary.test.ts walks the import graph from src/app.ts and fails if lib/zoho or zoho-sync is reachable (mutation-checked). The worker subscribes/renews the channel itself; the exact watch request was accepted by the live sandbox 2026-09-24 (renewing replaces, not duplicates) and removed. Staging holds ZOHO_NOTIFY_*; a live end-to-end callback lands with the first staging deploy of this code. | 2026-09-24: Done at the user's instruction — acceptance confirmed met.</t>
        </is>
      </c>
    </row>
    <row r="166" ht="35.05" customHeight="1" s="75">
      <c r="A166" s="112" t="n">
        <v>157</v>
      </c>
      <c r="B166" s="113" t="inlineStr">
        <is>
          <t>P8-QA-01</t>
        </is>
      </c>
      <c r="C166" s="85" t="n">
        <v>8</v>
      </c>
      <c r="D166" s="86" t="inlineStr">
        <is>
          <t>Integration, Hardening &amp; Launch</t>
        </is>
      </c>
      <c r="E166" s="134" t="inlineStr">
        <is>
          <t>QA</t>
        </is>
      </c>
      <c r="F166" s="122" t="inlineStr">
        <is>
          <t>Code</t>
        </is>
      </c>
      <c r="G166" s="84" t="inlineStr">
        <is>
          <t>Full §30 acceptance criteria pass</t>
        </is>
      </c>
      <c r="H166" s="116" t="inlineStr">
        <is>
          <t>Demonstrate all fourteen acceptance criteria from the blueprint and record the evidence.</t>
        </is>
      </c>
      <c r="I166" s="108" t="inlineStr">
        <is>
          <t>Done</t>
        </is>
      </c>
      <c r="J166" s="108" t="n">
        <v>5</v>
      </c>
      <c r="K166" s="109" t="n">
        <v>46311</v>
      </c>
      <c r="L166" s="109" t="n">
        <v>46311</v>
      </c>
      <c r="M166" s="110" t="inlineStr">
        <is>
          <t>rcfworks</t>
        </is>
      </c>
      <c r="N166" s="85" t="n">
        <v>2</v>
      </c>
      <c r="O166" s="84" t="inlineStr">
        <is>
          <t>all phases</t>
        </is>
      </c>
      <c r="P166" s="84" t="inlineStr">
        <is>
          <t>All fourteen §30 criteria demonstrated and recorded</t>
        </is>
      </c>
      <c r="Q166" s="86" t="inlineStr">
        <is>
          <t>§30</t>
        </is>
      </c>
      <c r="R166" s="111" t="inlineStr">
        <is>
          <t>2026-10-16 DONE (rcfworks, signed off by the user): SponsorX-Phase1-Acceptance.md — all 14 §30 criteria demonstrated: 1,048/1,048 backend tests in 39 files + new phase1-acceptance.test.ts (3/3); Phase 1 e2e loops green on main (CI 38857461531); Zoho live in the sandbox (2026-10-09 run). #2 SX jobs = configured by reviewed code change (user's decision). | 2026-10-09 AUDIT: NOT MET — no Phase 1 §30 acceptance record exists in the repo (Phase 2 has documentation/SponsorX-Phase2-Acceptance-Signoff.md; Phase 1 has none). §30 is in the Blueprint (Drive), not the repo. This is the work to do: the Phase 1 counterpart of that sign-off record.</t>
        </is>
      </c>
    </row>
    <row r="167" ht="23.85" customHeight="1" s="75">
      <c r="A167" s="104" t="n">
        <v>158</v>
      </c>
      <c r="B167" s="105" t="inlineStr">
        <is>
          <t>P8-INT-04</t>
        </is>
      </c>
      <c r="C167" s="81" t="n">
        <v>8</v>
      </c>
      <c r="D167" s="82" t="inlineStr">
        <is>
          <t>Integration, Hardening &amp; Launch</t>
        </is>
      </c>
      <c r="E167" s="138" t="inlineStr">
        <is>
          <t>INT</t>
        </is>
      </c>
      <c r="F167" s="120" t="inlineStr">
        <is>
          <t>Code</t>
        </is>
      </c>
      <c r="G167" s="80" t="inlineStr">
        <is>
          <t>Webhook delivery recording</t>
        </is>
      </c>
      <c r="H167" s="107" t="inlineStr">
        <is>
          <t>Log every incoming Zoho message, valid or not, so sync problems can be diagnosed.</t>
        </is>
      </c>
      <c r="I167" s="108" t="inlineStr">
        <is>
          <t>Done</t>
        </is>
      </c>
      <c r="J167" s="108" t="n">
        <v>1</v>
      </c>
      <c r="K167" s="109" t="inlineStr">
        <is>
          <t>2026-09-24</t>
        </is>
      </c>
      <c r="L167" s="109" t="inlineStr">
        <is>
          <t>2026-09-24</t>
        </is>
      </c>
      <c r="M167" s="110" t="inlineStr">
        <is>
          <t>rcfworks</t>
        </is>
      </c>
      <c r="N167" s="81" t="n">
        <v>1</v>
      </c>
      <c r="O167" s="80" t="inlineStr">
        <is>
          <t>P8-INT-03</t>
        </is>
      </c>
      <c r="P167" s="80" t="inlineStr">
        <is>
          <t>Every inbound attempt is recorded as RECEIVED / REJECTED / APPLIED, valid or not</t>
        </is>
      </c>
      <c r="Q167" s="82" t="inlineStr">
        <is>
          <t>§20</t>
        </is>
      </c>
      <c r="R167" s="111" t="inlineStr">
        <is>
          <t>2026-09-24: Every inbound attempt is a WebhookDelivery row: RECEIVED when verified and parsed; REJECTED for a bad token/channel/signature or a malformed body (both webhooks now — the invoice route used to 401 without recording); the worker then sets APPLIED, REJECTED (names nothing we know) or FAILED (retried). Secrets carried in a body are never stored. tests/zoho-webhook.test.ts on a real DB. | 2026-09-24: Done at the user's instruction — acceptance confirmed met.</t>
        </is>
      </c>
    </row>
    <row r="168" ht="23.85" customHeight="1" s="75">
      <c r="A168" s="112" t="n">
        <v>159</v>
      </c>
      <c r="B168" s="113" t="inlineStr">
        <is>
          <t>P8-FE-01</t>
        </is>
      </c>
      <c r="C168" s="85" t="n">
        <v>8</v>
      </c>
      <c r="D168" s="86" t="inlineStr">
        <is>
          <t>Integration, Hardening &amp; Launch</t>
        </is>
      </c>
      <c r="E168" s="121" t="inlineStr">
        <is>
          <t>FE</t>
        </is>
      </c>
      <c r="F168" s="122" t="inlineStr">
        <is>
          <t>Code</t>
        </is>
      </c>
      <c r="G168" s="84" t="inlineStr">
        <is>
          <t>Wire the integration health view</t>
        </is>
      </c>
      <c r="H168" s="116" t="inlineStr">
        <is>
          <t>Show sync status, failed deliveries and queue health in the admin portal.</t>
        </is>
      </c>
      <c r="I168" s="108" t="inlineStr">
        <is>
          <t>Done</t>
        </is>
      </c>
      <c r="J168" s="108" t="n">
        <v>3</v>
      </c>
      <c r="K168" s="109" t="inlineStr">
        <is>
          <t>2026-09-28</t>
        </is>
      </c>
      <c r="L168" s="109" t="inlineStr">
        <is>
          <t>2026-09-28</t>
        </is>
      </c>
      <c r="M168" s="110" t="inlineStr">
        <is>
          <t>HeckerCreatives</t>
        </is>
      </c>
      <c r="N168" s="85" t="n">
        <v>1</v>
      </c>
      <c r="O168" s="84" t="inlineStr">
        <is>
          <t>P8-INT-04</t>
        </is>
      </c>
      <c r="P168" s="84" t="inlineStr">
        <is>
          <t>Sync state, failed deliveries and queue health render in the admin portal</t>
        </is>
      </c>
      <c r="Q168" s="86" t="inlineStr">
        <is>
          <t>§23</t>
        </is>
      </c>
      <c r="R168" s="111" t="inlineStr">
        <is>
          <t>2026-09-24: dependency P8-INT-04 built (Code review) — WebhookDelivery rows and the nightly ZohoReconciliation report are what this view reads.</t>
        </is>
      </c>
    </row>
    <row r="169" ht="23.85" customHeight="1" s="75">
      <c r="A169" s="104" t="n">
        <v>160</v>
      </c>
      <c r="B169" s="105" t="inlineStr">
        <is>
          <t>P8-INT-02</t>
        </is>
      </c>
      <c r="C169" s="81" t="n">
        <v>8</v>
      </c>
      <c r="D169" s="82" t="inlineStr">
        <is>
          <t>Integration, Hardening &amp; Launch</t>
        </is>
      </c>
      <c r="E169" s="138" t="inlineStr">
        <is>
          <t>INT</t>
        </is>
      </c>
      <c r="F169" s="120" t="inlineStr">
        <is>
          <t>Code</t>
        </is>
      </c>
      <c r="G169" s="80" t="inlineStr">
        <is>
          <t>Loop prevention via origin + hash</t>
        </is>
      </c>
      <c r="H169" s="107" t="inlineStr">
        <is>
          <t>Stop the loop where your write triggers Zoho's webhook which triggers your write again. Two fields prevent it: who wrote last, and a fingerprint of what was written.</t>
        </is>
      </c>
      <c r="I169" s="108" t="inlineStr">
        <is>
          <t>Done</t>
        </is>
      </c>
      <c r="J169" s="108" t="n">
        <v>3</v>
      </c>
      <c r="K169" s="109" t="inlineStr">
        <is>
          <t>2026-09-24</t>
        </is>
      </c>
      <c r="L169" s="109" t="inlineStr">
        <is>
          <t>2026-09-24</t>
        </is>
      </c>
      <c r="M169" s="110" t="inlineStr">
        <is>
          <t>rcfworks</t>
        </is>
      </c>
      <c r="N169" s="81" t="n">
        <v>1</v>
      </c>
      <c r="O169" s="80" t="inlineStr">
        <is>
          <t>P8-INT-01</t>
        </is>
      </c>
      <c r="P169" s="80" t="inlineStr">
        <is>
          <t>A write that originated in Zoho and whose hash is unchanged is dropped as an echo — the ping-pong loop cannot start</t>
        </is>
      </c>
      <c r="Q169" s="82" t="inlineStr">
        <is>
          <t>Guide §07</t>
        </is>
      </c>
      <c r="R169" s="111" t="inlineStr">
        <is>
          <t>2026-09-24: lastSyncOrigin + lastSyncHash over one shared projection per object (zoho-mapping.ts), so a hash means the same thing in both directions. Outbound: a row Zoho wrote last with an unchanged hash is dropped as an echo; inbound: our own write coming back is dropped. Plus: a push asserts Stage only if OUR row changed since the last sync — a redelivered job cannot revert sales' stage (found by the settle test). Conflicts on both sides go to AuditLog as sync.conflict with SoR winner. Proven by tests/zoho-sync.test.ts ('left to run, push → notify → apply settles') and live: inbound of our own sandbox deal = echo. | 2026-09-24: Done at the user's instruction — acceptance confirmed met.</t>
        </is>
      </c>
    </row>
    <row r="170" ht="23.85" customHeight="1" s="75">
      <c r="A170" s="112" t="n">
        <v>161</v>
      </c>
      <c r="B170" s="113" t="inlineStr">
        <is>
          <t>P8-OPS-01</t>
        </is>
      </c>
      <c r="C170" s="85" t="n">
        <v>8</v>
      </c>
      <c r="D170" s="86" t="inlineStr">
        <is>
          <t>Integration, Hardening &amp; Launch</t>
        </is>
      </c>
      <c r="E170" s="123" t="inlineStr">
        <is>
          <t>OPS</t>
        </is>
      </c>
      <c r="F170" s="124" t="inlineStr">
        <is>
          <t>Vendor console</t>
        </is>
      </c>
      <c r="G170" s="84" t="inlineStr">
        <is>
          <t>Production readiness review</t>
        </is>
      </c>
      <c r="H170" s="116" t="inlineStr">
        <is>
          <t>Actually restore a backup. Actually trigger an alert. Actually roll back once. Untested recovery is not recovery.</t>
        </is>
      </c>
      <c r="I170" s="108" t="inlineStr">
        <is>
          <t>Done</t>
        </is>
      </c>
      <c r="J170" s="108" t="n">
        <v>3</v>
      </c>
      <c r="K170" s="109" t="n"/>
      <c r="L170" s="163" t="n">
        <v>46302</v>
      </c>
      <c r="M170" s="110" t="n"/>
      <c r="N170" s="85" t="n">
        <v>1</v>
      </c>
      <c r="O170" s="84" t="inlineStr">
        <is>
          <t>P2-OPS-11</t>
        </is>
      </c>
      <c r="P170" s="84" t="inlineStr">
        <is>
          <t>Backups verified by an actual restore; monitoring alerts tested; rollback procedure exercised once</t>
        </is>
      </c>
      <c r="Q170" s="86" t="inlineStr">
        <is>
          <t>§38</t>
        </is>
      </c>
      <c r="R170" s="111" t="inlineStr">
        <is>
          <t>RAISE OR REMOVE THE RAILWAY COMPUTE HARD LIMIT AS PART OF THIS REVIEW. It was set to $50 on 2026-09-23 and stops ALL resources when reached. Correct while there are no users — an unexpected bill is worse than staging going dark — and wrong once real athletes and sponsors depend on it, because then a self-inflicted outage costs more than the overage. Rely on the $25 email alert from that point. | 2026-10-09 AUDIT: DONE — every clause met by 2S8-OPS-01 on 2026-10-07: staging PITR restore matched live and was usable in ~9.5 min; a test alert reached Slack (health-monitor run 37584104464); rollback exercised (41 s, roll-forward 51 s). Its dependency P2-OPS-11 is Done (2026-10-08). The Railway $50 hard-limit note is carried to P8-PMO-06 (go-live), where real users first depend on it.</t>
        </is>
      </c>
    </row>
    <row r="171" ht="22.35" customHeight="1" s="75">
      <c r="A171" s="104" t="n">
        <v>162</v>
      </c>
      <c r="B171" s="105" t="inlineStr">
        <is>
          <t>P8-QA-02</t>
        </is>
      </c>
      <c r="C171" s="81" t="n">
        <v>8</v>
      </c>
      <c r="D171" s="82" t="inlineStr">
        <is>
          <t>Integration, Hardening &amp; Launch</t>
        </is>
      </c>
      <c r="E171" s="135" t="inlineStr">
        <is>
          <t>QA</t>
        </is>
      </c>
      <c r="F171" s="120" t="inlineStr">
        <is>
          <t>Code</t>
        </is>
      </c>
      <c r="G171" s="80" t="inlineStr">
        <is>
          <t>Write and run UAT scripts (§38 deliverable)</t>
        </is>
      </c>
      <c r="H171" s="107" t="inlineStr">
        <is>
          <t>Write and run user acceptance scripts for athlete, sponsor, admin and fan, with real pilot users on staging.</t>
        </is>
      </c>
      <c r="I171" s="108" t="inlineStr">
        <is>
          <t>Done</t>
        </is>
      </c>
      <c r="J171" s="108" t="n">
        <v>5</v>
      </c>
      <c r="K171" s="109" t="n">
        <v>46311</v>
      </c>
      <c r="L171" s="109" t="n">
        <v>46311</v>
      </c>
      <c r="M171" s="110" t="inlineStr">
        <is>
          <t>rcfworks</t>
        </is>
      </c>
      <c r="N171" s="81" t="n">
        <v>1</v>
      </c>
      <c r="O171" s="80" t="inlineStr">
        <is>
          <t>P8-QA-01</t>
        </is>
      </c>
      <c r="P171" s="80" t="inlineStr">
        <is>
          <t>Scripts exist for athlete, sponsor, admin and fan journeys; run with real pilot users on staging</t>
        </is>
      </c>
      <c r="Q171" s="82" t="inlineStr">
        <is>
          <t>§29 Sprint 7, §38</t>
        </is>
      </c>
      <c r="R171" s="111" t="inlineStr">
        <is>
          <t>2026-10-16 DONE (rcfworks, the user's decision): scripts in SponsorX-Phase1-UAT-Scripts.md (28 steps, mapped to §30). The run is met by Phase 2's simulated-user run on staging (2026-10-09: sign-up, Zoho, cross-tenant) plus the daily e2e loops in CI (application, matching, delivery, QR reward, earnings and report). Scripts stay ready for BTG's real pilot.</t>
        </is>
      </c>
    </row>
    <row r="172" ht="23.85" customHeight="1" s="75">
      <c r="A172" s="112" t="n">
        <v>163</v>
      </c>
      <c r="B172" s="113" t="inlineStr">
        <is>
          <t>P8-SEC-01</t>
        </is>
      </c>
      <c r="C172" s="85" t="n">
        <v>8</v>
      </c>
      <c r="D172" s="86" t="inlineStr">
        <is>
          <t>Integration, Hardening &amp; Launch</t>
        </is>
      </c>
      <c r="E172" s="142" t="inlineStr">
        <is>
          <t>SEC</t>
        </is>
      </c>
      <c r="F172" s="122" t="inlineStr">
        <is>
          <t>Code</t>
        </is>
      </c>
      <c r="G172" s="84" t="inlineStr">
        <is>
          <t>Complete the authorisation matrix</t>
        </is>
      </c>
      <c r="H172" s="116" t="inlineStr">
        <is>
          <t>Add permission test rows for every resource built across the whole project, and make the suite a required check.</t>
        </is>
      </c>
      <c r="I172" s="108" t="inlineStr">
        <is>
          <t>Done</t>
        </is>
      </c>
      <c r="J172" s="108" t="n">
        <v>3</v>
      </c>
      <c r="K172" s="109" t="inlineStr">
        <is>
          <t>2026-09-24</t>
        </is>
      </c>
      <c r="L172" s="109" t="inlineStr">
        <is>
          <t>2026-09-24</t>
        </is>
      </c>
      <c r="M172" s="110" t="inlineStr">
        <is>
          <t>rcfworks</t>
        </is>
      </c>
      <c r="N172" s="85" t="n">
        <v>1</v>
      </c>
      <c r="O172" s="84" t="inlineStr">
        <is>
          <t>all phase BE tasks</t>
        </is>
      </c>
      <c r="P172" s="84" t="inlineStr">
        <is>
          <t>Every resource added across Phases 3–7 has its rows; the suite is a required CI check</t>
        </is>
      </c>
      <c r="Q172" s="86" t="inlineStr">
        <is>
          <t>§30, Guide §09</t>
        </is>
      </c>
      <c r="R172" s="111" t="inlineStr">
        <is>
          <t>2026-09-24: Matrix completed: new resources inquiry and syncTask (BTG-side only) in RBAC-Matrix §11 and policy.ts; digest f6af9e4293912f8b — with the two removed it still hashes to 441c358e69d81f98, so nothing else moved. tests/authz.coverage.test.ts fails if any Prisma model lacks a governing resource (or an explicit internal reason). Runs in CI on every push and PR. NOTE: 'required' check in the GitHub branch-protection sense cannot be switched on — this private repo on a Free personal account has no branch protection or rulesets (needs GitHub Pro); it is required by discipline, and a red suite fails the PR's CI run. | 2026-09-24: Done at the user's instruction — acceptance confirmed met.</t>
        </is>
      </c>
    </row>
    <row r="173" ht="23.85" customHeight="1" s="75">
      <c r="A173" s="104" t="n">
        <v>164</v>
      </c>
      <c r="B173" s="105" t="inlineStr">
        <is>
          <t>P8-DATA-01</t>
        </is>
      </c>
      <c r="C173" s="81" t="n">
        <v>8</v>
      </c>
      <c r="D173" s="82" t="inlineStr">
        <is>
          <t>Integration, Hardening &amp; Launch</t>
        </is>
      </c>
      <c r="E173" s="143" t="inlineStr">
        <is>
          <t>DATA</t>
        </is>
      </c>
      <c r="F173" s="120" t="inlineStr">
        <is>
          <t>Code</t>
        </is>
      </c>
      <c r="G173" s="80" t="inlineStr">
        <is>
          <t>Seed the staging pilot cohort</t>
        </is>
      </c>
      <c r="H173" s="107" t="inlineStr">
        <is>
          <t>Load the real first-25 athletes and first sponsors into staging so user testing is realistic.</t>
        </is>
      </c>
      <c r="I173" s="108" t="inlineStr">
        <is>
          <t>Done</t>
        </is>
      </c>
      <c r="J173" s="108" t="n">
        <v>3</v>
      </c>
      <c r="K173" s="109" t="inlineStr">
        <is>
          <t>2026-09-24</t>
        </is>
      </c>
      <c r="L173" s="109" t="inlineStr">
        <is>
          <t>2026-09-24</t>
        </is>
      </c>
      <c r="M173" s="110" t="inlineStr">
        <is>
          <t>rcfworks</t>
        </is>
      </c>
      <c r="N173" s="81" t="n"/>
      <c r="O173" s="80" t="inlineStr">
        <is>
          <t>P3-DATA-01</t>
        </is>
      </c>
      <c r="P173" s="80" t="inlineStr">
        <is>
          <t>A representative, SIMULATED 25-athlete cohort and first sponsors exist in staging for UAT; the real cohort replaces it at launch through the same cohort:import path (amended 2026-09-24 — was 'the real first-25')</t>
        </is>
      </c>
      <c r="Q173" s="82" t="inlineStr">
        <is>
          <t>§36</t>
        </is>
      </c>
      <c r="R173" s="111" t="inlineStr">
        <is>
          <t>2026-09-24: Needs the REAL first-25 athlete cohort file (and first sponsors) from the user — cannot be invented. The tool is ready: `npm run cohort:import` (P3-DATA-01, Code review) ran on staging 2026-09-24 with 25 synthetic rows. Sponsors: the Zoho backfill (P8-INT-07) imports existing Zoho accounts into staging. | 2026-09-24: AC AMENDED by user decision ('whatever we can simulate, we simulate' — two-person team). DONE ON STAGING: backend/scripts/pilot-cohort-simulated.csv (25 athletes, 5 minors 16_17, DMV states, 8 sports, fictional schools, @example.com, fingerprint fdd733f3edbf) imported via cohort:import → 25 created, SUBMITTED in the review queue. The 25 synthetic pilot.* rows from the P3-DATA-01 test run were removed first. Sponsors: 5 fictional local businesses + contacts created in the SponsorX-Dev Zoho sandbox and pulled into staging by the backfill (5 + 5 created) — alongside the 10 Zoho sample accounts. | 2026-09-24: Done at the user's instruction — acceptance confirmed met.</t>
        </is>
      </c>
    </row>
    <row r="174" ht="35.05" customHeight="1" s="75">
      <c r="A174" s="112" t="n">
        <v>165</v>
      </c>
      <c r="B174" s="113" t="inlineStr">
        <is>
          <t>P8-FE-02</t>
        </is>
      </c>
      <c r="C174" s="85" t="n">
        <v>8</v>
      </c>
      <c r="D174" s="86" t="inlineStr">
        <is>
          <t>Integration, Hardening &amp; Launch</t>
        </is>
      </c>
      <c r="E174" s="121" t="inlineStr">
        <is>
          <t>FE</t>
        </is>
      </c>
      <c r="F174" s="122" t="inlineStr">
        <is>
          <t>Code</t>
        </is>
      </c>
      <c r="G174" s="84" t="inlineStr">
        <is>
          <t>Wire the audit log view</t>
        </is>
      </c>
      <c r="H174" s="116" t="inlineStr">
        <is>
          <t>Make the audit log browsable and filterable by record and by person.</t>
        </is>
      </c>
      <c r="I174" s="108" t="inlineStr">
        <is>
          <t>Done</t>
        </is>
      </c>
      <c r="J174" s="108" t="n">
        <v>3</v>
      </c>
      <c r="K174" s="109" t="inlineStr">
        <is>
          <t>2026-09-28</t>
        </is>
      </c>
      <c r="L174" s="109" t="inlineStr">
        <is>
          <t>2026-09-28</t>
        </is>
      </c>
      <c r="M174" s="110" t="inlineStr">
        <is>
          <t>HeckerCreatives</t>
        </is>
      </c>
      <c r="N174" s="85" t="n"/>
      <c r="O174" s="84" t="inlineStr">
        <is>
          <t>P2-BE-06</t>
        </is>
      </c>
      <c r="P174" s="84" t="inlineStr">
        <is>
          <t>Critical mutation history is browsable and filterable by entity and actor</t>
        </is>
      </c>
      <c r="Q174" s="86" t="inlineStr">
        <is>
          <t>§23, §30</t>
        </is>
      </c>
      <c r="R174" s="111" t="n"/>
    </row>
    <row r="175" ht="23.85" customHeight="1" s="75">
      <c r="A175" s="104" t="n">
        <v>166</v>
      </c>
      <c r="B175" s="105" t="inlineStr">
        <is>
          <t>P8-INT-05</t>
        </is>
      </c>
      <c r="C175" s="81" t="n">
        <v>8</v>
      </c>
      <c r="D175" s="82" t="inlineStr">
        <is>
          <t>Integration, Hardening &amp; Launch</t>
        </is>
      </c>
      <c r="E175" s="138" t="inlineStr">
        <is>
          <t>INT</t>
        </is>
      </c>
      <c r="F175" s="120" t="inlineStr">
        <is>
          <t>Code</t>
        </is>
      </c>
      <c r="G175" s="80" t="inlineStr">
        <is>
          <t>Zoho reconciliation job</t>
        </is>
      </c>
      <c r="H175" s="107" t="inlineStr">
        <is>
          <t>A scheduled job that compares both systems and reports differences instead of letting them drift silently.</t>
        </is>
      </c>
      <c r="I175" s="108" t="inlineStr">
        <is>
          <t>Done</t>
        </is>
      </c>
      <c r="J175" s="108" t="n">
        <v>3</v>
      </c>
      <c r="K175" s="109" t="inlineStr">
        <is>
          <t>2026-09-24</t>
        </is>
      </c>
      <c r="L175" s="109" t="inlineStr">
        <is>
          <t>2026-09-24</t>
        </is>
      </c>
      <c r="M175" s="110" t="inlineStr">
        <is>
          <t>rcfworks</t>
        </is>
      </c>
      <c r="N175" s="81" t="n"/>
      <c r="O175" s="80" t="inlineStr">
        <is>
          <t>P8-INT-02</t>
        </is>
      </c>
      <c r="P175" s="80" t="inlineStr">
        <is>
          <t>A scheduled job detects and reports drift between the two systems rather than silently diverging</t>
        </is>
      </c>
      <c r="Q175" s="82" t="inlineStr">
        <is>
          <t>§18</t>
        </is>
      </c>
      <c r="R175" s="111" t="inlineStr">
        <is>
          <t>2026-09-24: Nightly (hourly sweep, once a day per tenant) reconcile() pages each module by SponsorX_ID and REPORTS — never repairs — missingInZoho, unknownInSponsorX and diverged fields; one ZohoReconciliation row per module + a worker log line. COQL cannot select on the external field (is not null / like refused — found live), so it pages the records API. Tests: drift of all three kinds detected, nothing on either side changed. Ran live against the sandbox: zero drift. | 2026-09-24: Done at the user's instruction — acceptance confirmed met.</t>
        </is>
      </c>
    </row>
    <row r="176" ht="23.85" customHeight="1" s="75">
      <c r="A176" s="112" t="n">
        <v>167</v>
      </c>
      <c r="B176" s="113" t="inlineStr">
        <is>
          <t>P8-INT-06</t>
        </is>
      </c>
      <c r="C176" s="85" t="n">
        <v>8</v>
      </c>
      <c r="D176" s="86" t="inlineStr">
        <is>
          <t>Integration, Hardening &amp; Launch</t>
        </is>
      </c>
      <c r="E176" s="141" t="inlineStr">
        <is>
          <t>INT</t>
        </is>
      </c>
      <c r="F176" s="122" t="inlineStr">
        <is>
          <t>Code</t>
        </is>
      </c>
      <c r="G176" s="84" t="inlineStr">
        <is>
          <t>Lead and renewal push</t>
        </is>
      </c>
      <c r="H176" s="116" t="inlineStr">
        <is>
          <t>New enquiries become Zoho leads; finished campaigns become renewal opportunities.</t>
        </is>
      </c>
      <c r="I176" s="108" t="inlineStr">
        <is>
          <t>Done</t>
        </is>
      </c>
      <c r="J176" s="108" t="n">
        <v>3</v>
      </c>
      <c r="K176" s="109" t="inlineStr">
        <is>
          <t>2026-09-24</t>
        </is>
      </c>
      <c r="L176" s="109" t="inlineStr">
        <is>
          <t>2026-09-24</t>
        </is>
      </c>
      <c r="M176" s="110" t="inlineStr">
        <is>
          <t>rcfworks</t>
        </is>
      </c>
      <c r="N176" s="85" t="n"/>
      <c r="O176" s="84" t="inlineStr">
        <is>
          <t>P8-INT-01</t>
        </is>
      </c>
      <c r="P176" s="84" t="inlineStr">
        <is>
          <t>Inquiries create Zoho Leads; campaign closure creates a renewal Deal</t>
        </is>
      </c>
      <c r="Q176" s="86" t="inlineStr">
        <is>
          <t>§18, §13 step 12</t>
        </is>
      </c>
      <c r="R176" s="111" t="inlineStr">
        <is>
          <t>2026-09-24: New Inquiry model + public POST /api/v1/public/inquiries (rate-limited) → zoho.pushLead → Zoho Lead (Lead_Source from the org's real picklist). Campaign COMPLETED → zoho.pushRenewal → second Deal keyed renewal:&lt;id&gt;, Qualification, Existing Business, one-way; plus a RENEWAL task on it. Sponsor enquiries only — fan lead capture stays Phase 2 (2S6-INT-03). Proven in tests and live in the sandbox (Lead, renewal Deal and renewal Task created, then deleted). No frontend form yet — wiring one is FE work. | 2026-09-24: Done at the user's instruction — acceptance confirmed met.</t>
        </is>
      </c>
    </row>
    <row r="177" ht="23.85" customHeight="1" s="75">
      <c r="A177" s="104" t="n">
        <v>168</v>
      </c>
      <c r="B177" s="105" t="inlineStr">
        <is>
          <t>P8-INT-07</t>
        </is>
      </c>
      <c r="C177" s="81" t="n">
        <v>8</v>
      </c>
      <c r="D177" s="82" t="inlineStr">
        <is>
          <t>Integration, Hardening &amp; Launch</t>
        </is>
      </c>
      <c r="E177" s="138" t="inlineStr">
        <is>
          <t>INT</t>
        </is>
      </c>
      <c r="F177" s="120" t="inlineStr">
        <is>
          <t>Code</t>
        </is>
      </c>
      <c r="G177" s="80" t="inlineStr">
        <is>
          <t>Zoho backfill importer job</t>
        </is>
      </c>
      <c r="H177" s="107" t="inlineStr">
        <is>
          <t>Import existing Zoho records as a repeatable job. You will run it more than once.</t>
        </is>
      </c>
      <c r="I177" s="108" t="inlineStr">
        <is>
          <t>Done</t>
        </is>
      </c>
      <c r="J177" s="108" t="n">
        <v>3</v>
      </c>
      <c r="K177" s="109" t="inlineStr">
        <is>
          <t>2026-09-24</t>
        </is>
      </c>
      <c r="L177" s="109" t="inlineStr">
        <is>
          <t>2026-09-24</t>
        </is>
      </c>
      <c r="M177" s="110" t="inlineStr">
        <is>
          <t>rcfworks</t>
        </is>
      </c>
      <c r="N177" s="81" t="n"/>
      <c r="O177" s="80" t="inlineStr">
        <is>
          <t>P8-INT-01</t>
        </is>
      </c>
      <c r="P177" s="80" t="inlineStr">
        <is>
          <t>Existing Zoho records import as a job, run against staging first, and the job is kept — it will run more than once</t>
        </is>
      </c>
      <c r="Q177" s="82" t="inlineStr">
        <is>
          <t>Guide §10</t>
        </is>
      </c>
      <c r="R177" s="111" t="inlineStr">
        <is>
          <t>2026-09-24: BUILT, NOT YET RUN ON STAGING. zoho.backfill job (kept, re-runnable): Users → zohoUserId by email, Accounts → sponsors, Contacts → sponsor contacts; writes our SponsorX_ID back so later pushes dedupe onto the imported record; skips records carrying another environment's SponsorX_ID; 250ms between calls. `npm run zoho:backfill -w @sponsorx/backend`; production refuses without --confirm-production. Tests prove idempotence (re-run creates nothing). Staging already holds the SponsorX-Dev sandbox token (ZOHO_EXPECTED_ORG_ID pinned). NEXT: after merge to main deploys staging, run it there via railway ssh, then Code review — same path P3-DATA-01 took. | 2026-09-24: RUN ON STAGING after #45 deployed — against the SponsorX-Dev sandbox: 10 Accounts → sponsors, 10 Contacts → contacts, our SponsorX_ID written back; a second run created 0 (kept, re-runnable). Users step linked 0 (no staging user shares a Zoho user's email). Same deploy proved P8-INT-03 live: a sandbox account renamed via API reached POST /webhooks/zoho/crm, recorded APPLIED, sponsor renamed with origin ZOHO. | 2026-09-24: Done at the user's instruction — acceptance confirmed met.</t>
        </is>
      </c>
    </row>
    <row r="178" ht="23.85" customHeight="1" s="75">
      <c r="A178" s="112" t="n">
        <v>169</v>
      </c>
      <c r="B178" s="113" t="inlineStr">
        <is>
          <t>P8-OPS-02</t>
        </is>
      </c>
      <c r="C178" s="85" t="n">
        <v>8</v>
      </c>
      <c r="D178" s="86" t="inlineStr">
        <is>
          <t>Integration, Hardening &amp; Launch</t>
        </is>
      </c>
      <c r="E178" s="123" t="inlineStr">
        <is>
          <t>OPS</t>
        </is>
      </c>
      <c r="F178" s="122" t="inlineStr">
        <is>
          <t>Code</t>
        </is>
      </c>
      <c r="G178" s="84" t="inlineStr">
        <is>
          <t>Load-test the fan QR surface</t>
        </is>
      </c>
      <c r="H178" s="116" t="inlineStr">
        <is>
          <t>Load-test the fan redeem page. If it struggles, that is the signal to reconsider the hosting choice for that one page.</t>
        </is>
      </c>
      <c r="I178" s="108" t="inlineStr">
        <is>
          <t>Done</t>
        </is>
      </c>
      <c r="J178" s="108" t="n">
        <v>3</v>
      </c>
      <c r="K178" s="109" t="inlineStr">
        <is>
          <t>2026-09-24</t>
        </is>
      </c>
      <c r="L178" s="109" t="inlineStr">
        <is>
          <t>2026-09-25</t>
        </is>
      </c>
      <c r="M178" s="110" t="inlineStr">
        <is>
          <t>rcfworks</t>
        </is>
      </c>
      <c r="N178" s="85" t="n"/>
      <c r="O178" s="84" t="inlineStr">
        <is>
          <t>P6-FE-02</t>
        </is>
      </c>
      <c r="P178" s="84" t="inlineStr">
        <is>
          <t>Burst traffic on the redeem page is characterised; the Cloudflare Workers revisit trigger is either fired or explicitly deferred with data</t>
        </is>
      </c>
      <c r="Q178" s="86" t="inlineStr">
        <is>
          <t>Addendum A10</t>
        </is>
      </c>
      <c r="R178" s="111" t="inlineStr">
        <is>
          <t>2026-09-24: Target built (P6-FE-02, script-free route handler). Load test runs against STAGING once this batch deploys (merge to main), then the result and the Cloudflare Workers decision (A10) are recorded here. | 2026-09-25: DONE ON STAGING — documentation/SponsorX-Fan-QR-Load-Test.md. autocannon bursts of 1/25/50/100/200 simultaneous fans on /r/&lt;token&gt;: up to 537 loads/s, 0 errors of 16,116, median ~355 ms (the Manila→Singapore edge→Virginia round trip), slowest 2.5% 480 ms. Cloudflare Workers trigger DEFERRED with data: threshold set (slowest 2.5% &gt;800 ms or &gt;1% errors at expected peak ~25 loads/s); tested &gt;20× peak. FOUND AND FIXED (#64/#65): rate limits keyed on Railway's edge node, not the fan — a 50-fan burst had 75% refused; now X-Real-IP, verified unspoofable and per-fan (120 served, then refused). | 2026-09-25: Done at the user's instruction — both acceptance clauses met (burst characterised; Workers trigger explicitly deferred with data).</t>
        </is>
      </c>
    </row>
    <row r="179" ht="23.85" customHeight="1" s="75">
      <c r="A179" s="104" t="n">
        <v>170</v>
      </c>
      <c r="B179" s="105" t="inlineStr">
        <is>
          <t>P8-PMO-01</t>
        </is>
      </c>
      <c r="C179" s="81" t="n">
        <v>8</v>
      </c>
      <c r="D179" s="82" t="inlineStr">
        <is>
          <t>Integration, Hardening &amp; Launch</t>
        </is>
      </c>
      <c r="E179" s="104" t="inlineStr">
        <is>
          <t>PMO</t>
        </is>
      </c>
      <c r="F179" s="120" t="inlineStr">
        <is>
          <t>Code</t>
        </is>
      </c>
      <c r="G179" s="80" t="inlineStr">
        <is>
          <t>Produce the OpenAPI specification (§38 deliverable)</t>
        </is>
      </c>
      <c r="H179" s="107" t="inlineStr">
        <is>
          <t>Publish the generated API specification covering every endpoint.</t>
        </is>
      </c>
      <c r="I179" s="108" t="inlineStr">
        <is>
          <t>Done</t>
        </is>
      </c>
      <c r="J179" s="108" t="n">
        <v>1</v>
      </c>
      <c r="K179" s="109" t="inlineStr">
        <is>
          <t>2026-09-24</t>
        </is>
      </c>
      <c r="L179" s="109" t="inlineStr">
        <is>
          <t>2026-09-24</t>
        </is>
      </c>
      <c r="M179" s="110" t="inlineStr">
        <is>
          <t>rcfworks</t>
        </is>
      </c>
      <c r="N179" s="81" t="n"/>
      <c r="O179" s="80" t="inlineStr">
        <is>
          <t>P2-BE-07</t>
        </is>
      </c>
      <c r="P179" s="80" t="inlineStr">
        <is>
          <t>openapi.json is complete, generated from Zod contracts, and covers every /api/v1 endpoint</t>
        </is>
      </c>
      <c r="Q179" s="82" t="inlineStr">
        <is>
          <t>§38, Addendum A2</t>
        </is>
      </c>
      <c r="R179" s="111" t="inlineStr">
        <is>
          <t>All 70 /api/v1 operations registered from the Zod contracts (request bodies are the schemas handlers parse). backend/tests/openapi.coverage.test.ts walks the live Express routers and fails on any undocumented route or phantom path. | 2026-09-24: Done at the user's instruction — acceptance confirmed met.</t>
        </is>
      </c>
    </row>
    <row r="180" ht="23.85" customHeight="1" s="75">
      <c r="A180" s="112" t="n">
        <v>171</v>
      </c>
      <c r="B180" s="113" t="inlineStr">
        <is>
          <t>P8-PMO-02</t>
        </is>
      </c>
      <c r="C180" s="85" t="n">
        <v>8</v>
      </c>
      <c r="D180" s="86" t="inlineStr">
        <is>
          <t>Integration, Hardening &amp; Launch</t>
        </is>
      </c>
      <c r="E180" s="112" t="inlineStr">
        <is>
          <t>PMO</t>
        </is>
      </c>
      <c r="F180" s="130" t="inlineStr">
        <is>
          <t>Document</t>
        </is>
      </c>
      <c r="G180" s="84" t="inlineStr">
        <is>
          <t>Write the admin user guide (§38 deliverable)</t>
        </is>
      </c>
      <c r="H180" s="116" t="inlineStr">
        <is>
          <t>Write the guide BTG staff use to run the admin workspaces day to day.</t>
        </is>
      </c>
      <c r="I180" s="108" t="inlineStr">
        <is>
          <t>Done</t>
        </is>
      </c>
      <c r="J180" s="108" t="n">
        <v>3</v>
      </c>
      <c r="K180" s="109" t="inlineStr">
        <is>
          <t>2026-09-28</t>
        </is>
      </c>
      <c r="L180" s="109" t="inlineStr">
        <is>
          <t>2026-09-28</t>
        </is>
      </c>
      <c r="M180" s="110" t="inlineStr">
        <is>
          <t>HeckerCreatives</t>
        </is>
      </c>
      <c r="N180" s="85" t="n"/>
      <c r="O180" s="84" t="inlineStr">
        <is>
          <t>P8-FE-01</t>
        </is>
      </c>
      <c r="P180" s="84" t="inlineStr">
        <is>
          <t>BTG staff can operate every admin workspace from the guide alone</t>
        </is>
      </c>
      <c r="Q180" s="86" t="inlineStr">
        <is>
          <t>§38</t>
        </is>
      </c>
      <c r="R180" s="111" t="n"/>
    </row>
    <row r="181" ht="23.85" customHeight="1" s="75">
      <c r="A181" s="104" t="n">
        <v>172</v>
      </c>
      <c r="B181" s="105" t="inlineStr">
        <is>
          <t>P8-PMO-03</t>
        </is>
      </c>
      <c r="C181" s="81" t="n">
        <v>8</v>
      </c>
      <c r="D181" s="82" t="inlineStr">
        <is>
          <t>Integration, Hardening &amp; Launch</t>
        </is>
      </c>
      <c r="E181" s="104" t="inlineStr">
        <is>
          <t>PMO</t>
        </is>
      </c>
      <c r="F181" s="106" t="inlineStr">
        <is>
          <t>Document</t>
        </is>
      </c>
      <c r="G181" s="80" t="inlineStr">
        <is>
          <t>Write the Phase 2–4 module interface and migration plan (§38)</t>
        </is>
      </c>
      <c r="H181" s="107" t="inlineStr">
        <is>
          <t>Document the seams Phase 2 will extend — listings, carts, payments, payouts, wallet — so it is an extension, not a rewrite.</t>
        </is>
      </c>
      <c r="I181" s="108" t="inlineStr">
        <is>
          <t>Done</t>
        </is>
      </c>
      <c r="J181" s="108" t="n">
        <v>3</v>
      </c>
      <c r="K181" s="109" t="inlineStr">
        <is>
          <t>2026-09-28</t>
        </is>
      </c>
      <c r="L181" s="109" t="inlineStr">
        <is>
          <t>2026-09-28</t>
        </is>
      </c>
      <c r="M181" s="110" t="inlineStr">
        <is>
          <t>HeckerCreatives</t>
        </is>
      </c>
      <c r="N181" s="81" t="n"/>
      <c r="O181" s="80" t="n"/>
      <c r="P181" s="80" t="inlineStr">
        <is>
          <t>The seams Phase 2 will extend are documented — listings, carts, payments, payouts, Wallet</t>
        </is>
      </c>
      <c r="Q181" s="82" t="inlineStr">
        <is>
          <t>§32, §38</t>
        </is>
      </c>
      <c r="R181" s="111" t="n"/>
    </row>
    <row r="182" ht="35.05" customHeight="1" s="75">
      <c r="A182" s="112" t="n">
        <v>173</v>
      </c>
      <c r="B182" s="113" t="inlineStr">
        <is>
          <t>P8-PMO-04</t>
        </is>
      </c>
      <c r="C182" s="85" t="n">
        <v>8</v>
      </c>
      <c r="D182" s="86" t="inlineStr">
        <is>
          <t>Integration, Hardening &amp; Launch</t>
        </is>
      </c>
      <c r="E182" s="112" t="inlineStr">
        <is>
          <t>PMO</t>
        </is>
      </c>
      <c r="F182" s="130" t="inlineStr">
        <is>
          <t>Document</t>
        </is>
      </c>
      <c r="G182" s="84" t="inlineStr">
        <is>
          <t>Write the INFINEX API and event specification (§38)</t>
        </is>
      </c>
      <c r="H182" s="116" t="inlineStr">
        <is>
          <t>Document the Phase 4 virtual-inventory data contract now, so campaigns and inventory never need redesigning for it.</t>
        </is>
      </c>
      <c r="I182" s="108" t="inlineStr">
        <is>
          <t>Done</t>
        </is>
      </c>
      <c r="J182" s="108" t="n">
        <v>3</v>
      </c>
      <c r="K182" s="109" t="inlineStr">
        <is>
          <t>2026-09-28</t>
        </is>
      </c>
      <c r="L182" s="109" t="inlineStr">
        <is>
          <t>2026-09-28</t>
        </is>
      </c>
      <c r="M182" s="110" t="inlineStr">
        <is>
          <t>HeckerCreatives</t>
        </is>
      </c>
      <c r="N182" s="85" t="n"/>
      <c r="O182" s="84" t="n"/>
      <c r="P182" s="84" t="inlineStr">
        <is>
          <t>The Phase 4 data contract is anticipated so campaigns and inventory need no redesign</t>
        </is>
      </c>
      <c r="Q182" s="86" t="inlineStr">
        <is>
          <t>§25, §38</t>
        </is>
      </c>
      <c r="R182" s="111" t="n"/>
    </row>
    <row r="183" ht="35.05" customHeight="1" s="75">
      <c r="A183" s="104" t="n">
        <v>174</v>
      </c>
      <c r="B183" s="105" t="inlineStr">
        <is>
          <t>P8-PMO-05</t>
        </is>
      </c>
      <c r="C183" s="81" t="n">
        <v>8</v>
      </c>
      <c r="D183" s="82" t="inlineStr">
        <is>
          <t>Integration, Hardening &amp; Launch</t>
        </is>
      </c>
      <c r="E183" s="104" t="inlineStr">
        <is>
          <t>PMO</t>
        </is>
      </c>
      <c r="F183" s="106" t="inlineStr">
        <is>
          <t>Document</t>
        </is>
      </c>
      <c r="G183" s="80" t="inlineStr">
        <is>
          <t>Developer handoff documentation (§38 deliverable)</t>
        </is>
      </c>
      <c r="H183" s="107" t="inlineStr">
        <is>
          <t>Write what a brand-new developer needs to run the project locally and ship their first change.</t>
        </is>
      </c>
      <c r="I183" s="108" t="inlineStr">
        <is>
          <t>Done</t>
        </is>
      </c>
      <c r="J183" s="108" t="n">
        <v>3</v>
      </c>
      <c r="K183" s="109" t="inlineStr">
        <is>
          <t>2026-10-02</t>
        </is>
      </c>
      <c r="L183" s="109" t="n">
        <v>46303</v>
      </c>
      <c r="M183" s="110" t="inlineStr">
        <is>
          <t>HeckerCreatives</t>
        </is>
      </c>
      <c r="N183" s="81" t="n"/>
      <c r="O183" s="80" t="inlineStr">
        <is>
          <t>all phases</t>
        </is>
      </c>
      <c r="P183" s="80" t="inlineStr">
        <is>
          <t>A developer who has never seen the project can run it locally and ship a change</t>
        </is>
      </c>
      <c r="Q183" s="82" t="inlineStr">
        <is>
          <t>§38</t>
        </is>
      </c>
      <c r="R183" s="111" t="inlineStr">
        <is>
          <t>2026-10-02 (HeckerCreatives, via Claude): Written: documentation/SponsorX-Developer-Handoff.md, plus npm run db:test (scripts/setup-test-db.mjs — the CI test database in one command, no psql). Verified by following it in a fresh clone: npm ci (39 s), env files, prisma generate + migrate, API /health 200, worker seeded (7 NIL jobs, 12 packages, 14 logins), web 200, frontend 958 + backend 2,155 tests green, lint + build green. Following it found and fixed: prisma:deploy ignored the root .env; frontend/.env.example named two variables nothing reads. NOT completed: the first sign-in — the Clerk development instance is at its 100-user cap ('user quota exceeded'), so no new identity can be created. Code review rather than Done until a person who has never seen the project follows it, and the Clerk cap is cleared. Moved to Done by the owner 2026-10-08.</t>
        </is>
      </c>
    </row>
    <row r="184" ht="23.85" customHeight="1" s="75">
      <c r="A184" s="112" t="n">
        <v>175</v>
      </c>
      <c r="B184" s="113" t="inlineStr">
        <is>
          <t>P8-PMO-06</t>
        </is>
      </c>
      <c r="C184" s="85" t="n">
        <v>8</v>
      </c>
      <c r="D184" s="86" t="inlineStr">
        <is>
          <t>Integration, Hardening &amp; Launch</t>
        </is>
      </c>
      <c r="E184" s="112" t="inlineStr">
        <is>
          <t>PMO</t>
        </is>
      </c>
      <c r="F184" s="130" t="inlineStr">
        <is>
          <t>Document</t>
        </is>
      </c>
      <c r="G184" s="84" t="inlineStr">
        <is>
          <t>Production go/no-go review</t>
        </is>
      </c>
      <c r="H184" s="116" t="inlineStr">
        <is>
          <t>The formal sign-off that the pre-pilot and pre-sponsor-pilot conditions are met and you are going live.</t>
        </is>
      </c>
      <c r="I184" s="108" t="inlineStr">
        <is>
          <t>In progress</t>
        </is>
      </c>
      <c r="J184" s="108" t="n">
        <v>1</v>
      </c>
      <c r="K184" s="163" t="n">
        <v>46315</v>
      </c>
      <c r="L184" s="109" t="n"/>
      <c r="M184" s="110" t="inlineStr">
        <is>
          <t>rcfworks</t>
        </is>
      </c>
      <c r="N184" s="85" t="n">
        <v>1</v>
      </c>
      <c r="O184" s="84" t="inlineStr">
        <is>
          <t>P8-QA-02, P8-OPS-01</t>
        </is>
      </c>
      <c r="P184" s="84" t="inlineStr">
        <is>
          <t>§37's pre-pilot and pre-sponsor-pilot gates formally signed off</t>
        </is>
      </c>
      <c r="Q184" s="86" t="inlineStr">
        <is>
          <t>§37</t>
        </is>
      </c>
      <c r="R184" s="111" t="inlineStr">
        <is>
          <t>2026-10-20 (rcfworks): DRAFT, decision pending — documentation/SponsorX-Go-No-Go-Review.md. Software ready (Phases 1–4 signed off). Athlete-pilot and sponsor-pilot gates wait on counsel (P0-LEG-01…06, 2S0-LEG-01/02, 3S0-LEG-01); owner's production switches listed (Stripe live, Zoho keys, Clerk Pro MFA, edge key, GeoLite, email domain). Recommendation: no-go for real outside users until counsel answers; production readiness + BTG-internal dry run meanwhile. | 2026-10-09 AUDIT: Carried from P8-OPS-01: at go-live, raise or remove the Railway compute hard limit ($50, set 2026-09-23, stops ALL resources) and rely on the $25 email alert — a self-inflicted outage costs more than the overage once real users depend on it.</t>
        </is>
      </c>
    </row>
    <row r="185" ht="23.85" customHeight="1" s="75">
      <c r="A185" s="104" t="n">
        <v>176</v>
      </c>
      <c r="B185" s="105" t="inlineStr">
        <is>
          <t>P8-QA-03</t>
        </is>
      </c>
      <c r="C185" s="81" t="n">
        <v>8</v>
      </c>
      <c r="D185" s="82" t="inlineStr">
        <is>
          <t>Integration, Hardening &amp; Launch</t>
        </is>
      </c>
      <c r="E185" s="135" t="inlineStr">
        <is>
          <t>QA</t>
        </is>
      </c>
      <c r="F185" s="120" t="inlineStr">
        <is>
          <t>Code</t>
        </is>
      </c>
      <c r="G185" s="80" t="inlineStr">
        <is>
          <t>Regression suite consolidation</t>
        </is>
      </c>
      <c r="H185" s="107" t="inlineStr">
        <is>
          <t>Gather every end-to-end test from across the project into one suite that runs in CI.</t>
        </is>
      </c>
      <c r="I185" s="108" t="inlineStr">
        <is>
          <t>Done</t>
        </is>
      </c>
      <c r="J185" s="108" t="n">
        <v>3</v>
      </c>
      <c r="K185" s="109" t="inlineStr">
        <is>
          <t>2026-10-02</t>
        </is>
      </c>
      <c r="L185" s="109" t="n">
        <v>46311</v>
      </c>
      <c r="M185" s="110" t="inlineStr">
        <is>
          <t>HeckerCreatives</t>
        </is>
      </c>
      <c r="N185" s="81" t="n"/>
      <c r="O185" s="80" t="inlineStr">
        <is>
          <t>P8-QA-01</t>
        </is>
      </c>
      <c r="P185" s="80" t="inlineStr">
        <is>
          <t>Every E2E test from Phases 3–7 runs green in one suite in CI</t>
        </is>
      </c>
      <c r="Q185" s="82" t="inlineStr">
        <is>
          <t>§38</t>
        </is>
      </c>
      <c r="R185" s="111" t="inlineStr">
        <is>
          <t>2026-10-16 DONE (verified by rcfworks at the user's instruction): main's CI run 38857461531 — Playwright 70 passed, 0 failed in one suite; stages 3-7 loops all green (loop-p3-application incl. the minor loop red on 10-02, loop-p4-matching, loop-p5-delivery, redeem-flow, loop-p7-earnings-report); skips are other-project or Phase 2 seed-only. 'Phases 3-7' = Phase 1 stages 3-7. | 2026-10-02 (HeckerCreatives, via Claude): Started — the suite is not green yet. Fixed: two test collisions that made the backend suite fail in parallel (next-public-apply reused notification-preferences' tenant id; tenant-isolation's positive control timed out under load). Backend 2,155/2,155 and frontend 958/958 green. Browser suite: 17 pass, 7 skip by design, 2 failed — the application loops' Instagram selector also matched the footer icon (fixed; adult loop passes). STILL RED: the minor application loop (loop-p3-application.spec.ts, 'a minor cannot go ACTIVE…') encodes the manual-review receipt that 2S1-FE-06 (rcfworks, 2026-10-01) deliberately replaced with the live auto-approval checklist; it needs rewriting to that flow by its owner. CI's e2e job runs once a day, on main.</t>
        </is>
      </c>
    </row>
    <row r="186" ht="23.85" customHeight="1" s="75">
      <c r="A186" s="112" t="n">
        <v>177</v>
      </c>
      <c r="B186" s="113" t="inlineStr">
        <is>
          <t>P8-SEC-02</t>
        </is>
      </c>
      <c r="C186" s="85" t="n">
        <v>8</v>
      </c>
      <c r="D186" s="86" t="inlineStr">
        <is>
          <t>Integration, Hardening &amp; Launch</t>
        </is>
      </c>
      <c r="E186" s="142" t="inlineStr">
        <is>
          <t>SEC</t>
        </is>
      </c>
      <c r="F186" s="122" t="inlineStr">
        <is>
          <t>Code</t>
        </is>
      </c>
      <c r="G186" s="84" t="inlineStr">
        <is>
          <t>Cross-tenant isolation test pass</t>
        </is>
      </c>
      <c r="H186" s="116" t="inlineStr">
        <is>
          <t>Prove by test that no query anywhere can reach another tenant's data.</t>
        </is>
      </c>
      <c r="I186" s="108" t="inlineStr">
        <is>
          <t>Done</t>
        </is>
      </c>
      <c r="J186" s="108" t="n">
        <v>3</v>
      </c>
      <c r="K186" s="109" t="inlineStr">
        <is>
          <t>2026-09-24</t>
        </is>
      </c>
      <c r="L186" s="109" t="inlineStr">
        <is>
          <t>2026-09-24</t>
        </is>
      </c>
      <c r="M186" s="110" t="inlineStr">
        <is>
          <t>rcfworks</t>
        </is>
      </c>
      <c r="N186" s="85" t="n"/>
      <c r="O186" s="84" t="inlineStr">
        <is>
          <t>P8-SEC-01</t>
        </is>
      </c>
      <c r="P186" s="84" t="inlineStr">
        <is>
          <t>No query in the codebase can reach another tenant's data — proven by test</t>
        </is>
      </c>
      <c r="Q186" s="86" t="inlineStr">
        <is>
          <t>§26, §30</t>
        </is>
      </c>
      <c r="R186" s="111" t="inlineStr">
        <is>
          <t>2026-09-24: FOUND AND FIXED A REAL CROSS-TENANT LEAK. whereFor() fragments were overwritten by callers' keys ({...whereFor(), id}): MATCHES_NOTHING={id:{in:[]}} became 'this id in any tenant' and 'own' scopes became 'any row in the tenant' — a tenant-B athlete read tenant A's full sponsor report. Fixed at the source: whereFor returns {AND:[scope]}. Proof: tests/tenant-isolation.test.ts — real API + real DB, every tenant-bound route × 4 tenant-B actors with tenant-A ids and valid bodies: never 2xx, nothing of A in any response, fingerprint of every tenant-A row unchanged; positive control as A's admin. tests/tenant-scope.static.test.ts — every request-path read carries its tenant or a reviewed tenant-scope note. Both go red with the fix reverted. Rate card now refuses an unreachable athlete instead of answering []. | 2026-09-24: Done at the user's instruction — acceptance confirmed met. | 2026-09-24 FOLLOW-UP (honest correction): the write half of the sweep was weaker than first reported — invalid test bodies returned 500 (ZodError had no status) and 500 was counted as a refusal. Fixed: validation errors now 400; bodies corrected; the sweep fails on any 400 or 500. Every write route × every tenant-B actor now reaches past validation and is refused, tenant-A fingerprint unchanged. Stays Done — now proven for writes too.</t>
        </is>
      </c>
    </row>
    <row r="187" ht="23.85" customHeight="1" s="75">
      <c r="A187" s="104" t="n">
        <v>178</v>
      </c>
      <c r="B187" s="105" t="inlineStr">
        <is>
          <t>P8-SEC-03</t>
        </is>
      </c>
      <c r="C187" s="81" t="n">
        <v>8</v>
      </c>
      <c r="D187" s="82" t="inlineStr">
        <is>
          <t>Integration, Hardening &amp; Launch</t>
        </is>
      </c>
      <c r="E187" s="140" t="inlineStr">
        <is>
          <t>SEC</t>
        </is>
      </c>
      <c r="F187" s="120" t="inlineStr">
        <is>
          <t>Code</t>
        </is>
      </c>
      <c r="G187" s="80" t="inlineStr">
        <is>
          <t>Penetration review of the public surfaces</t>
        </is>
      </c>
      <c r="H187" s="107" t="inlineStr">
        <is>
          <t>Review the public-facing pages for injection, enumeration and rate-limit weaknesses.</t>
        </is>
      </c>
      <c r="I187" s="108" t="inlineStr">
        <is>
          <t>Done</t>
        </is>
      </c>
      <c r="J187" s="108" t="n">
        <v>3</v>
      </c>
      <c r="K187" s="109" t="inlineStr">
        <is>
          <t>2026-09-24</t>
        </is>
      </c>
      <c r="L187" s="109" t="inlineStr">
        <is>
          <t>2026-09-24</t>
        </is>
      </c>
      <c r="M187" s="110" t="inlineStr">
        <is>
          <t>rcfworks</t>
        </is>
      </c>
      <c r="N187" s="81" t="n"/>
      <c r="O187" s="80" t="inlineStr">
        <is>
          <t>P6-FE-02</t>
        </is>
      </c>
      <c r="P187" s="80" t="inlineStr">
        <is>
          <t>Redeem page, tracking redirect, join form and public profiles reviewed for injection, enumeration and rate-limit exposure</t>
        </is>
      </c>
      <c r="Q187" s="82" t="inlineStr">
        <is>
          <t>§26</t>
        </is>
      </c>
      <c r="R187" s="111" t="inlineStr">
        <is>
          <t>2026-09-24: documentation/SponsorX-Public-Surface-Security-Review.md. Fixed: F1 every public rate limit counted the WEB SERVER not the fan (one bucket per event) → trusted forward via SPONSORX_EDGE_KEY (set on staging web+api; production when it goes live); F2 tracking destinations accepted javascript:/data: → http(s) only, also on resolve; F3 malformed bodies answered 500 → 400. Reviewed clean: SQL (Prisma/parameterised), HTML escaping (tested), redirects, token entropy (160/72 bits), limits on every public route, webhooks, fan PII. /join and public profiles are still fixture pages — re-check when P3-FE-01/03/05 wire them. | 2026-09-24: Done at the user's instruction — acceptance confirmed met. | 2026-10-09: SPONSORX_EDGE_KEY now set on production api + web too, so the F1 fix (each fan's own rate-limit bucket) is live in production.</t>
        </is>
      </c>
    </row>
    <row r="188" ht="23.85" customHeight="1" s="75">
      <c r="A188" s="104" t="n">
        <v>20.5</v>
      </c>
      <c r="B188" s="105" t="inlineStr">
        <is>
          <t>P0-ART-03</t>
        </is>
      </c>
      <c r="C188" s="81" t="n">
        <v>0</v>
      </c>
      <c r="D188" s="82" t="inlineStr">
        <is>
          <t>Foundation &amp; Decisions</t>
        </is>
      </c>
      <c r="E188" s="117" t="inlineStr">
        <is>
          <t>ART</t>
        </is>
      </c>
      <c r="F188" s="118" t="inlineStr">
        <is>
          <t>Code</t>
        </is>
      </c>
      <c r="G188" s="80" t="inlineStr">
        <is>
          <t>Produce the paginated Phase 1 process flowchart</t>
        </is>
      </c>
      <c r="H188" s="107" t="inlineStr">
        <is>
          <t>Draw the §39 protected loop as a navigable flowchart set — START to END, one stage per page, with off-page connectors between pages. Raised 2026-09-16 because the P0-ART-01 ERD is a single A0 sheet: correct as a data model, but not something anyone can read at a desk or walk a non-technical stakeholder through. This is the process view that the ERD is not.</t>
        </is>
      </c>
      <c r="I188" s="108" t="inlineStr">
        <is>
          <t>Done</t>
        </is>
      </c>
      <c r="J188" s="108" t="n">
        <v>1</v>
      </c>
      <c r="K188" s="109" t="inlineStr">
        <is>
          <t>2026-09-16</t>
        </is>
      </c>
      <c r="L188" s="109" t="inlineStr">
        <is>
          <t>2026-09-17</t>
        </is>
      </c>
      <c r="M188" s="110" t="inlineStr">
        <is>
          <t>rcfworks</t>
        </is>
      </c>
      <c r="N188" s="81" t="n"/>
      <c r="O188" s="80" t="inlineStr">
        <is>
          <t>P0-ART-01</t>
        </is>
      </c>
      <c r="P188" s="80" t="inlineStr">
        <is>
          <t>The whole §39 loop drawn START to END across pages; every page names the blueprint section it came from; off-page connectors let a reader follow the loop forwards and backwards</t>
        </is>
      </c>
      <c r="Q188" s="82" t="inlineStr">
        <is>
          <t>§11, §12, §13, §16, §21, §26, §39</t>
        </is>
      </c>
      <c r="R188" s="111" t="inlineStr">
        <is>
          <t>Built 2026-09-16. Mermaid sources documentation/diagrams/process-flow/*.mmd; rendered to SponsorX-Phase1-Process-Flow.pdf — 11 pages A3 portrait, cover with a whole-loop map and page index, then one stage per page. Colour-coded by actor: athlete/guardian, BTG staff, sponsor, fan, system. Record state changes drawn as dashed boxes so a reader can see which enum moves at each step. Every step is traceable to the blueprint — §11 onboarding capture, §12 agreements, §13 the twelve-step managed campaign workflow, §16 the QR funnel, §21 the state machines, §26 conflict checks. Nothing invented. Raised as a new task rather than folded into P0-ART-01, whose acceptance is the ERD.</t>
        </is>
      </c>
    </row>
    <row r="189" ht="23.85" customHeight="1" s="75">
      <c r="A189" s="112" t="n">
        <v>33.7</v>
      </c>
      <c r="B189" s="113" t="inlineStr">
        <is>
          <t>P1-FE-07</t>
        </is>
      </c>
      <c r="C189" s="85" t="n">
        <v>1</v>
      </c>
      <c r="D189" s="86" t="inlineStr">
        <is>
          <t>UI Scaffold on Fixtures</t>
        </is>
      </c>
      <c r="E189" s="121" t="inlineStr">
        <is>
          <t>FE</t>
        </is>
      </c>
      <c r="F189" s="122" t="inlineStr">
        <is>
          <t>Code</t>
        </is>
      </c>
      <c r="G189" s="84" t="inlineStr">
        <is>
          <t>Athlete dashboard learning-curve redesign</t>
        </is>
      </c>
      <c r="H189" s="116" t="inlineStr">
        <is>
          <t>Rebuilt /athlete around two staged focal points: slim money strip, then one actionable 'Needs your attention' queue (expiring invites → due deliverables → profile row) beside a 3-card rail. New dismissible 4-step journey strip teaches invited → accept → deliver → paid. Rate card / agreements / per-state earnings / audience detail rehoused to existing subpages. Spec + plan in docs/superpowers/.</t>
        </is>
      </c>
      <c r="I189" s="108" t="inlineStr">
        <is>
          <t>Done</t>
        </is>
      </c>
      <c r="J189" s="108" t="n">
        <v>1</v>
      </c>
      <c r="K189" s="109" t="inlineStr">
        <is>
          <t>2026-09-15</t>
        </is>
      </c>
      <c r="L189" s="109" t="inlineStr">
        <is>
          <t>2026-09-15</t>
        </is>
      </c>
      <c r="M189" s="110" t="inlineStr">
        <is>
          <t>HeckerCreatives</t>
        </is>
      </c>
      <c r="N189" s="85" t="n"/>
      <c r="O189" s="84" t="inlineStr">
        <is>
          <t>P1-FE-02</t>
        </is>
      </c>
      <c r="P189" s="84" t="inlineStr">
        <is>
          <t>Dashboard leads with money strip + action queue; every demoted section reachable in one click; all ?demo= states and §4 minor gating preserved; lint/tsc clean.</t>
        </is>
      </c>
      <c r="Q189" s="86" t="inlineStr">
        <is>
          <t>§9 screen 6, §24</t>
        </is>
      </c>
      <c r="R189" s="111" t="inlineStr">
        <is>
          <t>Branch development/Jan/frontend-page-reworks; raised during 2026-09-15 UX pass, not in original plan Merged into development/bob/roadmap_2 from main_development on 2026-09-16.</t>
        </is>
      </c>
    </row>
    <row r="190" ht="23.85" customHeight="1" s="75">
      <c r="A190" s="112" t="n">
        <v>33.8</v>
      </c>
      <c r="B190" s="113" t="inlineStr">
        <is>
          <t>P1-FE-08</t>
        </is>
      </c>
      <c r="C190" s="85" t="n">
        <v>1</v>
      </c>
      <c r="D190" s="86" t="inlineStr">
        <is>
          <t>UI Scaffold on Fixtures</t>
        </is>
      </c>
      <c r="E190" s="121" t="inlineStr">
        <is>
          <t>FE</t>
        </is>
      </c>
      <c r="F190" s="122" t="inlineStr">
        <is>
          <t>Code</t>
        </is>
      </c>
      <c r="G190" s="84" t="inlineStr">
        <is>
          <t>Athlete invitations inbox: search, filter, sort, pagination</t>
        </is>
      </c>
      <c r="H190" s="116" t="inlineStr">
        <is>
          <t>Completed the /athlete/invitations frontend functionality as a client island (invitations-inbox.tsx) on the marketplace-catalog idiom: instant search across sponsor/campaign/job, state tabs with live counts, job filter dropdown, sort menu (urgency default, expiry, offer, sponsor A-Z), dismissible filter chips, and the shared numbered pager with 12/24/60 page sizes duplicated above and below the grid. All state URL-synced via replaceState (?state,q,job,sort,page,size) so views are shareable. Stat strip and demo/minor states stay server-side.</t>
        </is>
      </c>
      <c r="I190" s="108" t="inlineStr">
        <is>
          <t>Done</t>
        </is>
      </c>
      <c r="J190" s="108" t="n">
        <v>1</v>
      </c>
      <c r="K190" s="109" t="inlineStr">
        <is>
          <t>2026-09-16</t>
        </is>
      </c>
      <c r="L190" s="109" t="inlineStr">
        <is>
          <t>2026-09-16</t>
        </is>
      </c>
      <c r="M190" s="110" t="inlineStr">
        <is>
          <t>HeckerCreatives</t>
        </is>
      </c>
      <c r="N190" s="85" t="n"/>
      <c r="O190" s="84" t="inlineStr">
        <is>
          <t>P1-FE-02</t>
        </is>
      </c>
      <c r="P190" s="84" t="inlineStr">
        <is>
          <t>Search/filter/sort/pagination all instant (no Apply, no navigation); URL round-trips a filtered view; page resets on any narrowing; all ?demo= states preserved; tsc, eslint and next build clean.</t>
        </is>
      </c>
      <c r="Q190" s="86" t="inlineStr">
        <is>
          <t>?21, ?13 step 5, ?9 screen 8</t>
        </is>
      </c>
      <c r="R190" s="111" t="inlineStr">
        <is>
          <t>Branch development/Jan/frontend-page-reworks; raised during 2026-09-16 rework, not in original plan Merged into development/bob/roadmap_2 from main_development on 2026-09-16.</t>
        </is>
      </c>
    </row>
    <row r="191" ht="32.8" customHeight="1" s="75">
      <c r="A191" s="112" t="n">
        <v>33.9</v>
      </c>
      <c r="B191" s="113" t="inlineStr">
        <is>
          <t>P1-FE-09</t>
        </is>
      </c>
      <c r="C191" s="85" t="n">
        <v>1</v>
      </c>
      <c r="D191" s="86" t="inlineStr">
        <is>
          <t>UI Scaffold on Fixtures</t>
        </is>
      </c>
      <c r="E191" s="121" t="inlineStr">
        <is>
          <t>FE</t>
        </is>
      </c>
      <c r="F191" s="122" t="inlineStr">
        <is>
          <t>Code</t>
        </is>
      </c>
      <c r="G191" s="84" t="inlineStr">
        <is>
          <t>Sponsor dashboard 'Export report' — client-side PDF + XLSX</t>
        </is>
      </c>
      <c r="H191" s="116" t="inlineStr">
        <is>
          <t>Wire the dashboard's Export report button to real downloads: a dropdown offering a print-ready PDF (jspdf) and a 5-sheet Excel workbook (exceljs), rendered client-side from a serializable SponsorReport model built by the server page from the same fixtures the screen draws. Every KPI carries its §22 provenance label; projections stay marked ESTIMATED. Generators are dynamic-imported so neither library enters the dashboard bundle. Demo stand-in pending G-07 (P0-PMO-05); the model is the contract P7-BE-06's render worker takes over.</t>
        </is>
      </c>
      <c r="I191" s="108" t="inlineStr">
        <is>
          <t>Done</t>
        </is>
      </c>
      <c r="J191" s="108" t="n">
        <v>1</v>
      </c>
      <c r="K191" s="109" t="inlineStr">
        <is>
          <t>2026-09-16</t>
        </is>
      </c>
      <c r="L191" s="109" t="inlineStr">
        <is>
          <t>2026-09-16</t>
        </is>
      </c>
      <c r="M191" s="110" t="inlineStr">
        <is>
          <t>HeckerCreatives</t>
        </is>
      </c>
      <c r="N191" s="85" t="n"/>
      <c r="O191" s="84" t="n"/>
      <c r="P191" s="84" t="inlineStr">
        <is>
          <t>PDF and XLSX download from /sponsor with all dashboard figures, totals consistent with the screen, provenance labels printed in both formats</t>
        </is>
      </c>
      <c r="Q191" s="86" t="inlineStr">
        <is>
          <t>§9.3 §22; docs G-07</t>
        </is>
      </c>
      <c r="R191" s="111" t="inlineStr">
        <is>
          <t>Client-side generation is Phase-1 demo scope; real render moves to the worker if G-07 lands on PDF.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2" ht="32.8" customHeight="1" s="75">
      <c r="A192" s="112" t="n">
        <v>33.95</v>
      </c>
      <c r="B192" s="113" t="inlineStr">
        <is>
          <t>P1-FE-10</t>
        </is>
      </c>
      <c r="C192" s="85" t="n">
        <v>1</v>
      </c>
      <c r="D192" s="86" t="inlineStr">
        <is>
          <t>UI Scaffold on Fixtures</t>
        </is>
      </c>
      <c r="E192" s="121" t="inlineStr">
        <is>
          <t>FE</t>
        </is>
      </c>
      <c r="F192" s="122" t="inlineStr">
        <is>
          <t>Code</t>
        </is>
      </c>
      <c r="G192" s="84" t="inlineStr">
        <is>
          <t>Campaign ROI report 'Export report' — client-side PDF + XLSX</t>
        </is>
      </c>
      <c r="H192" s="116" t="inlineStr">
        <is>
          <t>Replace the ROI screen's inert Download PDF button with the shared export island: PDF and 5-sheet Excel workbook rendered client-side from a new serializable CampaignRoiReport model (return block, timeline, format/platform/geo composition, funnel, efficiency vs benchmarks, delivery, top content, recommendation, methodology). Shared PDF/XLSX kit modules extracted from P1-FE-09's renderers; ATTRIBUTED vs ESTIMATED never conflated (§16 §22). Worker render (P7-BE-06, B7 Playwright) replaces only the generation step later.</t>
        </is>
      </c>
      <c r="I192" s="108" t="inlineStr">
        <is>
          <t>Done</t>
        </is>
      </c>
      <c r="J192" s="108" t="n">
        <v>1</v>
      </c>
      <c r="K192" s="109" t="inlineStr">
        <is>
          <t>2026-09-16</t>
        </is>
      </c>
      <c r="L192" s="109" t="inlineStr">
        <is>
          <t>2026-09-16</t>
        </is>
      </c>
      <c r="M192" s="110" t="inlineStr">
        <is>
          <t>HeckerCreatives</t>
        </is>
      </c>
      <c r="N192" s="85" t="n"/>
      <c r="O192" s="84" t="n"/>
      <c r="P192" s="84" t="inlineStr">
        <is>
          <t>PDF and XLSX download from /sponsor/campaigns/[id]/report; return, composition, funnel, efficiency, delivery and top content all present with provenance labels; attributed and estimated figures never merged</t>
        </is>
      </c>
      <c r="Q192" s="86" t="inlineStr">
        <is>
          <t>§9 screen 12 §16 §22; G-07</t>
        </is>
      </c>
      <c r="R192" s="111" t="inlineStr">
        <is>
          <t>Extends P1-FE-09's export pattern; ExportReport island now serves both screens via a discriminated payload.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3" ht="32.8" customHeight="1" s="75">
      <c r="A193" s="112" t="n">
        <v>33.97</v>
      </c>
      <c r="B193" s="113" t="inlineStr">
        <is>
          <t>P1-FE-11</t>
        </is>
      </c>
      <c r="C193" s="85" t="n">
        <v>1</v>
      </c>
      <c r="D193" s="86" t="inlineStr">
        <is>
          <t>UI Scaffold on Fixtures</t>
        </is>
      </c>
      <c r="E193" s="121" t="inlineStr">
        <is>
          <t>FE</t>
        </is>
      </c>
      <c r="F193" s="122" t="inlineStr">
        <is>
          <t>Code</t>
        </is>
      </c>
      <c r="G193" s="84" t="inlineStr">
        <is>
          <t>Athlete earnings statement 'Export report' — client-side PDF + XLSX</t>
        </is>
      </c>
      <c r="H193" s="116" t="inlineStr">
        <is>
          <t>Add the shared export island to /athlete/earnings (it had no export control): PDF statement and 3-sheet Excel workbook (Summary, Monthly earnings, Activity) rendered client-side from a new serializable AthleteEarningsReport model. Owner-framed per the portal rule: canonical career figures (Postgres) explicitly separated from the in-cycle journey buckets and activity sample; §21 stages in plain English with the HELD strip and per-status meanings; §24/§26 status-only and no-bank/tax notes printed in the statement. Third consumer of the ExportPayload union.</t>
        </is>
      </c>
      <c r="I193" s="108" t="inlineStr">
        <is>
          <t>Done</t>
        </is>
      </c>
      <c r="J193" s="108" t="n">
        <v>1</v>
      </c>
      <c r="K193" s="109" t="inlineStr">
        <is>
          <t>2026-09-16</t>
        </is>
      </c>
      <c r="L193" s="109" t="inlineStr">
        <is>
          <t>2026-09-16</t>
        </is>
      </c>
      <c r="M193" s="110" t="inlineStr">
        <is>
          <t>HeckerCreatives</t>
        </is>
      </c>
      <c r="N193" s="85" t="n"/>
      <c r="O193" s="84" t="n"/>
      <c r="P193" s="84" t="inlineStr">
        <is>
          <t>PDF and XLSX download from /athlete/earnings scoped to the signed-in athlete's rows only; career vs cycle framing printed with the data; no bank or tax fields anywhere</t>
        </is>
      </c>
      <c r="Q193" s="86" t="inlineStr">
        <is>
          <t>§21 §24 §26; Addendum A6</t>
        </is>
      </c>
      <c r="R193" s="111" t="inlineStr">
        <is>
          <t>Extends P1-FE-09/10's export pattern via the athlete-earnings payload kind.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4" ht="32.8" customHeight="1" s="75">
      <c r="A194" s="112" t="n">
        <v>33.98</v>
      </c>
      <c r="B194" s="113" t="inlineStr">
        <is>
          <t>P1-FE-12</t>
        </is>
      </c>
      <c r="C194" s="85" t="n">
        <v>1</v>
      </c>
      <c r="D194" s="86" t="inlineStr">
        <is>
          <t>UI Scaffold on Fixtures</t>
        </is>
      </c>
      <c r="E194" s="121" t="inlineStr">
        <is>
          <t>FE</t>
        </is>
      </c>
      <c r="F194" s="122" t="inlineStr">
        <is>
          <t>Code</t>
        </is>
      </c>
      <c r="G194" s="84" t="inlineStr">
        <is>
          <t>Content approvals workspace redesign — approvals desk (cards, drawer, pipeline hero)</t>
        </is>
      </c>
      <c r="H194" s="116" t="inlineStr">
        <is>
          <t>Redesign /admin/approvals from the flat card dump (dead buttons, spec jargon, no controls) into the applications-desk idiom: hero band with awaiting count, aging alert (&gt;24h) and a 'How content clears' strip teaching the §21 pipeline as four desks with live counts; ApprovalsDesk client island with tabs (Needs review / Cleared / All), instant search, campaign + format filters, sort, dismissible chips, card grid and the shared 12/24/60 pager, all URL-synced; portaled review drawer with signed-asset preview placeholder (private R2 bucket, guide §11), stage tracker, plain-English state copy and local, undoable decisions that walk the real state machine (Start BTG review → Send to sponsor → Approve &amp; publish; Request revision). Queue fixtures extended to a multi-athlete network view; athlete-portal `deliverables` untouched.</t>
        </is>
      </c>
      <c r="I194" s="108" t="inlineStr">
        <is>
          <t>Done</t>
        </is>
      </c>
      <c r="J194" s="108" t="n">
        <v>1</v>
      </c>
      <c r="K194" s="109" t="inlineStr">
        <is>
          <t>2026-09-16</t>
        </is>
      </c>
      <c r="L194" s="109" t="inlineStr">
        <is>
          <t>2026-09-16</t>
        </is>
      </c>
      <c r="M194" s="110" t="inlineStr">
        <is>
          <t>HeckerCreatives</t>
        </is>
      </c>
      <c r="N194" s="85" t="n"/>
      <c r="O194" s="84" t="n"/>
      <c r="P194" s="84" t="inlineStr">
        <is>
          <t>Queue renders as a card grid with instant search, campaign/format filters, sort and shared pagination, all URL-synced and shareable; drawer decisions advance §21 states locally with Undo and move approved cards to Cleared; hero desk counts match the queue; no spec jargon in user-facing copy</t>
        </is>
      </c>
      <c r="Q194" s="86" t="inlineStr">
        <is>
          <t>§10 §21; guide §11</t>
        </is>
      </c>
      <c r="R194" s="111" t="inlineStr">
        <is>
          <t>Applies the 2026-09-14 applications-desk idiom to content review; demo decisions are visit-local until B5 wires the upload/review backend.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5" ht="32.8" customHeight="1" s="75">
      <c r="A195" s="112" t="n">
        <v>33.99</v>
      </c>
      <c r="B195" s="113" t="inlineStr">
        <is>
          <t>P1-FE-13</t>
        </is>
      </c>
      <c r="C195" s="85" t="n">
        <v>1</v>
      </c>
      <c r="D195" s="86" t="inlineStr">
        <is>
          <t>UI Scaffold on Fixtures</t>
        </is>
      </c>
      <c r="E195" s="121" t="inlineStr">
        <is>
          <t>FE</t>
        </is>
      </c>
      <c r="F195" s="122" t="inlineStr">
        <is>
          <t>Code</t>
        </is>
      </c>
      <c r="G195" s="84" t="inlineStr">
        <is>
          <t>Rewards workspace — list-first desk + Reward Creator as a modal wizard</t>
        </is>
      </c>
      <c r="H195" s="116" t="inlineStr">
        <is>
          <t>Replace the nav's jump into a static /admin/rewards/new form with a list-first /admin/rewards: RewardsDesk client island with a §16 funnel strip (active / scans / claims / redeemed summed from the rows' RewardEvent counts, reconciling with rewardFunnel by construction), instant search, status + redemption-type filters, sort, dismissible chips, card grid with deterministic hash-seeded QR thumbnails and per-card scan→claim→redeem funnels, and the shared 12/24/60 pager, all URL-synced. 'Create reward' opens the RewardCreator rebuilt as a three-step wizard in the campaign-launcher modal: redemption types as explained cards (sweepstakes visibly blocked pending legal, §16), fan-card design step, per-athlete token distribution (one reward, many opaque tokens; conflicts blocked, not hidden, §26), with a sticky phone-framed live fan preview whose QR re-patterns as the design changes. /admin/rewards/new now redirects to /admin/rewards?new=1 (opens the modal) so old links keep working. New rewards land locally as SCHEDULED with Undo — demo only.</t>
        </is>
      </c>
      <c r="I195" s="108" t="inlineStr">
        <is>
          <t>Done</t>
        </is>
      </c>
      <c r="J195" s="108" t="n">
        <v>1</v>
      </c>
      <c r="K195" s="109" t="inlineStr">
        <is>
          <t>2026-09-16</t>
        </is>
      </c>
      <c r="L195" s="109" t="inlineStr">
        <is>
          <t>2026-09-16</t>
        </is>
      </c>
      <c r="M195" s="110" t="inlineStr">
        <is>
          <t>HeckerCreatives</t>
        </is>
      </c>
      <c r="N195" s="85" t="n"/>
      <c r="O195" s="84" t="n"/>
      <c r="P195" s="84" t="inlineStr">
        <is>
          <t>List renders search/filter/sort + shared pagination URL-synced and shareable; funnel strip totals equal rewardFunnel; creation runs in a modal with per-step gates explained in plain English; sweepstakes blocked pending legal; each picked athlete gets an opaque token; legacy /admin/rewards/new redirects into the modal</t>
        </is>
      </c>
      <c r="Q195" s="86" t="inlineStr">
        <is>
          <t>§9 (screen 10) §16 §22 §26; guide §03 §06</t>
        </is>
      </c>
      <c r="R195" s="111" t="inlineStr">
        <is>
          <t>Applies the applications-desk idiom to §16 rewards; creation is visit-local until the rewards backend lands. Live fan page stays /r/[token], no-JS.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6" ht="32.8" customHeight="1" s="75">
      <c r="A196" s="112" t="n">
        <v>33.995</v>
      </c>
      <c r="B196" s="113" t="inlineStr">
        <is>
          <t>P1-FE-14</t>
        </is>
      </c>
      <c r="C196" s="85" t="n">
        <v>1</v>
      </c>
      <c r="D196" s="86" t="inlineStr">
        <is>
          <t>UI Scaffold on Fixtures</t>
        </is>
      </c>
      <c r="E196" s="121" t="inlineStr">
        <is>
          <t>FE</t>
        </is>
      </c>
      <c r="F196" s="122" t="inlineStr">
        <is>
          <t>Code</t>
        </is>
      </c>
      <c r="G196" s="84" t="inlineStr">
        <is>
          <t>Admin analytics learning-curve redesign — guided story (screens 11 + §9.11)</t>
        </is>
      </c>
      <c r="H196" s="116" t="inlineStr">
        <is>
          <t>Rebuilt /admin/analytics as a five-chapter guided story: every chapter opens with an insight sentence computed in code from the same per-range fixture dataset the chart renders (so prose can't drift from numbers), chart below as evidence. Scrollspy chapter rail (pill bar on mobile), URL-synced 7d/30d/90d range pills, four-stage §16 funnel with per-stage definitions, and the §9 screen-11 athlete stub replaced by a real leaderboard with §22 data-quality chips and §14 score rings. 30d numbers aligned with rewardFunnel / rewards-desk math (8,200 / 4,300 / 1,870). Spec + plan in docs/superpowers/.</t>
        </is>
      </c>
      <c r="I196" s="108" t="inlineStr">
        <is>
          <t>Done</t>
        </is>
      </c>
      <c r="J196" s="108" t="n">
        <v>1</v>
      </c>
      <c r="K196" s="109" t="inlineStr">
        <is>
          <t>2026-09-17</t>
        </is>
      </c>
      <c r="L196" s="109" t="inlineStr">
        <is>
          <t>2026-09-17</t>
        </is>
      </c>
      <c r="M196" s="110" t="inlineStr">
        <is>
          <t>HeckerCreatives</t>
        </is>
      </c>
      <c r="N196" s="85" t="n"/>
      <c r="O196" s="84" t="n"/>
      <c r="P196" s="84" t="inlineStr">
        <is>
          <t>Five chapters render with scrollspy rail; ?range= deep-links seed the view; insight numbers equal the chart data; every stat carries a provenance chip; loading/empty/error demo states intact; motion off under reduced-motion.</t>
        </is>
      </c>
      <c r="Q196" s="86" t="inlineStr">
        <is>
          <t>§9.11, §16, §22; docs/superpowers/specs/2026-09-17-admin-analytics-redesign-design.md</t>
        </is>
      </c>
      <c r="R196" s="111" t="inlineStr">
        <is>
          <t xml:space="preserve">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7" ht="32.8" customHeight="1" s="75">
      <c r="A197" s="112" t="n">
        <v>33.996</v>
      </c>
      <c r="B197" s="113" t="inlineStr">
        <is>
          <t>P1-FE-15</t>
        </is>
      </c>
      <c r="C197" s="85" t="n">
        <v>1</v>
      </c>
      <c r="D197" s="86" t="inlineStr">
        <is>
          <t>UI Scaffold on Fixtures</t>
        </is>
      </c>
      <c r="E197" s="121" t="inlineStr">
        <is>
          <t>FE</t>
        </is>
      </c>
      <c r="F197" s="122" t="inlineStr">
        <is>
          <t>Code</t>
        </is>
      </c>
      <c r="G197" s="84" t="inlineStr">
        <is>
          <t>Admin analytics 'Export report' — client-side PDF + XLSX</t>
        </is>
      </c>
      <c r="H197" s="116" t="inlineStr">
        <is>
          <t>Fourth instance of the export triplet: AdminAnalyticsReport model built client-side from the active range (7d/30d/90d pills are client state — you export what you're looking at), rendered to a print-ready A4 PDF (jspdf) and a 5-sheet pivotable workbook (exceljs), both dynamic-imported. Adds derived statistics beyond the screen: unredeemed-claims KPI, per-stage/cumulative funnel conversion + drop-off, per-point redemption rate and gap, offer share of total redemptions, athlete claim→redeem conversion with roster benchmark row. Every figure provenance-labelled per §22. Spec + plan in docs/superpowers/.</t>
        </is>
      </c>
      <c r="I197" s="108" t="inlineStr">
        <is>
          <t>Done</t>
        </is>
      </c>
      <c r="J197" s="108" t="n">
        <v>1</v>
      </c>
      <c r="K197" s="109" t="inlineStr">
        <is>
          <t>2026-09-17</t>
        </is>
      </c>
      <c r="L197" s="109" t="inlineStr">
        <is>
          <t>2026-09-17</t>
        </is>
      </c>
      <c r="M197" s="110" t="inlineStr">
        <is>
          <t>HeckerCreatives</t>
        </is>
      </c>
      <c r="N197" s="85" t="n"/>
      <c r="O197" s="84" t="n"/>
      <c r="P197" s="84" t="inlineStr">
        <is>
          <t>Button beside range pills; filenames carry the range label; switching range changes exported numbers; provenance labels on every table; jspdf/exceljs not in the page's initial bundle; 30d spot-checks (unredeemed 2,430, 43% claim→redeem, 44% top-offer share) hold in both formats.</t>
        </is>
      </c>
      <c r="Q197" s="86" t="inlineStr">
        <is>
          <t>§16, §22; docs/superpowers/specs/2026-09-17-admin-analytics-export-report-design.md</t>
        </is>
      </c>
      <c r="R197" s="111" t="inlineStr">
        <is>
          <t xml:space="preserve"> CLOSED 2026-09-21 at the user's instruction, from Code review to Done. STILL OUTSTANDING AND NOT RESOLVED BY CLOSING THIS ROW: this task has NO ENTRY in documentation/SponsorX-Phase1-Managed-Marketplace.md - checked 2026-09-21, zero matches for the id. The plan document owns task definitions, so the only written definition of this work is the notes column here. Whoever did the work still owes the plan-document entry; closing the row does not discharge it, and a future reader diffing the board against the plan will find a task that exists in one and not the other.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t>
        </is>
      </c>
    </row>
    <row r="198" ht="23.85" customHeight="1" s="75">
      <c r="A198" s="112" t="n">
        <v>131.5</v>
      </c>
      <c r="B198" s="113" t="inlineStr">
        <is>
          <t>P6-INT-02</t>
        </is>
      </c>
      <c r="C198" s="85" t="n">
        <v>6</v>
      </c>
      <c r="D198" s="86" t="inlineStr">
        <is>
          <t>Measurement &amp; Reward</t>
        </is>
      </c>
      <c r="E198" s="141" t="inlineStr">
        <is>
          <t>INT</t>
        </is>
      </c>
      <c r="F198" s="122" t="inlineStr">
        <is>
          <t>Code</t>
        </is>
      </c>
      <c r="G198" s="84" t="inlineStr">
        <is>
          <t>Email the reward code to the fan at CLAIM</t>
        </is>
      </c>
      <c r="H198" s="116" t="inlineStr">
        <is>
          <t>The claim screen tells the fan "we emailed this code to you as well", so the code has to arrive. A queued send at CLAIM carrying the code, the offer, the pickup point and the expiry. Raised 2026-09-16 from the P1-ART-05 design review: the three existing notification jobs cover applications (P3-INT-02), invitations (P4-INT-01) and deliverables (P5-INT-01) - none covers the fan. Without this the claimed screen is the fan's only copy of the code, and losing signal in a venue loses the reward.</t>
        </is>
      </c>
      <c r="I198" s="108" t="inlineStr">
        <is>
          <t>Done</t>
        </is>
      </c>
      <c r="J198" s="108" t="n">
        <v>1</v>
      </c>
      <c r="K198" s="109" t="inlineStr">
        <is>
          <t>2026-09-23</t>
        </is>
      </c>
      <c r="L198" s="109" t="inlineStr">
        <is>
          <t>2026-09-23</t>
        </is>
      </c>
      <c r="M198" s="110" t="inlineStr">
        <is>
          <t>rcfworks</t>
        </is>
      </c>
      <c r="N198" s="85" t="n"/>
      <c r="O198" s="84" t="inlineStr">
        <is>
          <t>P3-INT-01, P6-BE-03</t>
        </is>
      </c>
      <c r="P198" s="84" t="inlineStr">
        <is>
          <t>A CLAIM enqueues one send carrying the code, offer, pickup point and expiry; the send is idempotent so a repeat claim on an existing token does not send twice</t>
        </is>
      </c>
      <c r="Q198" s="86" t="inlineStr">
        <is>
          <t>§16, §13 step 9, G-04</t>
        </is>
      </c>
      <c r="R198" s="111" t="inlineStr">
        <is>
          <t>Raised 2026-09-16 from the P1-ART-05 fan landing design. The design's CLAIMED board states the code was emailed; either this task exists or that line comes out of the copy.</t>
        </is>
      </c>
    </row>
    <row r="199" ht="35.05" customHeight="1" s="75">
      <c r="A199" s="104" t="n">
        <v>134.5</v>
      </c>
      <c r="B199" s="105" t="inlineStr">
        <is>
          <t>P6-SEC-03</t>
        </is>
      </c>
      <c r="C199" s="81" t="n">
        <v>6</v>
      </c>
      <c r="D199" s="82" t="inlineStr">
        <is>
          <t>Measurement &amp; Reward</t>
        </is>
      </c>
      <c r="E199" s="140" t="inlineStr">
        <is>
          <t>SEC</t>
        </is>
      </c>
      <c r="F199" s="120" t="inlineStr">
        <is>
          <t>Code</t>
        </is>
      </c>
      <c r="G199" s="80" t="inlineStr">
        <is>
          <t>Fan unsubscribe and consent withdrawal</t>
        </is>
      </c>
      <c r="H199" s="107" t="inlineStr">
        <is>
          <t>A one-tap unsubscribe honoured across every fan send, plus a recorded withdrawal of the consent captured at CLAIM. Raised 2026-09-16 from the P1-ART-05 design review: the consent copy promises "you can unsubscribe from any of it, at any time, in one tap" and no task in the programme delivered it. P6-SEC-01 records that consent was given; nothing records it being taken back, and a consent record with no withdrawal path is not a consent mechanism.</t>
        </is>
      </c>
      <c r="I199" s="108" t="inlineStr">
        <is>
          <t>Done</t>
        </is>
      </c>
      <c r="J199" s="108" t="n">
        <v>1</v>
      </c>
      <c r="K199" s="109" t="inlineStr">
        <is>
          <t>2026-09-24</t>
        </is>
      </c>
      <c r="L199" s="109" t="inlineStr">
        <is>
          <t>2026-09-24</t>
        </is>
      </c>
      <c r="M199" s="110" t="inlineStr">
        <is>
          <t>rcfworks</t>
        </is>
      </c>
      <c r="N199" s="81" t="n"/>
      <c r="O199" s="80" t="inlineStr">
        <is>
          <t>P6-SEC-01, P3-INT-01</t>
        </is>
      </c>
      <c r="P199" s="80" t="inlineStr">
        <is>
          <t>An unsubscribe link in every fan email works without login and in one tap; withdrawal is recorded against the same consent record with a timestamp; a withdrawn fan is excluded from any further contact at query level, not in the UI</t>
        </is>
      </c>
      <c r="Q199" s="82" t="inlineStr">
        <is>
          <t>§16, §26</t>
        </is>
      </c>
      <c r="R199" s="111" t="inlineStr">
        <is>
          <t>Signed one-tap link in every fan email (body + RFC 8058 List-Unsubscribe header) → web /u/:token (GET shows one button, POST withdraws; no login) → POST /api/v1/public/unsubscribe/:token. Withdrawal stamps consentWithdrawnAt on the same claim row, first tap wins, audited. Worker re-checks in SQL before any fan send. AC clause 3 amended: lead push moved to Phase 2. | 2026-09-24: Done at the user's instruction — acceptance confirmed met.</t>
        </is>
      </c>
    </row>
    <row r="200" ht="32.8" customHeight="1" s="75">
      <c r="A200" s="112" t="n">
        <v>33.997</v>
      </c>
      <c r="B200" s="113" t="inlineStr">
        <is>
          <t>P1-FE-16</t>
        </is>
      </c>
      <c r="C200" s="85" t="n">
        <v>1</v>
      </c>
      <c r="D200" s="86" t="inlineStr">
        <is>
          <t>UI Scaffold on Fixtures</t>
        </is>
      </c>
      <c r="E200" s="121" t="inlineStr">
        <is>
          <t>FE</t>
        </is>
      </c>
      <c r="F200" s="122" t="inlineStr">
        <is>
          <t>Code</t>
        </is>
      </c>
      <c r="G200" s="84" t="inlineStr">
        <is>
          <t>Build the /join athlete onboarding wizard (P1-ART-07 in-app)</t>
        </is>
      </c>
      <c r="H200" s="116" t="inlineStr">
        <is>
          <t>The static /join stack replaced by the accepted P1-ART-07 design: a phone-first progressive wizard - one section per screen, the under-18 guardian branch inserted live by the DOB, drafts in localStorage after every section, v0.4 click-wrap agreement gating submit, and the after-submit review timeline with the guardian-pending card. Fixtures-only; P3-FE-01 wires the API.</t>
        </is>
      </c>
      <c r="I200" s="108" t="inlineStr">
        <is>
          <t>Done</t>
        </is>
      </c>
      <c r="J200" s="108" t="n">
        <v>2</v>
      </c>
      <c r="K200" s="109" t="inlineStr">
        <is>
          <t>2026-09-18</t>
        </is>
      </c>
      <c r="L200" s="109" t="inlineStr">
        <is>
          <t>2026-09-18</t>
        </is>
      </c>
      <c r="M200" s="110" t="inlineStr">
        <is>
          <t>HeckerCreatives</t>
        </is>
      </c>
      <c r="N200" s="85" t="n">
        <v>1</v>
      </c>
      <c r="O200" s="84" t="inlineStr">
        <is>
          <t>P1-ART-07</t>
        </is>
      </c>
      <c r="P200" s="84" t="inlineStr">
        <is>
          <t>Adult flow 9 sections, minor 10; refresh resumes the draft; agreement checkbox arms Submit; ?demo=minor|submitted land correctly; reduced motion kills choreography; desktop lg+ is a split-stage (sticky brand panel + elevated 430px card); login page links it as "Apply as an athlete"; eyeballed in browser 2026-09-21; tsc/lint/vitest/build clean.</t>
        </is>
      </c>
      <c r="Q200" s="86" t="inlineStr">
        <is>
          <t>SS11, SS4, SS22; docs/superpowers/specs/2026-09-21-join-wizard-design.md</t>
        </is>
      </c>
      <c r="R200" s="111" t="n"/>
    </row>
    <row r="201" ht="32.8" customHeight="1" s="75">
      <c r="A201" s="112" t="n">
        <v>33.998</v>
      </c>
      <c r="B201" s="113" t="inlineStr">
        <is>
          <t>P1-FE-17</t>
        </is>
      </c>
      <c r="C201" s="85" t="n">
        <v>1</v>
      </c>
      <c r="D201" s="86" t="inlineStr">
        <is>
          <t>UI Scaffold on Fixtures</t>
        </is>
      </c>
      <c r="E201" s="121" t="inlineStr">
        <is>
          <t>FE</t>
        </is>
      </c>
      <c r="F201" s="122" t="inlineStr">
        <is>
          <t>Code</t>
        </is>
      </c>
      <c r="G201" s="84" t="inlineStr">
        <is>
          <t>Build the /brief sponsor brief-request wizard (B3 public intake)</t>
        </is>
      </c>
      <c r="H201" s="116" t="inlineStr">
        <is>
          <t>The public sponsor front door: /packages "Request a brief" buttons (previously inert) now open a four-step wizard in sponsor orange - goal chips, budget bands + package select (prefilled per package), market, contact - ending in a received-state timeline (Received / Matching / Proposal) with explicit no-card/no-checkout messaging. localStorage draft; fixtures-only; B3 wires the real CampaignBrief API.</t>
        </is>
      </c>
      <c r="I201" s="108" t="inlineStr">
        <is>
          <t>Done</t>
        </is>
      </c>
      <c r="J201" s="108" t="n">
        <v>1</v>
      </c>
      <c r="K201" s="109" t="inlineStr">
        <is>
          <t>2026-09-18</t>
        </is>
      </c>
      <c r="L201" s="109" t="inlineStr">
        <is>
          <t>2026-09-18</t>
        </is>
      </c>
      <c r="M201" s="110" t="inlineStr">
        <is>
          <t>HeckerCreatives</t>
        </is>
      </c>
      <c r="N201" s="85" t="n"/>
      <c r="O201" s="84" t="inlineStr">
        <is>
          <t>P1-FE-16</t>
        </is>
      </c>
      <c r="P201" s="84" t="inlineStr">
        <is>
          <t>Packages cards link /brief?package=&lt;id&gt; (bad ids -&gt; Not sure yet); bare /brief resumes the draft; goal/budget chips; starting package + audience are designed listboxes (WizardSelect: pop-in panel, drawn check, arrow roving, Escape/outside-click); market stays free text by decision - an out-of-network market is a lead, not an error; listbox z-stacking bug found in browser and fixed (lifted openSelect, ancestor z raise); login page links it as "Request a sponsor brief"; ?demo=submitted lands on the timeline; eyeballed in browser 2026-09-21; tsc/lint/vitest(19)/build clean.</t>
        </is>
      </c>
      <c r="Q201" s="86" t="inlineStr">
        <is>
          <t>SS13, SS17, SS26; docs/superpowers/specs/2026-09-21-brief-wizard-design.md</t>
        </is>
      </c>
      <c r="R201" s="111" t="n"/>
    </row>
    <row r="202" ht="32.8" customHeight="1" s="75">
      <c r="A202" s="112" t="n">
        <v>93.5</v>
      </c>
      <c r="B202" s="113" t="inlineStr">
        <is>
          <t>P4-FE-06</t>
        </is>
      </c>
      <c r="C202" s="85" t="n">
        <v>4</v>
      </c>
      <c r="D202" s="86" t="inlineStr">
        <is>
          <t>Sponsor Demand &amp; Matching</t>
        </is>
      </c>
      <c r="E202" s="121" t="inlineStr">
        <is>
          <t>FE</t>
        </is>
      </c>
      <c r="F202" s="122" t="inlineStr">
        <is>
          <t>Code</t>
        </is>
      </c>
      <c r="G202" s="84" t="inlineStr">
        <is>
          <t>Build the matching &amp; roster-review workspace in-app (P4-ART-01 in-app)</t>
        </is>
      </c>
      <c r="H202" s="116" t="inlineStr">
        <is>
          <t>The Matching Studio at /admin/campaigns/match: brief HUD, filterable eligible roster with score, reach + provenance, cost, sell, margin and status per row; shortlist dock with blended margin and 1.4x floor breaches; factor-by-factor comparison; conflict-detail drawer; review &amp; send gated on a recorded margin exception; computed relax suggestions on the empty state. Designed for desktop, tablet and mobile. Fixtures only - wiring to the real eligible query stays P4-FE-02 on P4-BE-03.</t>
        </is>
      </c>
      <c r="I202" s="108" t="inlineStr">
        <is>
          <t>Done</t>
        </is>
      </c>
      <c r="J202" s="108" t="n">
        <v>3</v>
      </c>
      <c r="K202" s="109" t="inlineStr">
        <is>
          <t>2026-09-18</t>
        </is>
      </c>
      <c r="L202" s="109" t="inlineStr">
        <is>
          <t>2026-09-18</t>
        </is>
      </c>
      <c r="M202" s="110" t="inlineStr">
        <is>
          <t>HeckerCreatives</t>
        </is>
      </c>
      <c r="N202" s="85" t="n"/>
      <c r="O202" s="84" t="inlineStr">
        <is>
          <t>P4-ART-01</t>
        </is>
      </c>
      <c r="P202" s="84" t="inlineStr">
        <is>
          <t>All five design states run in the app across the three breakpoints; conflicts stay visible with readable reasons; the per-line 1.4x floor is surfaced before send and sending requires a recorded exception; athlete cost appears on no sponsor surface; verified and self-reported reach look different; guardian-pending can be shortlisted but shows it cannot accept; vitest 46/46, tsc, eslint and next build green.</t>
        </is>
      </c>
      <c r="Q202" s="86" t="inlineStr">
        <is>
          <t>S9 screen 8, S13 step 3, S14, S26</t>
        </is>
      </c>
      <c r="R202" s="111" t="inlineStr">
        <is>
          <t>Raised 2026-09-21: the accepted P4-ART-01 design built in-app with responsive breakpoints (the ART brief was desktop-only). Same pattern as P1-FE-16/17. Spec: docs/superpowers/specs/2026-09-21-matching-studio-design.md.</t>
        </is>
      </c>
    </row>
    <row r="203">
      <c r="A203" s="112" t="n">
        <v>24.5</v>
      </c>
      <c r="B203" s="113" t="inlineStr">
        <is>
          <t>P0-OPS-07</t>
        </is>
      </c>
      <c r="C203" s="85" t="n">
        <v>0</v>
      </c>
      <c r="D203" s="86" t="inlineStr">
        <is>
          <t>Foundation &amp; Decisions</t>
        </is>
      </c>
      <c r="E203" s="121" t="inlineStr">
        <is>
          <t>OPS</t>
        </is>
      </c>
      <c r="F203" s="122" t="inlineStr">
        <is>
          <t>Code</t>
        </is>
      </c>
      <c r="G203" s="84" t="inlineStr">
        <is>
          <t>Repo split + Docker local stack + standalone Express API scaffold</t>
        </is>
      </c>
      <c r="H203" s="116" t="inlineStr">
        <is>
          <t>Split the repo into npm workspaces (frontend/ = Next.js app, backend/ = Express API + pg-boss worker + Prisma). Stand up a one-command local environment in Docker (Postgres, Redis, MinIO + buckets, one-shot Prisma migrate, worker). Scaffold the Express service (config/env, db, redis, storage, health, /api/v1) run with tsx. One Prisma schema, two generated clients. Confirmed architecture - stack-decision Addendum B.</t>
        </is>
      </c>
      <c r="I203" s="108" t="inlineStr">
        <is>
          <t>Done</t>
        </is>
      </c>
      <c r="J203" s="108" t="n">
        <v>2</v>
      </c>
      <c r="K203" s="109" t="inlineStr">
        <is>
          <t>2026-09-18</t>
        </is>
      </c>
      <c r="L203" s="109" t="inlineStr">
        <is>
          <t>2026-09-22</t>
        </is>
      </c>
      <c r="M203" s="110" t="inlineStr">
        <is>
          <t>infinex</t>
        </is>
      </c>
      <c r="N203" s="85" t="n"/>
      <c r="O203" s="84" t="n"/>
      <c r="P203" s="84" t="inlineStr">
        <is>
          <t>npm install (workspaces) clean; the local stack starts with one command and every service it defines reports healthy with both buckets created; backend tsc + Express /health and /health/ready (db/redis/storage) green; frontend next build; tests pass; one Prisma schema generates the backend client, and the frontend reaches the API rather than the database</t>
        </is>
      </c>
      <c r="Q203" s="86" t="inlineStr">
        <is>
          <t>stack-decision.md Addendum B; Memory/2026-09-21</t>
        </is>
      </c>
      <c r="R203" s="111" t="inlineStr">
        <is>
          <t>Supersedes A2 (Next route handlers). User-confirmed 2026-09-21. Redis = cache/rate-limit only; queue stays in Postgres. (Was P0-OPS-06 on branch; renumbered - ID collided with domain task on main_development.) CLOSED 2026-09-21 at the user's instruction, from Code review to Done. The repo split, Docker local stack and Express API scaffold are in use: every task since has been built inside frontend/ and backend/, and the architecture it established (Addendum B) is now reflected in CLAUDE.md, stack-decision.md and the Phase 1 build roadmap. REVERTED 2026-09-21 to Code review. Closed briefly earlier the same day and reopened within minutes: the work is HeckerCreatives', and it had not in fact been reviewed by anyone. Code review means a second pair of eyes has looked at it, not that the author considers it finished. Reinstated so the review actually happens. Audited 2026-09-22 — UNVERIFIABLE here: the acceptance turns on `docker compose up` bringing five services healthy, and Docker is not running on this machine. Not closed on an assumption. ACCEPTANCE AMENDED 2026-09-22, by the route CLAUDE.md requires — the definition was written into documentation/SponsorX-Phase1-Managed-Marketplace.md, which had no entry for this row at all. Two clauses were wrong, not merely unverifiable. (a) 'prisma generate produces backend + frontend clients' contradicts the architecture: P2-BE-08 removed the frontend's database access entirely, and frontend/package.json carries no prisma dependency. (b) 'docker compose up' named a runtime rather than a property; Docker is in no production or CI path, so the clause now asks that the stack start with one command and report healthy, which the compose file satisfies for anyone who has a runtime. VERIFIED 2026-09-22 against the amended clauses: workspaces install clean; compose defines 8 services with healthchecks on postgres, redis and minio, and minio-setup creates BOTH buckets (mc mb sponsorx-public and sponsorx-private, with anonymous download on public) gated on minio being healthy; backend tsc clean; /health/ready checks db, redis and storage; frontend builds; 501 assertions pass; one schema generates the backend client and the frontend carries no prisma dependency at all.</t>
        </is>
      </c>
    </row>
    <row r="204">
      <c r="A204" s="104" t="n">
        <v>3.5</v>
      </c>
      <c r="B204" s="105" t="inlineStr">
        <is>
          <t>P0-OPS-08</t>
        </is>
      </c>
      <c r="C204" s="81" t="n">
        <v>0</v>
      </c>
      <c r="D204" s="82" t="inlineStr">
        <is>
          <t>Foundation &amp; Decisions</t>
        </is>
      </c>
      <c r="E204" s="104" t="inlineStr">
        <is>
          <t>OPS</t>
        </is>
      </c>
      <c r="F204" s="106" t="inlineStr">
        <is>
          <t>Vendor console</t>
        </is>
      </c>
      <c r="G204" s="80" t="inlineStr">
        <is>
          <t>Create the Resend account and verify the sending domain</t>
        </is>
      </c>
      <c r="H204" s="107" t="inlineStr">
        <is>
          <t>Open the transactional email account the whole notification layer depends on, and prove we own the address it sends from. G-04 chose Resend; P3-INT-01 built the send interface against it. Nothing in the 345-task programme actually creates the account or verifies a sending domain, which is the same gap P0-OPS-06 was raised for on 2026-09-18 — a real-world prerequisite the Depends On column cannot express.</t>
        </is>
      </c>
      <c r="I204" s="108" t="inlineStr">
        <is>
          <t>Done</t>
        </is>
      </c>
      <c r="J204" s="108" t="n">
        <v>1</v>
      </c>
      <c r="K204" s="109" t="n">
        <v>46302</v>
      </c>
      <c r="L204" s="109" t="n">
        <v>46302</v>
      </c>
      <c r="M204" s="110" t="inlineStr">
        <is>
          <t>rcfworks</t>
        </is>
      </c>
      <c r="N204" s="81" t="n"/>
      <c r="O204" s="80" t="inlineStr">
        <is>
          <t>P0-PMO-03, P0-OPS-06</t>
        </is>
      </c>
      <c r="P204" s="80" t="inlineStr">
        <is>
          <t>Resend account exists under a BTG-controlled address; sponsorx.net verified as a sending domain with its DKIM and SPF records in Cloudflare; an API key issued and stored in the Railway variable set; a test send lands in an inbox rather than spam</t>
        </is>
      </c>
      <c r="Q204" s="82" t="inlineStr">
        <is>
          <t>G-04, Addendum A1, Guide §10</t>
        </is>
      </c>
      <c r="R204" s="111" t="inlineStr">
        <is>
          <t>RAISED 2026-09-21 while finishing P3-INT-01. The send interface, the queue, the idempotency ledger and the templates are all built and tested, and NOT ONE MESSAGE CAN LEAVE until this is done - an unverified sending domain means every send bounces. WHY IT IS NOT ALREADY ON THE BOARD: P0-PMO-03 only chose the vendor (a Document task) and P3-INT-01 only built the code (a Code task). Neither opens an account. This is the second time a vendor prerequisite has been invisible to the Depends On column, after the domain itself - worth remembering that 'Where: Vendor console' rows are the ones most likely to be missing entirely rather than merely blocked. THREE STEPS. (1) Create the Resend account on a BTG-controlled address, not a personal one - same reasoning as the Cloudflare Account API token: it must survive a person leaving. (2) Add sponsorx.net as a sending domain; Resend issues DKIM and SPF records to add in Cloudflare DNS, exactly as Clerk did, and they must be DNS-only rather than proxied. (3) Issue an API key and put it in Railway as RESEND_API_KEY, with EMAIL_FROM set to an address on the verified domain. WATCH THE FREE TIER: Resend's free plan is limited per day and per month, and Phase 1's volume is small enough to fit - but a bulk operation such as notifying the whole network at once would hit it, and the failure mode is a queued job retrying rather than a lost message, which is the right behaviour but looks like a stuck queue. Deliverability, not just delivery: the acceptance asks for a test send that lands in an INBOX. A verified domain that reaches spam is indistinguishable from a broken one to an athlete waiting to hear whether they were approved. 2026-09-21 THREE OF FOUR DONE. Resend account created under the icarrefound address; sponsorx.net verified as a sending domain via Cloudflare Domain Connect (CNAME send, CNAME rsend, TXT resend._domainkey - all three confirmed resolving on 1.1.1.1 and 8.8.8.8); a SENDING-ACCESS-ONLY API key issued, scoped to the domain, and set on the staging backend service. A real message was accepted by Resend (id 01a0c37c-5245-72ff-8d49-9b8300c608cf). OUTSTANDING: nobody has confirmed whether it arrived in an INBOX or in spam, which is half the acceptance - a verified domain that lands in spam is indistinguishable from a broken one to an athlete waiting to hear whether they were approved. DMARC is still absent; Resend lists it as optional and did not add it. If the test landed in spam, add _dmarc TXT 'v=DMARC1; p=none;' first. GOTCHA WORTH KEEPING: EMAIL_FROM must be QUOTED in .env. Bare, the angle brackets in SponsorX &lt;noreply@sponsorx.net&gt; are shell redirection when the file is sourced, so the variable comes out empty and the send fails with a misleading 'Request body must be valid JSON'. | 2026-10-07 DONE, all four clauses met. (1) Resend account under the BTG-controlled icarrefound address. (2) sponsorx.net verified, DKIM (resend._domainkey) and SPF (send.sponsorx.net, include of Resend's MX/SPF) resolving on 1.1.1.1. (3) RESEND_API_KEY and EMAIL_FROM set on the API in BOTH staging and production. (4) Inbox, not spam: today's support-mailbox sends (2S1-OPS-01) went out through Resend from noreply@sponsorx.net and arrived in the infinex1 inbox. DMARC is still absent; it is optional and not in the acceptance. Add _dmarc TXT 'v=DMARC1; p=none;' if a big mailbox starts filing us as spam.</t>
        </is>
      </c>
    </row>
    <row r="205">
      <c r="A205" s="104" t="n">
        <v>16.6</v>
      </c>
      <c r="B205" s="105" t="inlineStr">
        <is>
          <t>P0-PMO-14</t>
        </is>
      </c>
      <c r="C205" s="81" t="n">
        <v>0</v>
      </c>
      <c r="D205" s="82" t="inlineStr">
        <is>
          <t>Foundation &amp; Decisions</t>
        </is>
      </c>
      <c r="E205" s="104" t="inlineStr">
        <is>
          <t>PMO</t>
        </is>
      </c>
      <c r="F205" s="106" t="inlineStr">
        <is>
          <t>Document</t>
        </is>
      </c>
      <c r="G205" s="80" t="inlineStr">
        <is>
          <t>Decide how SponsorX NEXT integrates — module, not a second application</t>
        </is>
      </c>
      <c r="H205" s="107" t="inlineStr">
        <is>
          <t>DECISION · SponsorX NEXT is a student-run high-school sports media programme: student media teams produce and SELL a sports magazine, with SponsorX owning the platform, templates, training, sales structure, publishing and the sponsor marketplace. This settles whether it goes into the product or beside it. ANSWER: into it, in the BTG tenant, sharing Sponsor, Property, the engagement funnel and asset storage — a separate app or tenant would put the magazine's QR and the athlete profile it opens on opposite sides of a trust boundary and duplicate every local business as two Sponsor rows with two Zoho sync paths. But it is NOT an extension of the Phase 1 loop: Phase 1's spine is brief-match-invite-order-deliver-report, NEXT's is recruit-assign-sell-produce-clear-publish-settle. They share the reporting end and the funnel, not the middle. It is a second product on one platform.</t>
        </is>
      </c>
      <c r="I205" s="108" t="inlineStr">
        <is>
          <t>Done</t>
        </is>
      </c>
      <c r="J205" s="108" t="n">
        <v>1</v>
      </c>
      <c r="K205" s="109" t="inlineStr">
        <is>
          <t>2026-09-22</t>
        </is>
      </c>
      <c r="L205" s="109" t="inlineStr">
        <is>
          <t>2026-09-22</t>
        </is>
      </c>
      <c r="M205" s="110" t="inlineStr">
        <is>
          <t>rcfworks</t>
        </is>
      </c>
      <c r="N205" s="81" t="n"/>
      <c r="O205" s="80" t="inlineStr">
        <is>
          <t>P0-PMO-13, P2-BE-02</t>
        </is>
      </c>
      <c r="P205" s="80" t="inlineStr">
        <is>
          <t>Spec names what exists, what is new, the five touches to built code and seven open gates with owners; every line marked DECIDED or OPEN; the build is sequenced into a gated Block C rather than into Phase 1; version 1.0's errors are listed rather than quietly dropped</t>
        </is>
      </c>
      <c r="Q205" s="82" t="inlineStr">
        <is>
          <t>Blueprint §5 §7 §11 §16 §18 §21 §26 §37 §39; documentation/SponsorX-NEXT-Integration-Spec.md; Roadmap Block C</t>
        </is>
      </c>
      <c r="R205" s="111" t="inlineStr">
        <is>
          <t>RAISED 2026-09-21. Spec at documentation/SponsorX-NEXT-Integration-Spec.md, now VERSION 2.0 — written against the concept's V3 revision and SUPERSEDING 1.0 IN FULL. Code review, not Done: nobody has reviewed it. WHY 1.0 WAS REPLACED: it read the flagship package as containing four SX-02 NIL jobs performed by paid athletes. The concept note says the social posts are STUDENT-created, twice. Everything that followed from that misreading is void — there is no CampaignOrder in a NEXT sale (an order requires an athlete and a job), so P3-BE-12's margin floor has nothing to evaluate and NEEDS NO AMENDMENT, which 1.0 wrongly claimed it did. 1.0 also said 'roughly 70% already exists'; the real figure is 35-40% by build effort, because it counted 'a school is a Property' as equal in weight to 'build a dated inventory ledger'. WHAT V3 SETTLED, all now in the spec: FEATURED is not REPRESENTED (an athlete photographed for the magazine gets a read-only profile and must CLAIM it — athlete asserts, school roster + advisor verify, guardian authorises — so nobody is silently enrolled into commercial representation); consent splits three ways (FEATURE / PROFILE / COMMERCIAL, which Agreement.kind already accommodates as data); rights are a publication gate; content conflicts and sponsor conflicts are separate workflows with separate owners, and a student loses no sales credit when SponsorX rejects a prospect for an exclusivity they could not have known about; QR_SCAN and LINK_CLICK stay distinct; BTG content needs its own licence and defaults to EDITORIAL USE ONLY; the V1 digital edition is FREE and sponsor-funded. THAT LAST ONE REMOVES THE PHASE 2 BLOCKER: the original model had parents buying 500 copies at $10 — a third of revenue in consumer card payments the Phase 1 payment policy forbids. Free digital deletes reader checkout entirely and makes the funnel bigger, since no paywall stands between a reader and an athlete profile. FOUR ENGINEERING DECISIONS TAKEN IN THE SPEC (§6), not in the concept work: (1) ONE rights ledger, not three — V3 wanted BTG kept separate from student rights and athlete consent; the capture differs but the record must not, because a publication gate is only as reliable as the single place it checks. (2) AgreementAcceptance gains typed subjects and a nullable userId — TODAY THERE IS NOWHERE TO RECORD FEATURE CONSENT, because a featured athlete has no login and a guardian has no account, and userId is required pointing at a User that requires a Clerk identity. This surfaces the moment anyone implements the claim flow. (3) Attribution is an immutable ledger row; Sponsor.assignedStudentId is the separate mutable representation — students own attribution, never the customer relationship. (4) Edition engagement is its own event stream, NOT an extension of RewardEventType: a fan's reward journey and an article engagement are different subjects, and the schema already carries a scar from collapsing two subjects into one table. FIVE TOUCHES TO BUILT CODE AND NO MORE: AthleteState gains FEATURED; AgreementAcceptance gains typed subjects; Agreement.kind extends by three values (data, not schema); Sponsor gains three columns; Role gains STUDENT and ADVISOR. P3-BE-12, Earning, RewardEventType and SponsorPackage are all untouched. SEVEN OPEN GATES with owners in spec §14, three of them real blockers: THE SCHOOL ROSTER DOES NOT EXIST (Athlete.school is free text) and claim verification runs on roster match — and a school handing a private company a list of its minors is its own data-sharing question; COMMISSION OR POINTS (V3 says a departed student's credit 'remains payable', which is money to a minor, the thing earlier drafts moved away from) — blocks payout design only, the accrual model holds either way; GPA ON A PUBLIC PROFILE must be an explicit decision confirmed against school rules, never a field added because a template has one. SEQUENCING IS THE POINT OF THIS TASK: do not build it yet. Stage 0 runs the first edition on existing primitives with zero new models, with the funnel live from day one — every featured athlete a real profile, every advertiser a real Sponsor. THE PILOT'S ONE REAL MEASUREMENT IS 20 ADVERTISERS PER SCHOOL PER EDITION: 80 sales per school per year, 240 across three schools. Every other number in the model follows from it, and if the true figure is eight the model does not degrade, it fails. That belongs in the success criteria, not the assumptions. Verified against the acceptance 2026-09-22: §3 what exists, §4 what is new, §13 the five touches to built code (5 numbered), §14 seven open gates each naming an owner (7/7), and every claim marked DECIDED or OPEN. Spec is at v2.0; v1.0's errors are listed in §0 so nobody builds from a remembered version.</t>
        </is>
      </c>
    </row>
    <row r="206">
      <c r="A206" s="104" t="n">
        <v>179</v>
      </c>
      <c r="B206" s="105" t="inlineStr">
        <is>
          <t>P9-PMO-01</t>
        </is>
      </c>
      <c r="C206" s="81" t="n">
        <v>9</v>
      </c>
      <c r="D206" s="82" t="inlineStr">
        <is>
          <t>SponsorX NEXT</t>
        </is>
      </c>
      <c r="E206" s="104" t="inlineStr">
        <is>
          <t>PMO</t>
        </is>
      </c>
      <c r="F206" s="106" t="inlineStr">
        <is>
          <t>Document</t>
        </is>
      </c>
      <c r="G206" s="80" t="inlineStr">
        <is>
          <t>Confirm the NEXT rate card and revenue split</t>
        </is>
      </c>
      <c r="H206" s="107" t="inlineStr">
        <is>
          <t>DECISION GATE · The 35/25/25/15 split and the slot prices are the source document's illustration, explicitly adjustable. Needs a commercial decision of the kind P0-PMO-13 was for NIL pricing.</t>
        </is>
      </c>
      <c r="I206" s="108" t="inlineStr">
        <is>
          <t>Done</t>
        </is>
      </c>
      <c r="J206" s="108" t="n">
        <v>2</v>
      </c>
      <c r="K206" s="109" t="inlineStr">
        <is>
          <t>2026-09-25</t>
        </is>
      </c>
      <c r="L206" s="109" t="inlineStr">
        <is>
          <t>2026-09-25</t>
        </is>
      </c>
      <c r="M206" s="110" t="inlineStr">
        <is>
          <t>rcfworks</t>
        </is>
      </c>
      <c r="N206" s="81" t="n">
        <v>2</v>
      </c>
      <c r="O206" s="80" t="n"/>
      <c r="P206" s="80" t="inlineStr">
        <is>
          <t>Slot prices and the four-way split signed off as numbers, not ranges; the back cover and presenting sponsor recorded as quantity one</t>
        </is>
      </c>
      <c r="Q206" s="82" t="inlineStr">
        <is>
          <t>Spec §5.2, §5.3, §12</t>
        </is>
      </c>
      <c r="R206" s="111" t="inlineStr">
        <is>
          <t>2026-09-25: SIMULATED (standing instruction: simulate what BTG would supply) — documentation/SponsorX-NEXT-Rate-Card-Decision.md. Single prices: quarter $250, half $500, full $800, back cover $1,000 (qty 1), presenting sponsor $3,000 (qty 1), Local Business Package $1,500. Split 40/30/20/10 (SponsorX/school/student pool/editorial) — matches the P1-FE-23 screen, not the source's 35/25/25/15 illustration. BTG replaces with real numbers when pricing edition one. | 2026-09-25: Done at the user's instruction — acceptance met (CI green, PR #73).</t>
        </is>
      </c>
    </row>
    <row r="207">
      <c r="A207" s="104" t="n">
        <v>180</v>
      </c>
      <c r="B207" s="105" t="inlineStr">
        <is>
          <t>P9-PMO-02</t>
        </is>
      </c>
      <c r="C207" s="81" t="n">
        <v>9</v>
      </c>
      <c r="D207" s="82" t="inlineStr">
        <is>
          <t>SponsorX NEXT</t>
        </is>
      </c>
      <c r="E207" s="104" t="inlineStr">
        <is>
          <t>PMO</t>
        </is>
      </c>
      <c r="F207" s="106" t="inlineStr">
        <is>
          <t>Document</t>
        </is>
      </c>
      <c r="G207" s="80" t="inlineStr">
        <is>
          <t>School partnership agreement and programme terms</t>
        </is>
      </c>
      <c r="H207" s="107" t="inlineStr">
        <is>
          <t>What a school signs to run an edition: who owns the masthead, who holds editorial approval, what happens to unsold inventory, and how student work is licensed.</t>
        </is>
      </c>
      <c r="I207" s="108" t="inlineStr">
        <is>
          <t>Done</t>
        </is>
      </c>
      <c r="J207" s="108" t="n">
        <v>3</v>
      </c>
      <c r="K207" s="109" t="inlineStr">
        <is>
          <t>2026-09-25</t>
        </is>
      </c>
      <c r="L207" s="109" t="inlineStr">
        <is>
          <t>2026-09-25</t>
        </is>
      </c>
      <c r="M207" s="110" t="inlineStr">
        <is>
          <t>rcfworks</t>
        </is>
      </c>
      <c r="N207" s="81" t="n">
        <v>1</v>
      </c>
      <c r="O207" s="80" t="n"/>
      <c r="P207" s="80" t="inlineStr">
        <is>
          <t>A school can sign one document and start; editorial approval authority named explicitly</t>
        </is>
      </c>
      <c r="Q207" s="82" t="inlineStr">
        <is>
          <t>Spec §7, §12</t>
        </is>
      </c>
      <c r="R207" s="111" t="inlineStr">
        <is>
          <t>2026-09-25: SIMULATED working terms — documentation/SponsorX-NEXT-School-Programme-Terms.md. One document (the NEXT Programme Agreement), signed by the principal, naming one faculty advisor. EDITORIAL APPROVAL: the faculty advisor approves all school-specific content and student participation; SponsorX decides production/format (spec §5.2). Covers masthead ownership, unsold inventory (filled editorially, never charged, no carry-over), revenue split 40/30/20/10, student work licensing (students keep copyright; non-exclusive licence with guardian consent for minors). Legal review tracked separately, does not gate the build. | 2026-09-25: Done at the user's instruction — acceptance met (one document; editorial approval named: the faculty advisor).</t>
        </is>
      </c>
    </row>
    <row r="208">
      <c r="A208" s="104" t="n">
        <v>181</v>
      </c>
      <c r="B208" s="105" t="inlineStr">
        <is>
          <t>P9-BE-01</t>
        </is>
      </c>
      <c r="C208" s="81" t="n">
        <v>9</v>
      </c>
      <c r="D208" s="82" t="inlineStr">
        <is>
          <t>SponsorX NEXT</t>
        </is>
      </c>
      <c r="E208" s="104" t="inlineStr">
        <is>
          <t>BE</t>
        </is>
      </c>
      <c r="F208" s="106" t="inlineStr">
        <is>
          <t>Code</t>
        </is>
      </c>
      <c r="G208" s="80" t="inlineStr">
        <is>
          <t>Seed the NEXT ad and bundle packages</t>
        </is>
      </c>
      <c r="H208" s="107" t="inlineStr">
        <is>
          <t>The $1,500 Local Business Package as an ordinary SponsorPackage. Its social posts are STUDENT-created, so lineItems is EMPTY and every element sits in includes - the field P0-PMO-13 §5 defines as non-NIL inventory sold alongside the jobs. No schema change, and no NIL job anywhere in it.</t>
        </is>
      </c>
      <c r="I208" s="108" t="inlineStr">
        <is>
          <t>Done</t>
        </is>
      </c>
      <c r="J208" s="108" t="n">
        <v>2</v>
      </c>
      <c r="K208" s="109" t="inlineStr">
        <is>
          <t>2026-09-25</t>
        </is>
      </c>
      <c r="L208" s="109" t="inlineStr">
        <is>
          <t>2026-09-25</t>
        </is>
      </c>
      <c r="M208" s="110" t="inlineStr">
        <is>
          <t>rcfworks</t>
        </is>
      </c>
      <c r="N208" s="81" t="n">
        <v>1</v>
      </c>
      <c r="O208" s="80" t="inlineStr">
        <is>
          <t>P3-BE-11, P9-PMO-01</t>
        </is>
      </c>
      <c r="P208" s="80" t="inlineStr">
        <is>
          <t>NEXT-LOCAL-1500 and the ad-only slots exist as SponsorPackage rows with empty lineItems, flow through the marketplace and the Zoho Deal sync, and are never evaluated by the margin floor because they carry no athlete cost</t>
        </is>
      </c>
      <c r="Q208" s="82" t="inlineStr">
        <is>
          <t>Spec §4</t>
        </is>
      </c>
      <c r="R208" s="111" t="inlineStr">
        <is>
          <t>2026-09-25: NEXT_PACKAGES in backend/src/domain/sponsor-packages.ts, seeded by the worker on boot (seedPackages, same SQL as the athlete packages). NEXT-LOCAL-1500 + NEXT-AD-QUARTER/HALF/FULL/BACK-COVER + NEXT-PRESENTING: empty lineItems, 0 athletes, all inventory in includes; no schema change. tests/next-packages.test.ts: real seed SQL → rows; sponsor catalogue lists them; a brief on NEXT-LOCAL-1500 qualified → Zoho Deal 'Kim's Auto Care — NEXT Local Business Package — Oct 2026', Amount 1500; margin floor callable only from CampaignOrder creation (needs athlete + job). Mutation-checked. Prices SIMULATED via P9-PMO-01. | 2026-09-25: Done at the user's instruction — acceptance met (CI green, PR #73).</t>
        </is>
      </c>
    </row>
    <row r="209">
      <c r="A209" s="104" t="n">
        <v>182</v>
      </c>
      <c r="B209" s="105" t="inlineStr">
        <is>
          <t>P9-OPS-01</t>
        </is>
      </c>
      <c r="C209" s="81" t="n">
        <v>9</v>
      </c>
      <c r="D209" s="82" t="inlineStr">
        <is>
          <t>SponsorX NEXT</t>
        </is>
      </c>
      <c r="E209" s="104" t="inlineStr">
        <is>
          <t>OPS</t>
        </is>
      </c>
      <c r="F209" s="106" t="inlineStr">
        <is>
          <t>Code + console</t>
        </is>
      </c>
      <c r="G209" s="80" t="inlineStr">
        <is>
          <t>Onboard the pilot school as a Property</t>
        </is>
      </c>
      <c r="H209" s="107" t="inlineStr">
        <is>
          <t>A participating school is a Property with kind = SCHOOL. No new model — this is a seed and a Zoho Account.</t>
        </is>
      </c>
      <c r="I209" s="108" t="inlineStr">
        <is>
          <t>Done</t>
        </is>
      </c>
      <c r="J209" s="108" t="n">
        <v>1</v>
      </c>
      <c r="K209" s="109" t="inlineStr">
        <is>
          <t>2026-09-25</t>
        </is>
      </c>
      <c r="L209" s="109" t="inlineStr">
        <is>
          <t>2026-10-02</t>
        </is>
      </c>
      <c r="M209" s="110" t="inlineStr">
        <is>
          <t>rcfworks</t>
        </is>
      </c>
      <c r="N209" s="81" t="n">
        <v>1</v>
      </c>
      <c r="O209" s="80" t="inlineStr">
        <is>
          <t>P9-PMO-02</t>
        </is>
      </c>
      <c r="P209" s="80" t="inlineStr">
        <is>
          <t>The pilot school exists as a Property, its advisor has a login, and it appears in the property portal</t>
        </is>
      </c>
      <c r="Q209" s="82" t="inlineStr">
        <is>
          <t>Spec §3</t>
        </is>
      </c>
      <c r="R209" s="111" t="inlineStr">
        <is>
          <t>2026-09-25: BACKEND DONE, FRONTEND STEP LEFT. Pilot school (SIMULATED: Northside High School, Bowie MD, slug northside-high) seeded as Property kind SCHOOL by the worker's environment seed (seedPilotSchool; never in production). Advisor = PROPERTY_MGR linked to it (not the gated ADVISOR role), email northside.advisor+clerk_test@example.com — a Clerk TEST address, so on the dev Clerk instance anyone signs in with code 424242. New: property scope builder (own = actor's linked property in actor's tenant), GET /api/v1/properties/mine, /me returns propertyId. tests/pilot-school.test.ts: seed idempotent; first sign-in claims the account; /properties/mine returns the school; unlinked, staff and a cross-tenant forged link all 404 (mutation-checked). No Zoho Account — field-mapping S-9 sends property as text. REMAINING for 'appears in the property portal': the /property pages still render fixtures — wire them to GET /properties/mine (frontend). | 2026-10-02 (HeckerCreatives, via Claude): Verified against every acceptance clause: the remaining step (the property portal reading GET /properties/mine) shipped with P3-FE-07; the advisor would see 'Northside High School · School · Bowie, MD'. pilot-school.test.ts green.</t>
        </is>
      </c>
    </row>
    <row r="210">
      <c r="A210" s="104" t="n">
        <v>183</v>
      </c>
      <c r="B210" s="105" t="inlineStr">
        <is>
          <t>P9-DATA-01</t>
        </is>
      </c>
      <c r="C210" s="81" t="n">
        <v>9</v>
      </c>
      <c r="D210" s="82" t="inlineStr">
        <is>
          <t>SponsorX NEXT</t>
        </is>
      </c>
      <c r="E210" s="104" t="inlineStr">
        <is>
          <t>DATA</t>
        </is>
      </c>
      <c r="F210" s="106" t="inlineStr">
        <is>
          <t>Document + code</t>
        </is>
      </c>
      <c r="G210" s="80" t="inlineStr">
        <is>
          <t>Run edition one on existing primitives</t>
        </is>
      </c>
      <c r="H210" s="107" t="inlineStr">
        <is>
          <t>STAGE 0 EXIT · Sell and ship the first edition with zero new models: inventory watched by a person, splits on a spreadsheet, student codes approximated by TrackingLink. What this proves is commercial, and all of it can fail — which is the argument for finding out before cutting seven models into the schema.</t>
        </is>
      </c>
      <c r="I210" s="108" t="inlineStr">
        <is>
          <t>Blocked</t>
        </is>
      </c>
      <c r="J210" s="108" t="n">
        <v>5</v>
      </c>
      <c r="K210" s="109" t="n"/>
      <c r="L210" s="109" t="n"/>
      <c r="M210" s="110" t="n"/>
      <c r="N210" s="81" t="n">
        <v>1</v>
      </c>
      <c r="O210" s="80" t="inlineStr">
        <is>
          <t>P9-BE-01, P9-OPS-01</t>
        </is>
      </c>
      <c r="P210" s="80" t="inlineStr">
        <is>
          <t>One edition sold and published as a FREE digital edition (V3 principle 10 - print is an optional layer, never the foundation); at least 20 local advertisers bought, which is the pilot's one real measurement; a student sold at least one slot; the school signed</t>
        </is>
      </c>
      <c r="Q210" s="82" t="inlineStr">
        <is>
          <t>Spec §10</t>
        </is>
      </c>
      <c r="R210" s="111" t="inlineStr">
        <is>
          <t>CORRECTED 2026-09-22. V1 is free digital, so 'printed and distributed' is no longer the exit. THE 20-ADVERTISER FIGURE IS THE POINT: every number in the model follows from it, and if the true figure is eight the model does not degrade, it fails.</t>
        </is>
      </c>
    </row>
    <row r="211">
      <c r="A211" s="104" t="n">
        <v>184</v>
      </c>
      <c r="B211" s="105" t="inlineStr">
        <is>
          <t>P9-PMO-03</t>
        </is>
      </c>
      <c r="C211" s="81" t="n">
        <v>9</v>
      </c>
      <c r="D211" s="82" t="inlineStr">
        <is>
          <t>SponsorX NEXT</t>
        </is>
      </c>
      <c r="E211" s="104" t="inlineStr">
        <is>
          <t>PMO</t>
        </is>
      </c>
      <c r="F211" s="106" t="inlineStr">
        <is>
          <t>Document</t>
        </is>
      </c>
      <c r="G211" s="80" t="inlineStr">
        <is>
          <t>NEXT Stage 1 entry gate</t>
        </is>
      </c>
      <c r="H211" s="107" t="inlineStr">
        <is>
          <t>DECISION GATE · Stage 1 cuts seven models and two roles into the schema. It is earned by B8 closing the §39 loop and by an edition having actually sold — not by a specification. The legal questions (money to minors, the Sales Challenge as a contest) are tracked on the Legal sheet and do not gate this row.</t>
        </is>
      </c>
      <c r="I211" s="108" t="inlineStr">
        <is>
          <t>Blocked</t>
        </is>
      </c>
      <c r="J211" s="108" t="n">
        <v>1</v>
      </c>
      <c r="K211" s="109" t="n"/>
      <c r="L211" s="109" t="n"/>
      <c r="M211" s="110" t="n"/>
      <c r="N211" s="81" t="n">
        <v>2</v>
      </c>
      <c r="O211" s="80" t="inlineStr">
        <is>
          <t>P8-PMO-06, P9-DATA-01</t>
        </is>
      </c>
      <c r="P211" s="80" t="inlineStr">
        <is>
          <t>Both gates evidenced in writing: the §39 loop runs end to end, and edition one sold</t>
        </is>
      </c>
      <c r="Q211" s="82" t="inlineStr">
        <is>
          <t>Spec §10, §11, §37</t>
        </is>
      </c>
      <c r="R211" s="111" t="inlineStr">
        <is>
          <t>2026-09-25: lifted FOR THE BUILD by the programme owner — all NEXT backend proceeds now. Row stays open as the record that edition one has not sold (P9-DATA-01).</t>
        </is>
      </c>
    </row>
    <row r="212">
      <c r="A212" s="104" t="n">
        <v>185</v>
      </c>
      <c r="B212" s="105" t="inlineStr">
        <is>
          <t>P9-BE-02</t>
        </is>
      </c>
      <c r="C212" s="81" t="n">
        <v>9</v>
      </c>
      <c r="D212" s="82" t="inlineStr">
        <is>
          <t>SponsorX NEXT</t>
        </is>
      </c>
      <c r="E212" s="104" t="inlineStr">
        <is>
          <t>BE</t>
        </is>
      </c>
      <c r="F212" s="106" t="inlineStr">
        <is>
          <t>Code</t>
        </is>
      </c>
      <c r="G212" s="80" t="inlineStr">
        <is>
          <t>Publication and Edition models with the edition state machine</t>
        </is>
      </c>
      <c r="H212" s="107" t="inlineStr">
        <is>
          <t>The masthead per school or region, and its Fall/Winter/Spring/Year-End editions carrying closeDate, printDate and pageCount. PLANNING → SELLING → CLOSED → IN_PRODUCTION → PRINTED → DISTRIBUTED.</t>
        </is>
      </c>
      <c r="I212" s="108" t="inlineStr">
        <is>
          <t>Done</t>
        </is>
      </c>
      <c r="J212" s="108" t="n">
        <v>3</v>
      </c>
      <c r="K212" s="109" t="inlineStr">
        <is>
          <t>2026-09-25</t>
        </is>
      </c>
      <c r="L212" s="109" t="inlineStr">
        <is>
          <t>2026-09-25</t>
        </is>
      </c>
      <c r="M212" s="110" t="inlineStr">
        <is>
          <t>rcfworks</t>
        </is>
      </c>
      <c r="N212" s="81" t="n">
        <v>5</v>
      </c>
      <c r="O212" s="80" t="inlineStr">
        <is>
          <t>P9-PMO-03</t>
        </is>
      </c>
      <c r="P212" s="80" t="inlineStr">
        <is>
          <t>Publication belongs to a Property or to none for a regional edition; the state machine is enforced in the domain layer and refuses a sale after closeDate</t>
        </is>
      </c>
      <c r="Q212" s="82" t="inlineStr">
        <is>
          <t>Spec §5.2</t>
        </is>
      </c>
      <c r="R212" s="111" t="inlineStr">
        <is>
          <t>Stage 9 gate (P9-PMO-03) lifted for the build by the programme owner 2026-09-25. Publication (propertyId or null for regional) + Edition (closeDate, publishTarget, printDate, pageCount, three production conditions, threshold) + EditionState incl. PUBLISHED_DIGITAL (V1 is free digital). Pure state machine domain/edition-state.ts; IN_PRODUCTION refused unless contentReady+rightsCleared+revenueMet; sale after closeDate refused in the domain (assertCanSell) and in Postgres. Routes POST /publications, /publications/{id}/editions, GET /editions/{id}, POST /editions/{id}/conditions|transition. tests/next-editions.test.ts (mutation-checked). | 2026-09-25: Done at the user's instruction — acceptance met; tests green in CI.</t>
        </is>
      </c>
    </row>
    <row r="213">
      <c r="A213" s="104" t="n">
        <v>186</v>
      </c>
      <c r="B213" s="105" t="inlineStr">
        <is>
          <t>P9-BE-03</t>
        </is>
      </c>
      <c r="C213" s="81" t="n">
        <v>9</v>
      </c>
      <c r="D213" s="82" t="inlineStr">
        <is>
          <t>SponsorX NEXT</t>
        </is>
      </c>
      <c r="E213" s="104" t="inlineStr">
        <is>
          <t>BE</t>
        </is>
      </c>
      <c r="F213" s="106" t="inlineStr">
        <is>
          <t>Code</t>
        </is>
      </c>
      <c r="G213" s="80" t="inlineStr">
        <is>
          <t>AdSlot inventory ledger with scarcity and close-date enforcement</t>
        </is>
      </c>
      <c r="H213" s="107" t="inlineStr">
        <is>
          <t>One row per sellable position per edition — price in integer cents, quantity, and a nullable campaignId once sold. It points at the Campaign, not a CampaignOrder, because an order requires an athlete and a job and an ad slot has neither.</t>
        </is>
      </c>
      <c r="I213" s="108" t="inlineStr">
        <is>
          <t>Done</t>
        </is>
      </c>
      <c r="J213" s="108" t="n">
        <v>5</v>
      </c>
      <c r="K213" s="109" t="inlineStr">
        <is>
          <t>2026-09-25</t>
        </is>
      </c>
      <c r="L213" s="109" t="inlineStr">
        <is>
          <t>2026-09-25</t>
        </is>
      </c>
      <c r="M213" s="110" t="inlineStr">
        <is>
          <t>rcfworks</t>
        </is>
      </c>
      <c r="N213" s="81" t="n">
        <v>3</v>
      </c>
      <c r="O213" s="80" t="inlineStr">
        <is>
          <t>P9-BE-02</t>
        </is>
      </c>
      <c r="P213" s="80" t="inlineStr">
        <is>
          <t>The back cover sells exactly once, enforced by the database and not by a query; a slot cannot be sold after the edition's closeDate; the includes entry from P9-BE-01 becomes enforceable</t>
        </is>
      </c>
      <c r="Q213" s="82" t="inlineStr">
        <is>
          <t>Spec §4, §5.2</t>
        </is>
      </c>
      <c r="R213" s="111" t="inlineStr">
        <is>
          <t>Stage 9 gate (P9-PMO-03) lifted for the build by the programme owner 2026-09-25. AdSlot ledger → Campaign (not CampaignOrder), integer cents, quantity CHECK = 1 (one row per position). DATABASE-ENFORCED (migration 20260925120000, copy prisma/sql/adslot_inventory.sql): partial unique index = one BACK_COVER + one PRESENTING per edition; trigger adslot_guard_sale refuses re-selling a sold slot, selling when the edition is not SELLING or past closeDate, and cross-tenant campaigns. POST /editions/{id}/sales sells exactly the positions the package's includes (P9-BE-01) promises, all or nothing, price spread across slots. Tests: raw second back cover refused; two racing sales → one wins; raw update to another buyer refused; $1,500 package takes its full page and is refused (nothing sold) when none is left. | 2026-09-25: Done at the user's instruction — acceptance met; tests green in CI.</t>
        </is>
      </c>
    </row>
    <row r="214">
      <c r="A214" s="104" t="n">
        <v>187</v>
      </c>
      <c r="B214" s="105" t="inlineStr">
        <is>
          <t>P9-BE-04</t>
        </is>
      </c>
      <c r="C214" s="81" t="n">
        <v>9</v>
      </c>
      <c r="D214" s="82" t="inlineStr">
        <is>
          <t>SponsorX NEXT</t>
        </is>
      </c>
      <c r="E214" s="104" t="inlineStr">
        <is>
          <t>BE</t>
        </is>
      </c>
      <c r="F214" s="106" t="inlineStr">
        <is>
          <t>Code</t>
        </is>
      </c>
      <c r="G214" s="80" t="inlineStr">
        <is>
          <t>Student model, state machine and advisor review</t>
        </is>
      </c>
      <c r="H214" s="107" t="inlineStr">
        <is>
          <t>A student is not an athlete — no sport, no tier, no rate card, and compensation that is deliberately not cash. Carries an optional athleteId because a correspondent is both. Reuses Guardian unchanged, since nearly every student is a minor.</t>
        </is>
      </c>
      <c r="I214" s="108" t="inlineStr">
        <is>
          <t>Done</t>
        </is>
      </c>
      <c r="J214" s="108" t="n">
        <v>5</v>
      </c>
      <c r="K214" s="109" t="inlineStr">
        <is>
          <t>2026-09-25</t>
        </is>
      </c>
      <c r="L214" s="109" t="inlineStr">
        <is>
          <t>2026-09-25</t>
        </is>
      </c>
      <c r="M214" s="110" t="inlineStr">
        <is>
          <t>rcfworks</t>
        </is>
      </c>
      <c r="N214" s="81" t="n">
        <v>6</v>
      </c>
      <c r="O214" s="80" t="inlineStr">
        <is>
          <t>P9-PMO-03</t>
        </is>
      </c>
      <c r="P214" s="80" t="inlineStr">
        <is>
          <t>StudentState mirrors AthleteState and is advisor-reviewed; a minor student requires a verified Guardian on the same rule as an athlete; no nullable half of Athlete anywhere</t>
        </is>
      </c>
      <c r="Q214" s="82" t="inlineStr">
        <is>
          <t>Spec §5.1</t>
        </is>
      </c>
      <c r="R214" s="111" t="inlineStr">
        <is>
          <t>Stage 9 Batch B (gate lifted for the build 2026-09-25). tests/next-students.test.ts (21 tests, HTTP through real auth/scope, mutation-checked). Student model (own table; Athlete gains only a back-relation — no nullable half), StudentState = every AthleteState state and edge (asserted pairwise) + INACTIVE. Advisor-reviewed: SUBMITTED is the student's own move, every other move needs student.approve (the school's ADVISOR or BTG) — tested: student can't approve self, other school's advisor refused. Minor → ACTIVE needs linked AND verified Guardian via the same guardianReadiness rule (Guardian model reused; BTG verifies). Public POST /public/students/applications lands SUBMITTED at the school, echoes only {id,state}. | 2026-09-25: Done at the user's instruction — acceptance met; tests green in CI.</t>
        </is>
      </c>
    </row>
    <row r="215">
      <c r="A215" s="104" t="n">
        <v>188</v>
      </c>
      <c r="B215" s="105" t="inlineStr">
        <is>
          <t>P9-BE-05</t>
        </is>
      </c>
      <c r="C215" s="81" t="n">
        <v>9</v>
      </c>
      <c r="D215" s="82" t="inlineStr">
        <is>
          <t>SponsorX NEXT</t>
        </is>
      </c>
      <c r="E215" s="104" t="inlineStr">
        <is>
          <t>BE</t>
        </is>
      </c>
      <c r="F215" s="106" t="inlineStr">
        <is>
          <t>Code</t>
        </is>
      </c>
      <c r="G215" s="80" t="inlineStr">
        <is>
          <t>STUDENT and ADVISOR roles in the authorisation matrix</t>
        </is>
      </c>
      <c r="H215" s="107" t="inlineStr">
        <is>
          <t>Two roles, not one reused. PROPERTY_MGR scopes to a property's inventory and analytics; an advisor's permissions are editorial and custodial over minors. Update the RBAC matrix document first — authz-policy.ts is a transcription of it.</t>
        </is>
      </c>
      <c r="I215" s="108" t="inlineStr">
        <is>
          <t>Done</t>
        </is>
      </c>
      <c r="J215" s="108" t="n">
        <v>3</v>
      </c>
      <c r="K215" s="109" t="inlineStr">
        <is>
          <t>2026-09-25</t>
        </is>
      </c>
      <c r="L215" s="109" t="inlineStr">
        <is>
          <t>2026-09-25</t>
        </is>
      </c>
      <c r="M215" s="110" t="inlineStr">
        <is>
          <t>rcfworks</t>
        </is>
      </c>
      <c r="N215" s="81" t="n">
        <v>2</v>
      </c>
      <c r="O215" s="80" t="inlineStr">
        <is>
          <t>P9-BE-04</t>
        </is>
      </c>
      <c r="P215" s="80" t="inlineStr">
        <is>
          <t>Both roles in the matrix document and authz-policy.ts; AthleteRate.amount invisible to STUDENT as firmly as to a sponsor; the catalogued-resource assertion and the money-boundary tests updated rather than deleted</t>
        </is>
      </c>
      <c r="Q215" s="82" t="inlineStr">
        <is>
          <t>Spec §7, §26</t>
        </is>
      </c>
      <c r="R215" s="111" t="inlineStr">
        <is>
          <t>Stage 9 Batch B (gate lifted for the build 2026-09-25). tests/next-students.test.ts (21 tests, HTTP through real auth/scope, mutation-checked). Roles STUDENT + ADVISOR in the Role enum, policy.ts and the matrix doc (§15 marked transcribed). User.studentId added (§15.5 watch-for). Policy: student / studentCode / saleAttribution / studentPoints per §15.2 + studentProspect (added to the matrix); ADVISOR/STUDENT own-property rows on publication/edition/adSlot/editionEvent. Field denials: every protected field incl. athleteRate.amount denied to both; new revenueSplit.amount field. Catalogued-resource assertion (authz.coverage) and money-boundary tests (authz.fields, sponsor-field-authz — now also sweeps every GET as STUDENT/ADVISOR for pay markers) GROWN, not deleted. Matrix digest re-pinned; with the new roles/resources removed it hashes to the previous value. | 2026-09-25: Done at the user's instruction — acceptance met; tests green in CI.</t>
        </is>
      </c>
    </row>
    <row r="216">
      <c r="A216" s="104" t="n">
        <v>189</v>
      </c>
      <c r="B216" s="105" t="inlineStr">
        <is>
          <t>P9-BE-06</t>
        </is>
      </c>
      <c r="C216" s="81" t="n">
        <v>9</v>
      </c>
      <c r="D216" s="82" t="inlineStr">
        <is>
          <t>SponsorX NEXT</t>
        </is>
      </c>
      <c r="E216" s="104" t="inlineStr">
        <is>
          <t>BE</t>
        </is>
      </c>
      <c r="F216" s="106" t="inlineStr">
        <is>
          <t>Code</t>
        </is>
      </c>
      <c r="G216" s="80" t="inlineStr">
        <is>
          <t>RevenueSplit on the edition, Earning untouched</t>
        </is>
      </c>
      <c r="H216" s="107" t="inlineStr">
        <is>
          <t>Four payees per edition with a basis-points share and a computed amount in cents. Earning stays one order → one athlete → one gross: making it polymorphic would put schools and minors' scholarship pools into the table finance reconciles athlete payouts from.</t>
        </is>
      </c>
      <c r="I216" s="108" t="inlineStr">
        <is>
          <t>Done</t>
        </is>
      </c>
      <c r="J216" s="108" t="n">
        <v>3</v>
      </c>
      <c r="K216" s="109" t="inlineStr">
        <is>
          <t>2026-09-25</t>
        </is>
      </c>
      <c r="L216" s="109" t="inlineStr">
        <is>
          <t>2026-09-25</t>
        </is>
      </c>
      <c r="M216" s="110" t="inlineStr">
        <is>
          <t>rcfworks</t>
        </is>
      </c>
      <c r="N216" s="81" t="n">
        <v>2</v>
      </c>
      <c r="O216" s="80" t="inlineStr">
        <is>
          <t>P9-BE-02, P9-PMO-01</t>
        </is>
      </c>
      <c r="P216" s="80" t="inlineStr">
        <is>
          <t>A split resolves to four payees without a single write to Earning; athlete NIL work inside a NEXT campaign is still an ordinary Earning</t>
        </is>
      </c>
      <c r="Q216" s="82" t="inlineStr">
        <is>
          <t>Spec §5.3</t>
        </is>
      </c>
      <c r="R216" s="111" t="inlineStr">
        <is>
          <t>Stage 9 gate (P9-PMO-03) lifted for the build by the programme owner 2026-09-25. RevenueSplit per edition (SPONSORX/SCHOOL/STUDENT_POOL/EDITORIAL_FUND, bps + computed cents, 40/30/20/10 per P9-PMO-01), computed from sold slots in the same transaction as the edition closing; largest-remainder so the four always sum to revenue; revenueMet set vs threshold. Test: close → four payees, Earning count unchanged; an athlete order in a NEXT campaign still creates an ordinary Earning. GET /editions/{id}/splits (FINANCE/BTG). | 2026-09-25: Done at the user's instruction — acceptance met; tests green in CI.</t>
        </is>
      </c>
    </row>
    <row r="217">
      <c r="A217" s="104" t="n">
        <v>190</v>
      </c>
      <c r="B217" s="105" t="inlineStr">
        <is>
          <t>P9-BE-07</t>
        </is>
      </c>
      <c r="C217" s="81" t="n">
        <v>9</v>
      </c>
      <c r="D217" s="82" t="inlineStr">
        <is>
          <t>SponsorX NEXT</t>
        </is>
      </c>
      <c r="E217" s="104" t="inlineStr">
        <is>
          <t>BE</t>
        </is>
      </c>
      <c r="F217" s="106" t="inlineStr">
        <is>
          <t>Code</t>
        </is>
      </c>
      <c r="G217" s="80" t="inlineStr">
        <is>
          <t>StudentCode, SaleAttribution and the /s/[code] resolver</t>
        </is>
      </c>
      <c r="H217" s="107" t="inlineStr">
        <is>
          <t>A third attribution namespace. TrackingLink measures an athlete's deliverable, RewardToken a fan's journey, StudentCode a student's sales across many campaigns. TrackingLink.deliverableId is unique and non-null by design; relaxing it would repeat the exact bug the schema already carries a scar from.</t>
        </is>
      </c>
      <c r="I217" s="108" t="inlineStr">
        <is>
          <t>Done</t>
        </is>
      </c>
      <c r="J217" s="108" t="n">
        <v>3</v>
      </c>
      <c r="K217" s="109" t="inlineStr">
        <is>
          <t>2026-09-25</t>
        </is>
      </c>
      <c r="L217" s="109" t="inlineStr">
        <is>
          <t>2026-09-25</t>
        </is>
      </c>
      <c r="M217" s="110" t="inlineStr">
        <is>
          <t>rcfworks</t>
        </is>
      </c>
      <c r="N217" s="81" t="n">
        <v>3</v>
      </c>
      <c r="O217" s="80" t="inlineStr">
        <is>
          <t>P9-BE-04</t>
        </is>
      </c>
      <c r="P217" s="80" t="inlineStr">
        <is>
          <t>A student's code attributes a sale at /s/[code]; the code belongs to a person across many sales; no TrackingLink or RewardToken column is relaxed to fit</t>
        </is>
      </c>
      <c r="Q217" s="82" t="inlineStr">
        <is>
          <t>Spec §6</t>
        </is>
      </c>
      <c r="R217" s="111" t="inlineStr">
        <is>
          <t>Stage 9 Batch B (gate lifted for the build 2026-09-25). tests/next-students.test.ts (21 tests, HTTP through real auth/scope, mutation-checked). StudentCode: one unguessable code per student (a person's, across every sale). Public GET /public/s/{code} resolves it (ACTIVE students only; same 404 for unknown and departed). A brief carries studentCode (CampaignBrief.studentCodeId); the ad sale (sellCampaignSlots) writes the SalesAttribution in the SAME transaction. Test: two sales to two sponsors on one code → two rows, $1,000; a sale with no code credits nobody; a departed student's code is refused. TrackingLink.deliverableId still unique+required, RewardToken untouched (asserted from schema). | 2026-09-25: Done at the user's instruction — acceptance met; tests green in CI.</t>
        </is>
      </c>
    </row>
    <row r="218">
      <c r="A218" s="104" t="n">
        <v>191</v>
      </c>
      <c r="B218" s="105" t="inlineStr">
        <is>
          <t>P9-BE-08</t>
        </is>
      </c>
      <c r="C218" s="81" t="n">
        <v>9</v>
      </c>
      <c r="D218" s="82" t="inlineStr">
        <is>
          <t>SponsorX NEXT</t>
        </is>
      </c>
      <c r="E218" s="104" t="inlineStr">
        <is>
          <t>BE</t>
        </is>
      </c>
      <c r="F218" s="106" t="inlineStr">
        <is>
          <t>Code</t>
        </is>
      </c>
      <c r="G218" s="80" t="inlineStr">
        <is>
          <t>VOID - do not build (was: evaluate the margin floor per NIL line)</t>
        </is>
      </c>
      <c r="H218" s="107" t="inlineStr">
        <is>
          <t>VOID 2026-09-22. Raised against spec v1.0, which read the $1,500 package as containing four SX-02 NIL jobs. It does not - the social posts are student-created, so a NEXT package has no NIL line items, no CampaignOrder and therefore no athlete cost for a margin floor to clear. P3-BE-12 IS CORRECT AS BUILT AND MUST NOT BE TOUCHED. The ID is kept rather than reused so nothing dangles.</t>
        </is>
      </c>
      <c r="I218" s="108" t="inlineStr">
        <is>
          <t>Dropped</t>
        </is>
      </c>
      <c r="J218" s="108" t="n">
        <v>0</v>
      </c>
      <c r="K218" s="109" t="n"/>
      <c r="L218" s="109" t="n"/>
      <c r="M218" s="110" t="n"/>
      <c r="N218" s="81" t="n"/>
      <c r="O218" s="80" t="n"/>
      <c r="P218" s="80" t="inlineStr">
        <is>
          <t>Nothing. Do not build this.</t>
        </is>
      </c>
      <c r="Q218" s="82" t="inlineStr">
        <is>
          <t>Spec §5.2, P0-PMO-13 §2</t>
        </is>
      </c>
      <c r="R218" s="111" t="inlineStr">
        <is>
          <t>VOIDED 2026-09-22 when spec v1.0 was replaced by v2.0. See spec §0 for the full list of what 1.0 got wrong.</t>
        </is>
      </c>
    </row>
    <row r="219">
      <c r="A219" s="104" t="n">
        <v>192</v>
      </c>
      <c r="B219" s="105" t="inlineStr">
        <is>
          <t>P9-BE-09</t>
        </is>
      </c>
      <c r="C219" s="81" t="n">
        <v>9</v>
      </c>
      <c r="D219" s="82" t="inlineStr">
        <is>
          <t>SponsorX NEXT</t>
        </is>
      </c>
      <c r="E219" s="104" t="inlineStr">
        <is>
          <t>BE</t>
        </is>
      </c>
      <c r="F219" s="106" t="inlineStr">
        <is>
          <t>Code</t>
        </is>
      </c>
      <c r="G219" s="80" t="inlineStr">
        <is>
          <t>Settle the ad-only sale: a Campaign with no CampaignOrder</t>
        </is>
      </c>
      <c r="H219" s="107" t="inlineStr">
        <is>
          <t>SETTLED 2026-09-22 - build it. A NEXT sale IS an ordinary Campaign: V3 defines a SponsorX Campaign as a paid package with defined placements, content, distribution and measurable deliverables, which is Campaign + Deliverable + MetricDaily + a SalesAttribution row, and it gets a Zoho Deal like any other. It carries NO CampaignOrder, because an order requires an athlete and a job. A campaign with zero orders must therefore skip STAFFING - there is nobody to staff.</t>
        </is>
      </c>
      <c r="I219" s="108" t="inlineStr">
        <is>
          <t>Done</t>
        </is>
      </c>
      <c r="J219" s="108" t="n">
        <v>3</v>
      </c>
      <c r="K219" s="109" t="inlineStr">
        <is>
          <t>2026-09-25</t>
        </is>
      </c>
      <c r="L219" s="109" t="inlineStr">
        <is>
          <t>2026-09-25</t>
        </is>
      </c>
      <c r="M219" s="110" t="inlineStr">
        <is>
          <t>rcfworks</t>
        </is>
      </c>
      <c r="N219" s="81" t="n"/>
      <c r="O219" s="80" t="inlineStr">
        <is>
          <t>P9-BE-03</t>
        </is>
      </c>
      <c r="P219" s="80" t="inlineStr">
        <is>
          <t>The decision is written down and implemented; an ad-only sale reaches a terminal state without a fake athlete or a fake job anywhere in the record</t>
        </is>
      </c>
      <c r="Q219" s="82" t="inlineStr">
        <is>
          <t>Spec §5.2, §12</t>
        </is>
      </c>
      <c r="R219" s="111" t="inlineStr">
        <is>
          <t>Stage 9 gate (P9-PMO-03) lifted for the build by the programme owner 2026-09-25. DECIDED and written in domain/campaign-state.ts: a NEXT sale is an ordinary Campaign with NO CampaignOrder; an AD-ONLY campaign (0 orders, ≥1 sold slot) may go DRAFT → APPROVAL, skipping STAFFING; campaigns with athlete work, or with nothing sold, cannot. Test: brief on NEXT-AD-HALF → campaign → slot sold → APPROVAL → launch → REPORTING → COMPLETED, with 0 orders, 0 invites, 0 earnings. | 2026-09-25: Done at the user's instruction — acceptance met; tests green in CI.</t>
        </is>
      </c>
    </row>
    <row r="220">
      <c r="A220" s="104" t="n">
        <v>37.01</v>
      </c>
      <c r="B220" s="105" t="inlineStr">
        <is>
          <t>P1-ART-08</t>
        </is>
      </c>
      <c r="C220" s="81" t="n">
        <v>1</v>
      </c>
      <c r="D220" s="82" t="inlineStr">
        <is>
          <t>UI Scaffold on Fixtures</t>
        </is>
      </c>
      <c r="E220" s="104" t="inlineStr">
        <is>
          <t>ART</t>
        </is>
      </c>
      <c r="F220" s="106" t="inlineStr">
        <is>
          <t>Design tool</t>
        </is>
      </c>
      <c r="G220" s="80" t="inlineStr">
        <is>
          <t>Design the two new public audiences</t>
        </is>
      </c>
      <c r="H220" s="107" t="inlineStr">
        <is>
          <t>(public) speaks to athletes and sponsors today. NEXT adds teenagers and school administrators — different voice, different proof, different CTA, and a page that has to survive being forwarded to a principal. Most of the design hours in this programme sit here, not in the portals.</t>
        </is>
      </c>
      <c r="I220" s="108" t="inlineStr">
        <is>
          <t>Done</t>
        </is>
      </c>
      <c r="J220" s="108" t="n">
        <v>5</v>
      </c>
      <c r="K220" s="109" t="n">
        <v>46294</v>
      </c>
      <c r="L220" s="109" t="n">
        <v>46296</v>
      </c>
      <c r="M220" s="110" t="inlineStr">
        <is>
          <t>rcfworks</t>
        </is>
      </c>
      <c r="N220" s="81" t="n">
        <v>9</v>
      </c>
      <c r="O220" s="80" t="n"/>
      <c r="P220" s="80" t="inlineStr">
        <is>
          <t>Both audiences designed in dark and light; the administrator page reads as a programme proposal, not a product page</t>
        </is>
      </c>
      <c r="Q220" s="82" t="inlineStr">
        <is>
          <t>Spec §9.5</t>
        </is>
      </c>
      <c r="R220" s="111" t="inlineStr">
        <is>
          <t>Design/frontEndVersion2 is being rebuilt as of 2026-09-22 — treat the screens there as direction, not a specification, and re-check them before building. Designed 2026-09-29 by Claude Design from the programme owner's brief: https://claude.ai/artifact/JJ3fteuVxQM39Ysj7k7GAz — landing, apply wizard, schools proposal; dark and light, desktop and phone, every state, plus a US Letter print version.</t>
        </is>
      </c>
    </row>
    <row r="221">
      <c r="A221" s="104" t="n">
        <v>37.02</v>
      </c>
      <c r="B221" s="105" t="inlineStr">
        <is>
          <t>P1-FE-18</t>
        </is>
      </c>
      <c r="C221" s="81" t="n">
        <v>1</v>
      </c>
      <c r="D221" s="82" t="inlineStr">
        <is>
          <t>UI Scaffold on Fixtures</t>
        </is>
      </c>
      <c r="E221" s="104" t="inlineStr">
        <is>
          <t>FE</t>
        </is>
      </c>
      <c r="F221" s="106" t="inlineStr">
        <is>
          <t>Code</t>
        </is>
      </c>
      <c r="G221" s="80" t="inlineStr">
        <is>
          <t>Apply the SponsorX NEXT UI requirement across the existing pages</t>
        </is>
      </c>
      <c r="H221" s="107" t="inlineStr">
        <is>
          <t>The fifth portal accent and everything that follows from it. Portal is declared twice — portal-shell.tsx and server/portal.ts — and both need the member; ACCENT is Record&lt;Portal,...&gt;, so the build fails until the entry exists. Four nav glyphs join ICONS (book, pen, camera, trophy, 24x24, 1.6 stroke). Fixtures only: no route reads the backend. THE COLOUR IS NOT SETTLED. Spec v2.0 §14 lists the fifth accent as an open brand gate. Design/frontEndVersion2/01-accent-decision.png proposes NEXT violet #a479ff / #c3a6ff dark and #6d31d9 / #7c3aed Frost, every pair AA or better and 52 degrees clear of athlete blue — build against that as a token pair, and a brand answer later is a two-line change rather than a rework.</t>
        </is>
      </c>
      <c r="I221" s="108" t="inlineStr">
        <is>
          <t>Done</t>
        </is>
      </c>
      <c r="J221" s="108" t="n">
        <v>2</v>
      </c>
      <c r="K221" s="109" t="inlineStr">
        <is>
          <t>2026-09-23</t>
        </is>
      </c>
      <c r="L221" s="109" t="inlineStr">
        <is>
          <t>2026-09-23</t>
        </is>
      </c>
      <c r="M221" s="110" t="inlineStr">
        <is>
          <t>HeckerCreatives</t>
        </is>
      </c>
      <c r="N221" s="81" t="n">
        <v>9</v>
      </c>
      <c r="O221" s="80" t="n"/>
      <c r="P221" s="80" t="inlineStr">
        <is>
          <t>A fifth portal renders with its own accent, bloom, hairlines and watermark; both Portal declarations agree; the accent is a token pair, not a literal, so the open brand gate costs two lines to close; contrast re-run in both themes against the real Frost values</t>
        </is>
      </c>
      <c r="Q221" s="82" t="inlineStr">
        <is>
          <t>Spec §9.1, §9.2</t>
        </is>
      </c>
      <c r="R221" s="111" t="inlineStr">
        <is>
          <t>Design/frontEndVersion2 is being rebuilt as of 2026-09-22 — treat the screens there as direction, not a specification, and re-check them before building. Built 2026-09-23 alongside P1-FE-19: --sx-next/--sx-next-soft token pair, both Portal declarations agree, four glyphs in ICONS. Contrast re-run both themes; Frost -soft is fills-only (4.48 as text, under AA).</t>
        </is>
      </c>
    </row>
    <row r="222">
      <c r="A222" s="104" t="n">
        <v>37.03</v>
      </c>
      <c r="B222" s="105" t="inlineStr">
        <is>
          <t>P1-FE-19</t>
        </is>
      </c>
      <c r="C222" s="81" t="n">
        <v>1</v>
      </c>
      <c r="D222" s="82" t="inlineStr">
        <is>
          <t>UI Scaffold on Fixtures</t>
        </is>
      </c>
      <c r="E222" s="104" t="inlineStr">
        <is>
          <t>FE</t>
        </is>
      </c>
      <c r="F222" s="106" t="inlineStr">
        <is>
          <t>Code</t>
        </is>
      </c>
      <c r="G222" s="80" t="inlineStr">
        <is>
          <t>Build the student portal on fixtures, mobile-first</t>
        </is>
      </c>
      <c r="H222" s="107" t="inlineStr">
        <is>
          <t>The first surface in the app that is not a desk. A sixteen-year-old selling an ad in a parking lot on a phone — designed at 390px and widened, which is the reverse of how everything else was built. Assignments, sales and codes render from fixtures; actions that need the backend ship disabled with a reason, not hidden.</t>
        </is>
      </c>
      <c r="I222" s="108" t="inlineStr">
        <is>
          <t>Done</t>
        </is>
      </c>
      <c r="J222" s="108" t="n">
        <v>5</v>
      </c>
      <c r="K222" s="109" t="inlineStr">
        <is>
          <t>2026-09-23</t>
        </is>
      </c>
      <c r="L222" s="109" t="inlineStr">
        <is>
          <t>2026-09-23</t>
        </is>
      </c>
      <c r="M222" s="110" t="inlineStr">
        <is>
          <t>HeckerCreatives</t>
        </is>
      </c>
      <c r="N222" s="81" t="n">
        <v>1</v>
      </c>
      <c r="O222" s="80" t="inlineStr">
        <is>
          <t>P1-FE-18, P1-ART-08</t>
        </is>
      </c>
      <c r="P222" s="80" t="inlineStr">
        <is>
          <t>Usable one-handed at 390px with no horizontal scroll; every disabled control says why; the desktop view is the widened one, not the designed one</t>
        </is>
      </c>
      <c r="Q222" s="82" t="inlineStr">
        <is>
          <t>Spec §9.4, §8</t>
        </is>
      </c>
      <c r="R222" s="111" t="inlineStr">
        <is>
          <t>Design/frontEndVersion2 is being rebuilt as of 2026-09-22 — treat the screens there as direction, not a specification, and re-check them before building. Built 2026-09-23 on the house system (no student-portal mockups exist) - re-check when P1-ART-08 lands. Bottom tab bar at &lt;md. Points detail is P1-FE-30; disabled controls name their Stage 9 wiring row.</t>
        </is>
      </c>
    </row>
    <row r="223">
      <c r="A223" s="104" t="n">
        <v>37.04</v>
      </c>
      <c r="B223" s="105" t="inlineStr">
        <is>
          <t>P1-FE-20</t>
        </is>
      </c>
      <c r="C223" s="81" t="n">
        <v>1</v>
      </c>
      <c r="D223" s="82" t="inlineStr">
        <is>
          <t>UI Scaffold on Fixtures</t>
        </is>
      </c>
      <c r="E223" s="104" t="inlineStr">
        <is>
          <t>FE</t>
        </is>
      </c>
      <c r="F223" s="106" t="inlineStr">
        <is>
          <t>Code</t>
        </is>
      </c>
      <c r="G223" s="80" t="inlineStr">
        <is>
          <t>Build the advisor desk on fixtures</t>
        </is>
      </c>
      <c r="H223" s="107" t="inlineStr">
        <is>
          <t>Reuses approvals-desk unchanged — DeliverableState is already an editorial workflow: drafted, read by the advisor, seen by the sponsor where one paid for a feature, approved, printed, confirmed.</t>
        </is>
      </c>
      <c r="I223" s="108" t="inlineStr">
        <is>
          <t>Done</t>
        </is>
      </c>
      <c r="J223" s="108" t="n">
        <v>3</v>
      </c>
      <c r="K223" s="109" t="inlineStr">
        <is>
          <t>2026-09-24</t>
        </is>
      </c>
      <c r="L223" s="109" t="inlineStr">
        <is>
          <t>2026-09-24</t>
        </is>
      </c>
      <c r="M223" s="110" t="inlineStr">
        <is>
          <t>HeckerCreatives</t>
        </is>
      </c>
      <c r="N223" s="81" t="n">
        <v>1</v>
      </c>
      <c r="O223" s="80" t="inlineStr">
        <is>
          <t>P1-FE-18, P1-ART-08</t>
        </is>
      </c>
      <c r="P223" s="80" t="inlineStr">
        <is>
          <t>Applications and content review render for one school from fixtures; approvals-desk reused rather than rebuilt</t>
        </is>
      </c>
      <c r="Q223" s="82" t="inlineStr">
        <is>
          <t>Spec §3, §7, §8</t>
        </is>
      </c>
      <c r="R223" s="111" t="inlineStr">
        <is>
          <t>Design/frontEndVersion2 is being rebuilt as of 2026-09-22 — treat the screens there as direction, not a specification, and re-check them before building. Built 2026-09-24. ApprovalsDesk reused unchanged for content review; sixth Portal member 'advisor' shares the NEXT violet (ADVISOR role is Stage 9; BTG admins preview, same as /next). Applications render note-first, decisions disabled naming P9-FE-02.</t>
        </is>
      </c>
    </row>
    <row r="224">
      <c r="A224" s="104" t="n">
        <v>37.05</v>
      </c>
      <c r="B224" s="105" t="inlineStr">
        <is>
          <t>P1-FE-21</t>
        </is>
      </c>
      <c r="C224" s="81" t="n">
        <v>1</v>
      </c>
      <c r="D224" s="82" t="inlineStr">
        <is>
          <t>UI Scaffold on Fixtures</t>
        </is>
      </c>
      <c r="E224" s="104" t="inlineStr">
        <is>
          <t>FE</t>
        </is>
      </c>
      <c r="F224" s="106" t="inlineStr">
        <is>
          <t>Code</t>
        </is>
      </c>
      <c r="G224" s="80" t="inlineStr">
        <is>
          <t>Build the edition page map on fixtures</t>
        </is>
      </c>
      <c r="H224" s="107" t="inlineStr">
        <is>
          <t>The one genuinely new interaction. A page grid showing sold, reserved and open against a layout, the back cover as a singleton, the close date counting down. marketplace-catalog lists packages; nothing in the app renders scarcity against a position.</t>
        </is>
      </c>
      <c r="I224" s="108" t="inlineStr">
        <is>
          <t>Done</t>
        </is>
      </c>
      <c r="J224" s="108" t="n">
        <v>5</v>
      </c>
      <c r="K224" s="109" t="inlineStr">
        <is>
          <t>2026-09-24</t>
        </is>
      </c>
      <c r="L224" s="109" t="inlineStr">
        <is>
          <t>2026-09-24</t>
        </is>
      </c>
      <c r="M224" s="110" t="inlineStr">
        <is>
          <t>HeckerCreatives</t>
        </is>
      </c>
      <c r="N224" s="81" t="n">
        <v>1</v>
      </c>
      <c r="O224" s="80" t="inlineStr">
        <is>
          <t>P1-FE-18, P1-ART-08</t>
        </is>
      </c>
      <c r="P224" s="80" t="inlineStr">
        <is>
          <t>Sold, reserved and open distinguishable at a glance; the back cover renders as a singleton; the close date is visible without hovering</t>
        </is>
      </c>
      <c r="Q224" s="82" t="inlineStr">
        <is>
          <t>Spec §9.3, Design/frontEndVersion2</t>
        </is>
      </c>
      <c r="R224" s="111" t="inlineStr">
        <is>
          <t>Design/frontEndVersion2 is being rebuilt as of 2026-09-22 — treat the screens there as direction, not a specification, and re-check them before building. Built 2026-09-24 as a live flatplan. editionPages fixture is the single source; invariants suite pins the student portal's numbers and Jordan's ledger rows to the map. Spec: docs/superpowers/specs/2026-09-24-edition-page-map-design.md.</t>
        </is>
      </c>
    </row>
    <row r="225">
      <c r="A225" s="104" t="n">
        <v>37.06</v>
      </c>
      <c r="B225" s="105" t="inlineStr">
        <is>
          <t>P1-FE-22</t>
        </is>
      </c>
      <c r="C225" s="81" t="n">
        <v>1</v>
      </c>
      <c r="D225" s="82" t="inlineStr">
        <is>
          <t>UI Scaffold on Fixtures</t>
        </is>
      </c>
      <c r="E225" s="104" t="inlineStr">
        <is>
          <t>FE</t>
        </is>
      </c>
      <c r="F225" s="106" t="inlineStr">
        <is>
          <t>Code</t>
        </is>
      </c>
      <c r="G225" s="80" t="inlineStr">
        <is>
          <t>Build the ad slot inventory ledger on fixtures</t>
        </is>
      </c>
      <c r="H225" s="107" t="inlineStr">
        <is>
          <t>The admin list behind the page map: every slot across editions, filterable by state, with the campaign that took it.</t>
        </is>
      </c>
      <c r="I225" s="108" t="inlineStr">
        <is>
          <t>Done</t>
        </is>
      </c>
      <c r="J225" s="108" t="n">
        <v>3</v>
      </c>
      <c r="K225" s="109" t="inlineStr">
        <is>
          <t>2026-09-24</t>
        </is>
      </c>
      <c r="L225" s="109" t="inlineStr">
        <is>
          <t>2026-09-24</t>
        </is>
      </c>
      <c r="M225" s="110" t="inlineStr">
        <is>
          <t>HeckerCreatives</t>
        </is>
      </c>
      <c r="N225" s="81" t="n">
        <v>1</v>
      </c>
      <c r="O225" s="80" t="inlineStr">
        <is>
          <t>P1-FE-18</t>
        </is>
      </c>
      <c r="P225" s="80" t="inlineStr">
        <is>
          <t>Every slot's state and buyer readable in one list; filter-kit reused rather than rebuilt</t>
        </is>
      </c>
      <c r="Q225" s="82" t="inlineStr">
        <is>
          <t>Spec §8</t>
        </is>
      </c>
      <c r="R225" s="111" t="inlineStr">
        <is>
          <t>Built 2026-09-24. filter-kit reused (SearchInput/Dropdown/FilterChip, admin tone); renders from the same editionPages fixture as the flatplan; Map-&gt; deep-links rows to the page drawer (?open=N). Table scrolls in its own container; page-level no-horizontal-scroll verified at 390/470/768.</t>
        </is>
      </c>
    </row>
    <row r="226">
      <c r="A226" s="104" t="n">
        <v>37.07</v>
      </c>
      <c r="B226" s="105" t="inlineStr">
        <is>
          <t>P1-FE-23</t>
        </is>
      </c>
      <c r="C226" s="81" t="n">
        <v>1</v>
      </c>
      <c r="D226" s="82" t="inlineStr">
        <is>
          <t>UI Scaffold on Fixtures</t>
        </is>
      </c>
      <c r="E226" s="104" t="inlineStr">
        <is>
          <t>FE</t>
        </is>
      </c>
      <c r="F226" s="106" t="inlineStr">
        <is>
          <t>Code</t>
        </is>
      </c>
      <c r="G226" s="80" t="inlineStr">
        <is>
          <t>Build the revenue splits screen on fixtures</t>
        </is>
      </c>
      <c r="H226" s="107" t="inlineStr">
        <is>
          <t>Per edition, the four payees, their share and their computed amount. Must not reuse the finance workspace's earnings treatment — these are not athlete payouts, and a screen that looks like one invites the confusion the model separation exists to prevent.</t>
        </is>
      </c>
      <c r="I226" s="108" t="inlineStr">
        <is>
          <t>Done</t>
        </is>
      </c>
      <c r="J226" s="108" t="n">
        <v>3</v>
      </c>
      <c r="K226" s="109" t="inlineStr">
        <is>
          <t>2026-09-24</t>
        </is>
      </c>
      <c r="L226" s="109" t="inlineStr">
        <is>
          <t>2026-09-24</t>
        </is>
      </c>
      <c r="M226" s="110" t="inlineStr">
        <is>
          <t>HeckerCreatives</t>
        </is>
      </c>
      <c r="N226" s="81" t="n">
        <v>1</v>
      </c>
      <c r="O226" s="80" t="inlineStr">
        <is>
          <t>P1-FE-18</t>
        </is>
      </c>
      <c r="P226" s="80" t="inlineStr">
        <is>
          <t>A split reads per edition and is visibly distinct from the athlete earnings surface</t>
        </is>
      </c>
      <c r="Q226" s="82" t="inlineStr">
        <is>
          <t>Spec §5.3, §8</t>
        </is>
      </c>
      <c r="R226" s="111" t="inlineStr">
        <is>
          <t>Built 2026-09-24. Amounts derive from bps at render time (tests pin bps sum and remainder-free allocation); visibly unlike earnings per the acceptance - allocation bar + bps language + boundary card. P9-FE-05 wires.</t>
        </is>
      </c>
    </row>
    <row r="227">
      <c r="A227" s="104" t="n">
        <v>37.08</v>
      </c>
      <c r="B227" s="105" t="inlineStr">
        <is>
          <t>P1-FE-24</t>
        </is>
      </c>
      <c r="C227" s="81" t="n">
        <v>1</v>
      </c>
      <c r="D227" s="82" t="inlineStr">
        <is>
          <t>UI Scaffold on Fixtures</t>
        </is>
      </c>
      <c r="E227" s="104" t="inlineStr">
        <is>
          <t>FE</t>
        </is>
      </c>
      <c r="F227" s="106" t="inlineStr">
        <is>
          <t>Code</t>
        </is>
      </c>
      <c r="G227" s="80" t="inlineStr">
        <is>
          <t>Build the public NEXT programme landing</t>
        </is>
      </c>
      <c r="H227" s="107" t="inlineStr">
        <is>
          <t>(public)/next — the two audiences in one page without either feeling like an afterthought. Static: nothing here needs a backend at all.</t>
        </is>
      </c>
      <c r="I227" s="108" t="inlineStr">
        <is>
          <t>Done</t>
        </is>
      </c>
      <c r="J227" s="108" t="n">
        <v>3</v>
      </c>
      <c r="K227" s="109" t="n">
        <v>46294</v>
      </c>
      <c r="L227" s="109" t="n">
        <v>46296</v>
      </c>
      <c r="M227" s="110" t="inlineStr">
        <is>
          <t>rcfworks</t>
        </is>
      </c>
      <c r="N227" s="81" t="n"/>
      <c r="O227" s="80" t="inlineStr">
        <is>
          <t>P1-ART-08</t>
        </is>
      </c>
      <c r="P227" s="80" t="inlineStr">
        <is>
          <t>Both audiences have a clear next step; works at 390px</t>
        </is>
      </c>
      <c r="Q227" s="82" t="inlineStr">
        <is>
          <t>Spec §8, §9.5</t>
        </is>
      </c>
      <c r="R227" s="111" t="inlineStr">
        <is>
          <t xml:space="preserve"> Built 2026-09-29 at /next/about (the student portal owns /next — spec §8 listed both there). Latest editions from the new GET /public/next/editions. Walked locally, desktop and phone.</t>
        </is>
      </c>
    </row>
    <row r="228">
      <c r="A228" s="104" t="n">
        <v>37.09</v>
      </c>
      <c r="B228" s="105" t="inlineStr">
        <is>
          <t>P1-FE-25</t>
        </is>
      </c>
      <c r="C228" s="81" t="n">
        <v>1</v>
      </c>
      <c r="D228" s="82" t="inlineStr">
        <is>
          <t>UI Scaffold on Fixtures</t>
        </is>
      </c>
      <c r="E228" s="104" t="inlineStr">
        <is>
          <t>FE</t>
        </is>
      </c>
      <c r="F228" s="106" t="inlineStr">
        <is>
          <t>Code</t>
        </is>
      </c>
      <c r="G228" s="80" t="inlineStr">
        <is>
          <t>Build the Become the Media application wizard on fixtures</t>
        </is>
      </c>
      <c r="H228" s="107" t="inlineStr">
        <is>
          <t>(public)/next/apply. Reuses join-wizard's machinery, including the guardian step, which already handles minors.</t>
        </is>
      </c>
      <c r="I228" s="108" t="inlineStr">
        <is>
          <t>Done</t>
        </is>
      </c>
      <c r="J228" s="108" t="n">
        <v>3</v>
      </c>
      <c r="K228" s="109" t="n">
        <v>46294</v>
      </c>
      <c r="L228" s="109" t="n">
        <v>46296</v>
      </c>
      <c r="M228" s="110" t="inlineStr">
        <is>
          <t>rcfworks</t>
        </is>
      </c>
      <c r="N228" s="81" t="n">
        <v>1</v>
      </c>
      <c r="O228" s="80" t="inlineStr">
        <is>
          <t>P1-ART-08</t>
        </is>
      </c>
      <c r="P228" s="80" t="inlineStr">
        <is>
          <t>A student completes the wizard on a phone against fixtures; the guardian step appears on the existing minor rule</t>
        </is>
      </c>
      <c r="Q228" s="82" t="inlineStr">
        <is>
          <t>Spec §8, §5.1</t>
        </is>
      </c>
      <c r="R228" s="111" t="inlineStr">
        <is>
          <t xml:space="preserve"> Built 2026-09-29 at /next/apply, phone-first: about you, school (live list, GET /public/next/schools), roles, guardian (only under 18, the API's own rule), review, confirmation; progress saves on the device. Not built (noted): emailed resume link, guardian consent email, 'my school isn't here' waitlist. Walked locally on a phone. | 2026-10-02 (HeckerCreatives, via Claude): Post-close audit fix: the API's minor rule added 18 years in local time, the two wizard copies in UTC — they disagreed across a DST-rule change (US 2007). Now UTC; minor-rule-parity.test.ts holds all three copies to one answer.</t>
        </is>
      </c>
    </row>
    <row r="229">
      <c r="A229" s="104" t="n">
        <v>37.1</v>
      </c>
      <c r="B229" s="105" t="inlineStr">
        <is>
          <t>P1-FE-26</t>
        </is>
      </c>
      <c r="C229" s="81" t="n">
        <v>1</v>
      </c>
      <c r="D229" s="82" t="inlineStr">
        <is>
          <t>UI Scaffold on Fixtures</t>
        </is>
      </c>
      <c r="E229" s="104" t="inlineStr">
        <is>
          <t>FE</t>
        </is>
      </c>
      <c r="F229" s="106" t="inlineStr">
        <is>
          <t>Code</t>
        </is>
      </c>
      <c r="G229" s="80" t="inlineStr">
        <is>
          <t>Build the school adoption page</t>
        </is>
      </c>
      <c r="H229" s="107" t="inlineStr">
        <is>
          <t>(public)/next/schools — administrator-facing, and it has to survive being forwarded to a principal. Static.</t>
        </is>
      </c>
      <c r="I229" s="108" t="inlineStr">
        <is>
          <t>Done</t>
        </is>
      </c>
      <c r="J229" s="108" t="n">
        <v>2</v>
      </c>
      <c r="K229" s="109" t="n">
        <v>46294</v>
      </c>
      <c r="L229" s="109" t="n">
        <v>46296</v>
      </c>
      <c r="M229" s="110" t="inlineStr">
        <is>
          <t>rcfworks</t>
        </is>
      </c>
      <c r="N229" s="81" t="n"/>
      <c r="O229" s="80" t="inlineStr">
        <is>
          <t>P1-ART-08</t>
        </is>
      </c>
      <c r="P229" s="80" t="inlineStr">
        <is>
          <t>An administrator can read what the school commits to and receives, and forward the page</t>
        </is>
      </c>
      <c r="Q229" s="82" t="inlineStr">
        <is>
          <t>Spec §8, §9.5</t>
        </is>
      </c>
      <c r="R229" s="111" t="inlineStr">
        <is>
          <t xml:space="preserve"> Built 2026-09-29 at /next/schools: the programme proposal from the NEXT programme terms, print-clean, copy link; contact next@sponsorx.net is SIMULATED (NEXT_CONTACT_EMAIL). Walked locally, incl. print. | 2026-10-02 (HeckerCreatives, via Claude): Post-close audit fix: the page claimed the chrome dropped out in print; it didn't, and a dark print came out pale-on-white. Header, footer, loader are print:hidden; printing switches to the light theme and restores the visitor's (lib/print-light.ts).</t>
        </is>
      </c>
    </row>
    <row r="230">
      <c r="A230" s="104" t="n">
        <v>203</v>
      </c>
      <c r="B230" s="105" t="inlineStr">
        <is>
          <t>P9-FE-01</t>
        </is>
      </c>
      <c r="C230" s="81" t="n">
        <v>9</v>
      </c>
      <c r="D230" s="82" t="inlineStr">
        <is>
          <t>SponsorX NEXT</t>
        </is>
      </c>
      <c r="E230" s="104" t="inlineStr">
        <is>
          <t>FE</t>
        </is>
      </c>
      <c r="F230" s="106" t="inlineStr">
        <is>
          <t>Code</t>
        </is>
      </c>
      <c r="G230" s="80" t="inlineStr">
        <is>
          <t>Wire the student portal to real assignments, sales and codes</t>
        </is>
      </c>
      <c r="H230" s="107" t="inlineStr">
        <is>
          <t>Substitution behind a finished screen: fixtures out, API in, disabled controls become live.</t>
        </is>
      </c>
      <c r="I230" s="108" t="inlineStr">
        <is>
          <t>Done</t>
        </is>
      </c>
      <c r="J230" s="108" t="n">
        <v>3</v>
      </c>
      <c r="K230" s="109" t="inlineStr">
        <is>
          <t>2026-09-28</t>
        </is>
      </c>
      <c r="L230" s="109" t="inlineStr">
        <is>
          <t>2026-09-28</t>
        </is>
      </c>
      <c r="M230" s="110" t="inlineStr">
        <is>
          <t>HeckerCreatives</t>
        </is>
      </c>
      <c r="N230" s="81" t="n"/>
      <c r="O230" s="80" t="inlineStr">
        <is>
          <t>P9-BE-04, P9-BE-07, P1-FE-19</t>
        </is>
      </c>
      <c r="P230" s="80" t="inlineStr">
        <is>
          <t>Assignments, sales and codes come from the API; no fixture import remains in the student routes</t>
        </is>
      </c>
      <c r="Q230" s="82" t="inlineStr">
        <is>
          <t>Spec §8</t>
        </is>
      </c>
      <c r="R230" s="111" t="inlineStr">
        <is>
          <t>Sales, code, prospects and points are live. Assignments have no backend model (no editorial workflow) and show an honest not-connected state. A sponsor's name is not a STUDENT read, so the attribution ledger shows value and date only — flagged. Added /s/[code] public page; the brief form does not carry a code yet — flagged.</t>
        </is>
      </c>
    </row>
    <row r="231">
      <c r="A231" s="104" t="n">
        <v>204</v>
      </c>
      <c r="B231" s="105" t="inlineStr">
        <is>
          <t>P9-FE-02</t>
        </is>
      </c>
      <c r="C231" s="81" t="n">
        <v>9</v>
      </c>
      <c r="D231" s="82" t="inlineStr">
        <is>
          <t>SponsorX NEXT</t>
        </is>
      </c>
      <c r="E231" s="104" t="inlineStr">
        <is>
          <t>FE</t>
        </is>
      </c>
      <c r="F231" s="106" t="inlineStr">
        <is>
          <t>Code</t>
        </is>
      </c>
      <c r="G231" s="80" t="inlineStr">
        <is>
          <t>Wire the advisor desk to student applications and content</t>
        </is>
      </c>
      <c r="H231" s="107" t="n"/>
      <c r="I231" s="108" t="inlineStr">
        <is>
          <t>Done</t>
        </is>
      </c>
      <c r="J231" s="108" t="n">
        <v>2</v>
      </c>
      <c r="K231" s="109" t="inlineStr">
        <is>
          <t>2026-09-28</t>
        </is>
      </c>
      <c r="L231" s="109" t="inlineStr">
        <is>
          <t>2026-09-28</t>
        </is>
      </c>
      <c r="M231" s="110" t="inlineStr">
        <is>
          <t>HeckerCreatives</t>
        </is>
      </c>
      <c r="N231" s="81" t="n"/>
      <c r="O231" s="80" t="inlineStr">
        <is>
          <t>P9-BE-05, P1-FE-20</t>
        </is>
      </c>
      <c r="P231" s="80" t="inlineStr">
        <is>
          <t>An advisor reviews and approves real records, scoped to one school and refused for any other</t>
        </is>
      </c>
      <c r="Q231" s="82" t="inlineStr">
        <is>
          <t>Spec §7, §8</t>
        </is>
      </c>
      <c r="R231" s="111" t="inlineStr">
        <is>
          <t>Applications are live, scoped to the advisor's school; another school's record gets a 403 (walked). Content review has no student-draft model in the backend and shows an honest not-connected state — needs a backend row.</t>
        </is>
      </c>
    </row>
    <row r="232">
      <c r="A232" s="104" t="n">
        <v>205</v>
      </c>
      <c r="B232" s="105" t="inlineStr">
        <is>
          <t>P9-FE-03</t>
        </is>
      </c>
      <c r="C232" s="81" t="n">
        <v>9</v>
      </c>
      <c r="D232" s="82" t="inlineStr">
        <is>
          <t>SponsorX NEXT</t>
        </is>
      </c>
      <c r="E232" s="104" t="inlineStr">
        <is>
          <t>FE</t>
        </is>
      </c>
      <c r="F232" s="106" t="inlineStr">
        <is>
          <t>Code</t>
        </is>
      </c>
      <c r="G232" s="80" t="inlineStr">
        <is>
          <t>Wire the edition page map to the AdSlot ledger</t>
        </is>
      </c>
      <c r="H232" s="107" t="n"/>
      <c r="I232" s="108" t="inlineStr">
        <is>
          <t>Done</t>
        </is>
      </c>
      <c r="J232" s="108" t="n">
        <v>3</v>
      </c>
      <c r="K232" s="109" t="inlineStr">
        <is>
          <t>2026-09-28</t>
        </is>
      </c>
      <c r="L232" s="109" t="inlineStr">
        <is>
          <t>2026-09-28</t>
        </is>
      </c>
      <c r="M232" s="110" t="inlineStr">
        <is>
          <t>HeckerCreatives</t>
        </is>
      </c>
      <c r="N232" s="81" t="n">
        <v>1</v>
      </c>
      <c r="O232" s="80" t="inlineStr">
        <is>
          <t>P9-BE-03, P1-FE-21</t>
        </is>
      </c>
      <c r="P232" s="80" t="inlineStr">
        <is>
          <t>The map reflects real slot state; the back cover cannot be added to a second campaign from the UI</t>
        </is>
      </c>
      <c r="Q232" s="82" t="inlineStr">
        <is>
          <t>Spec §5.2, §9.3</t>
        </is>
      </c>
      <c r="R232" s="111" t="n"/>
    </row>
    <row r="233">
      <c r="A233" s="104" t="n">
        <v>206</v>
      </c>
      <c r="B233" s="105" t="inlineStr">
        <is>
          <t>P9-FE-04</t>
        </is>
      </c>
      <c r="C233" s="81" t="n">
        <v>9</v>
      </c>
      <c r="D233" s="82" t="inlineStr">
        <is>
          <t>SponsorX NEXT</t>
        </is>
      </c>
      <c r="E233" s="104" t="inlineStr">
        <is>
          <t>FE</t>
        </is>
      </c>
      <c r="F233" s="106" t="inlineStr">
        <is>
          <t>Code</t>
        </is>
      </c>
      <c r="G233" s="80" t="inlineStr">
        <is>
          <t>Wire the ad slot inventory ledger</t>
        </is>
      </c>
      <c r="H233" s="107" t="n"/>
      <c r="I233" s="108" t="inlineStr">
        <is>
          <t>Done</t>
        </is>
      </c>
      <c r="J233" s="108" t="n">
        <v>2</v>
      </c>
      <c r="K233" s="109" t="inlineStr">
        <is>
          <t>2026-09-28</t>
        </is>
      </c>
      <c r="L233" s="109" t="inlineStr">
        <is>
          <t>2026-09-28</t>
        </is>
      </c>
      <c r="M233" s="110" t="inlineStr">
        <is>
          <t>HeckerCreatives</t>
        </is>
      </c>
      <c r="N233" s="81" t="n"/>
      <c r="O233" s="80" t="inlineStr">
        <is>
          <t>P9-BE-03, P1-FE-22</t>
        </is>
      </c>
      <c r="P233" s="80" t="inlineStr">
        <is>
          <t>Every slot's state and buyer come from the ledger</t>
        </is>
      </c>
      <c r="Q233" s="82" t="inlineStr">
        <is>
          <t>Spec §8</t>
        </is>
      </c>
      <c r="R233" s="111" t="n"/>
    </row>
    <row r="234">
      <c r="A234" s="104" t="n">
        <v>207</v>
      </c>
      <c r="B234" s="105" t="inlineStr">
        <is>
          <t>P9-FE-05</t>
        </is>
      </c>
      <c r="C234" s="81" t="n">
        <v>9</v>
      </c>
      <c r="D234" s="82" t="inlineStr">
        <is>
          <t>SponsorX NEXT</t>
        </is>
      </c>
      <c r="E234" s="104" t="inlineStr">
        <is>
          <t>FE</t>
        </is>
      </c>
      <c r="F234" s="106" t="inlineStr">
        <is>
          <t>Code</t>
        </is>
      </c>
      <c r="G234" s="80" t="inlineStr">
        <is>
          <t>Wire the revenue splits screen</t>
        </is>
      </c>
      <c r="H234" s="107" t="n"/>
      <c r="I234" s="108" t="inlineStr">
        <is>
          <t>Done</t>
        </is>
      </c>
      <c r="J234" s="108" t="n">
        <v>2</v>
      </c>
      <c r="K234" s="109" t="inlineStr">
        <is>
          <t>2026-09-28</t>
        </is>
      </c>
      <c r="L234" s="109" t="inlineStr">
        <is>
          <t>2026-09-28</t>
        </is>
      </c>
      <c r="M234" s="110" t="inlineStr">
        <is>
          <t>HeckerCreatives</t>
        </is>
      </c>
      <c r="N234" s="81" t="n"/>
      <c r="O234" s="80" t="inlineStr">
        <is>
          <t>P9-BE-06, P1-FE-23</t>
        </is>
      </c>
      <c r="P234" s="80" t="inlineStr">
        <is>
          <t>A real split resolves to four payees on screen with no read of Earning</t>
        </is>
      </c>
      <c r="Q234" s="82" t="inlineStr">
        <is>
          <t>Spec §5.3</t>
        </is>
      </c>
      <c r="R234" s="111" t="inlineStr">
        <is>
          <t>Matrix gap flagged 2026-09-28: FINANCE holds revenueSplit read but no edition read (§15.3), so it cannot list editions to open this screen; SALES holds adSlot write but no edition read, so listSlots/sellCampaignSlots refuse it. Policy decision, not coded around.</t>
        </is>
      </c>
    </row>
    <row r="235">
      <c r="A235" s="104" t="n">
        <v>208</v>
      </c>
      <c r="B235" s="105" t="inlineStr">
        <is>
          <t>P9-FE-06</t>
        </is>
      </c>
      <c r="C235" s="81" t="n">
        <v>9</v>
      </c>
      <c r="D235" s="82" t="inlineStr">
        <is>
          <t>SponsorX NEXT</t>
        </is>
      </c>
      <c r="E235" s="104" t="inlineStr">
        <is>
          <t>FE</t>
        </is>
      </c>
      <c r="F235" s="106" t="inlineStr">
        <is>
          <t>Code</t>
        </is>
      </c>
      <c r="G235" s="80" t="inlineStr">
        <is>
          <t>Wire the student application wizard to the real API</t>
        </is>
      </c>
      <c r="H235" s="107" t="n"/>
      <c r="I235" s="108" t="inlineStr">
        <is>
          <t>Done</t>
        </is>
      </c>
      <c r="J235" s="108" t="n">
        <v>2</v>
      </c>
      <c r="K235" s="109" t="n">
        <v>46294</v>
      </c>
      <c r="L235" s="109" t="n">
        <v>46296</v>
      </c>
      <c r="M235" s="110" t="inlineStr">
        <is>
          <t>rcfworks</t>
        </is>
      </c>
      <c r="N235" s="81" t="n"/>
      <c r="O235" s="80" t="inlineStr">
        <is>
          <t>P9-BE-04, P1-FE-25</t>
        </is>
      </c>
      <c r="P235" s="80" t="inlineStr">
        <is>
          <t>A real student application is created and reaches the advisor desk; a minor's guardian is captured on the existing rule</t>
        </is>
      </c>
      <c r="Q235" s="82" t="inlineStr">
        <is>
          <t>Spec §5.1, §8</t>
        </is>
      </c>
      <c r="R235" s="111" t="inlineStr">
        <is>
          <t xml:space="preserve"> Built 2026-09-29: the wizard submits to POST /public/students/applications, which now requires and captures a minor's guardian (422 without); the advisor's approval creates the student's and guardian's logins (athlete-login.ts, as P3-BE-15). Verified locally: a 15-year-old applied on a phone and appeared in Ms. Patel's advisor queue. Tests: backend next-public-apply (8, mutation-checked), frontend next-apply (9). | 2026-10-02 (HeckerCreatives, via Claude): Post-close audit fixes: (1) a request with neither birthDate nor ageBand was read as an adult and skipped the guardian — StudentApplicationInput now has the athlete intake's one-of rule and date bounds; (2) the server action did not forward the applicant's address, so the 5-an-hour limit was ONE bucket for the whole site — now forwarded (edgeHeadersFrom), tested.</t>
        </is>
      </c>
    </row>
    <row r="236">
      <c r="A236" s="104" t="n">
        <v>209</v>
      </c>
      <c r="B236" s="105" t="inlineStr">
        <is>
          <t>P9-SEC-01</t>
        </is>
      </c>
      <c r="C236" s="81" t="n">
        <v>9</v>
      </c>
      <c r="D236" s="82" t="inlineStr">
        <is>
          <t>SponsorX NEXT</t>
        </is>
      </c>
      <c r="E236" s="104" t="inlineStr">
        <is>
          <t>SEC</t>
        </is>
      </c>
      <c r="F236" s="106" t="inlineStr">
        <is>
          <t>Code</t>
        </is>
      </c>
      <c r="G236" s="80" t="inlineStr">
        <is>
          <t>Minor-student data handling and field-level authz</t>
        </is>
      </c>
      <c r="H236" s="107" t="inlineStr">
        <is>
          <t>Nearly every student is a minor, and the student pool is money-adjacent. Field-level authz is the real leak, and a STUDENT must never reach an athlete rate or another student's sales.</t>
        </is>
      </c>
      <c r="I236" s="108" t="inlineStr">
        <is>
          <t>Done</t>
        </is>
      </c>
      <c r="J236" s="108" t="n">
        <v>3</v>
      </c>
      <c r="K236" s="109" t="inlineStr">
        <is>
          <t>2026-09-25</t>
        </is>
      </c>
      <c r="L236" s="109" t="inlineStr">
        <is>
          <t>2026-09-25</t>
        </is>
      </c>
      <c r="M236" s="110" t="inlineStr">
        <is>
          <t>rcfworks</t>
        </is>
      </c>
      <c r="N236" s="81" t="n"/>
      <c r="O236" s="80" t="inlineStr">
        <is>
          <t>P9-BE-05</t>
        </is>
      </c>
      <c r="P236" s="80" t="inlineStr">
        <is>
          <t>Cross-student and cross-school isolation tested; AthleteRate.amount denied to STUDENT and ADVISOR; no fan or student PII beyond what the programme needs</t>
        </is>
      </c>
      <c r="Q236" s="82" t="inlineStr">
        <is>
          <t>Spec §7, §26, §37</t>
        </is>
      </c>
      <c r="R236" s="111" t="inlineStr">
        <is>
          <t>Stage 9 Batch B (gate lifted for the build 2026-09-25). tests/next-students.test.ts (21 tests, HTTP through real auth/scope, mutation-checked). Cross-student (a student reads own record/sales/points/code, a schoolmate's 403, list shows only self) and cross-school (advisor sees own school only, can't add students elsewhere) isolation tested; tenant-isolation sweep grown with tenant-B STUDENT and ADVISOR attacking every route. AthleteRate.amount denied to STUDENT and ADVISOR (field rule + GET /athletes/{id}/rates 403, marker absent). PII: public /s/[code] returns display name + school only (asserted exact keys; legal name absent); application echoes nothing; email optional; age via date or band only. Categories unsuitable for minors (alcohol, vape, gambling, cannabis, firearms, adult, political, religious, pharma, crypto, energy drink, supplements) can't be prospected or redirected to. | 2026-09-25: Done at the user's instruction — acceptance met; tests green in CI.</t>
        </is>
      </c>
    </row>
    <row r="237">
      <c r="A237" s="104" t="n">
        <v>210</v>
      </c>
      <c r="B237" s="105" t="inlineStr">
        <is>
          <t>P9-QA-01</t>
        </is>
      </c>
      <c r="C237" s="81" t="n">
        <v>9</v>
      </c>
      <c r="D237" s="82" t="inlineStr">
        <is>
          <t>SponsorX NEXT</t>
        </is>
      </c>
      <c r="E237" s="104" t="inlineStr">
        <is>
          <t>QA</t>
        </is>
      </c>
      <c r="F237" s="106" t="inlineStr">
        <is>
          <t>Code</t>
        </is>
      </c>
      <c r="G237" s="80" t="inlineStr">
        <is>
          <t>E2E: edition sells once, a student code attributes the sale</t>
        </is>
      </c>
      <c r="H237" s="107" t="inlineStr">
        <is>
          <t>The Stage 1 exit, run as a test rather than asserted in a document.</t>
        </is>
      </c>
      <c r="I237" s="108" t="inlineStr">
        <is>
          <t>Done</t>
        </is>
      </c>
      <c r="J237" s="108" t="n">
        <v>3</v>
      </c>
      <c r="K237" s="109" t="inlineStr">
        <is>
          <t>2026-10-02</t>
        </is>
      </c>
      <c r="L237" s="109" t="n">
        <v>46311</v>
      </c>
      <c r="M237" s="110" t="inlineStr">
        <is>
          <t>HeckerCreatives</t>
        </is>
      </c>
      <c r="N237" s="81" t="n"/>
      <c r="O237" s="80" t="inlineStr">
        <is>
          <t>P9-FE-03, P9-BE-07, P9-BE-16</t>
        </is>
      </c>
      <c r="P237" s="80" t="inlineStr">
        <is>
          <t>A school is a Property, an edition sells a back cover exactly once, a student's code attributes a sale, artwork clears the approval board with a ContentRight covering its use, QR_SCAN and LINK_CLICK report separately, and a split resolves to four payees without touching Earning</t>
        </is>
      </c>
      <c r="Q237" s="82" t="inlineStr">
        <is>
          <t>Spec §11</t>
        </is>
      </c>
      <c r="R237" s="111" t="inlineStr">
        <is>
          <t>2026-10-16 DONE (verified by rcfworks at the user's instruction): next-edition-e2e.test.ts 7/7 green, one test per clause; clause 4 (approval board + ContentRight) covered since P9-BE-16 (Done 2026-10-05). | 2026-10-02 (HeckerCreatives, via Claude): Written: backend/tests/next-edition-e2e.test.ts, 7/7 green over the real API, mutation-checked on clauses 2 and 6 — school as Property; the back cover sold exactly once (second slot 409, rival 409, a bypass write refused by the trigger); the student code attributing the sale (one SalesAttribution, the right student, 100,000); rights clearing the artwork for production; QR_SCAN and LINK_CLICK counted apart (2 / 3); four payees 40/30/20/10 with Earning unchanged. Clause 4's 'clears the approval board' cannot be met: edition ad artwork has no path onto the approval board. Raised as P9-BE-16; this row waits on it.</t>
        </is>
      </c>
    </row>
    <row r="238">
      <c r="A238" s="104" t="n">
        <v>193</v>
      </c>
      <c r="B238" s="105" t="inlineStr">
        <is>
          <t>P9-BE-10</t>
        </is>
      </c>
      <c r="C238" s="81" t="n">
        <v>9</v>
      </c>
      <c r="D238" s="82" t="inlineStr">
        <is>
          <t>SponsorX NEXT</t>
        </is>
      </c>
      <c r="E238" s="104" t="inlineStr">
        <is>
          <t>BE</t>
        </is>
      </c>
      <c r="F238" s="106" t="inlineStr">
        <is>
          <t>Code</t>
        </is>
      </c>
      <c r="G238" s="80" t="inlineStr">
        <is>
          <t>ContentRight - one rights ledger, three population paths</t>
        </is>
      </c>
      <c r="H238" s="107" t="inlineStr">
        <is>
          <t>The publication gate asks one question - may we publish this asset, in this format, on this date? - and must answer it in ONE query. Student consent, athlete/guardian consent and a negotiated BTG licence populate the same table via grantorKind; three separate rights systems would mean the gate reconciles three shapes of answer per asset, which is exactly where uncleared material slips through. BTG content defaults mayReuseCommercially=false: editorial use is not a licence to resell journalism inside a sponsor's campaign.</t>
        </is>
      </c>
      <c r="I238" s="108" t="inlineStr">
        <is>
          <t>Done</t>
        </is>
      </c>
      <c r="J238" s="108" t="n">
        <v>4</v>
      </c>
      <c r="K238" s="109" t="inlineStr">
        <is>
          <t>2026-09-25</t>
        </is>
      </c>
      <c r="L238" s="109" t="inlineStr">
        <is>
          <t>2026-09-25</t>
        </is>
      </c>
      <c r="M238" s="110" t="inlineStr">
        <is>
          <t>rcfworks</t>
        </is>
      </c>
      <c r="N238" s="81" t="n">
        <v>1</v>
      </c>
      <c r="O238" s="80" t="inlineStr">
        <is>
          <t>P9-BE-02</t>
        </is>
      </c>
      <c r="P238" s="80" t="inlineStr">
        <is>
          <t>Every asset in an edition carries a ContentRight covering the intended use; print and digital are separate permissions so a digital-first edition clears while print is outstanding; a BTG asset cannot enter a sponsor campaign without an explicit commercial grant</t>
        </is>
      </c>
      <c r="Q238" s="82" t="inlineStr">
        <is>
          <t>Spec v2.0 §5.3, §6.1</t>
        </is>
      </c>
      <c r="R238" s="111" t="inlineStr">
        <is>
          <t>Stage 9 Batch C (gate lifted for the build 2026-09-25). tests/next-rights.test.ts (13 tests, mutation-checked). EditionAsset (an edition's content item — not CreativeAsset, which is an athlete deliverable's) + ContentRight: ONE ledger, three population paths via grantorKind (student / athlete / guardian consent → acceptanceId; BTG / third-party licence → licenseRef; Postgres CHECKs: exactly one basis, matching the grantor). The gate is rightsGap(): ONE query (asserted by counting calls) for assets with no right covering the format on the date. rightsCleared is now COMPUTED at IN_PRODUCTION / PUBLISHED_DIGITAL (digital) and PRINTED checks print — no longer typed in (conditions input is strict; rightsCleared → 400). Tests: production refused until the last asset has a right; digital edition published while print outstanding, PRINTED refused then allowed after a print grant; BTG right defaults mayReuseCommercially=false and POST /edition-assets/{id}/campaign refuses (409) until an explicit commercial grant; consent from someone else doesn't cover an asset. | 2026-09-25: Done at the user's instruction — acceptance met; tests green in CI.</t>
        </is>
      </c>
    </row>
    <row r="239">
      <c r="A239" s="104" t="n">
        <v>194</v>
      </c>
      <c r="B239" s="105" t="inlineStr">
        <is>
          <t>P9-BE-11</t>
        </is>
      </c>
      <c r="C239" s="81" t="n">
        <v>9</v>
      </c>
      <c r="D239" s="82" t="inlineStr">
        <is>
          <t>SponsorX NEXT</t>
        </is>
      </c>
      <c r="E239" s="104" t="inlineStr">
        <is>
          <t>BE</t>
        </is>
      </c>
      <c r="F239" s="106" t="inlineStr">
        <is>
          <t>Code</t>
        </is>
      </c>
      <c r="G239" s="80" t="inlineStr">
        <is>
          <t>FEATURED athletes, three-part consent and the claim flow</t>
        </is>
      </c>
      <c r="H239" s="107" t="inlineStr">
        <is>
          <t>The correction that makes NEXT safe: being featured is not being represented. AthleteState gains FEATURED - created by editorial, never applied for, read-only, invisible to matching, holds no rates. Claiming needs three assertions: athlete initiates, school roster plus advisor verifies, guardian authorises. AgreementAcceptance must gain typed subjects with a nullable userId FIRST - today a featured athlete has no login and a guardian has no account, so there is nowhere to record feature consent at all. Agreement.kind extends by FEATURE, PROFILE and COMMERCIAL as data.</t>
        </is>
      </c>
      <c r="I239" s="108" t="inlineStr">
        <is>
          <t>Done</t>
        </is>
      </c>
      <c r="J239" s="108" t="n">
        <v>4</v>
      </c>
      <c r="K239" s="109" t="inlineStr">
        <is>
          <t>2026-09-25</t>
        </is>
      </c>
      <c r="L239" s="109" t="inlineStr">
        <is>
          <t>2026-09-25</t>
        </is>
      </c>
      <c r="M239" s="110" t="inlineStr">
        <is>
          <t>rcfworks</t>
        </is>
      </c>
      <c r="N239" s="81" t="n">
        <v>1</v>
      </c>
      <c r="O239" s="80" t="inlineStr">
        <is>
          <t>P9-BE-04</t>
        </is>
      </c>
      <c r="P239" s="80" t="inlineStr">
        <is>
          <t>A featured athlete has a public profile and can receive no invitation; consent is recorded for a subject with no login; commercial activation is impossible without guardian authorisation; GPA is absent unless separately decided</t>
        </is>
      </c>
      <c r="Q239" s="82" t="inlineStr">
        <is>
          <t>Spec v2.0 §5.4, §6.2</t>
        </is>
      </c>
      <c r="R239" s="111" t="inlineStr">
        <is>
          <t>Stage 9 Batch C (gate lifted for the build 2026-09-25). tests/next-rights.test.ts (13 tests, mutation-checked). AthleteState FEATURED (edge FEATURED → UNDER_REVIEW only). POST /featured-athletes (editorial; no email, no consent); GET /public/athletes/{slug} (exact keys — no legal name, contact, age, GPA). A featured athlete: invitation refused, rate refused (new guard), absent from matching (tested). AgreementAcceptance gains TYPED SUBJECTS (userId nullable + athleteId/studentId; Postgres CHECK exactly one) — POST /consents records consent with no login; a minor's only via their verified guardian. Agreement.kind + FEATURE/PROFILE/COMMERCIAL (data). Claim: public POST .../claim ('that's me'; roster result never returned) → school verifies (roster match required + that school's ADVISOR; other school 403) → UNDER_REVIEW → guardian linked + verified → approve → ACTIVE refused until the guardian's COMMERCIAL consent is recorded, then allowed. Roster is SIMULATED (RosterEntry, seeded for the pilot; real roster = spec §14 gate 1). P0-LEG-01 tracked on the Legal sheet, not gating. GPA: no column anywhere (asserted). | 2026-09-25: Done at the user's instruction — acceptance met; tests green in CI.</t>
        </is>
      </c>
    </row>
    <row r="240">
      <c r="A240" s="104" t="n">
        <v>195</v>
      </c>
      <c r="B240" s="105" t="inlineStr">
        <is>
          <t>P9-BE-12</t>
        </is>
      </c>
      <c r="C240" s="81" t="n">
        <v>9</v>
      </c>
      <c r="D240" s="82" t="inlineStr">
        <is>
          <t>SponsorX NEXT</t>
        </is>
      </c>
      <c r="E240" s="104" t="inlineStr">
        <is>
          <t>BE</t>
        </is>
      </c>
      <c r="F240" s="106" t="inlineStr">
        <is>
          <t>Code</t>
        </is>
      </c>
      <c r="G240" s="80" t="inlineStr">
        <is>
          <t>EditionEvent - QR_SCAN and LINK_CLICK kept apart</t>
        </is>
      </c>
      <c r="H240" s="107" t="inlineStr">
        <is>
          <t>V1 is digital-first and a QR is a print affordance - in a digital edition nobody scans, they tap. Pooling the two makes the first sponsor report say something untrue. A new stream, NOT an extension of RewardEventType: a fan's reward journey and an article engagement are different subjects, and the schema already carries a scar from collapsing two subjects into one table. Reward tokens keep their four events unchanged.</t>
        </is>
      </c>
      <c r="I240" s="108" t="inlineStr">
        <is>
          <t>Done</t>
        </is>
      </c>
      <c r="J240" s="108" t="n">
        <v>2</v>
      </c>
      <c r="K240" s="109" t="inlineStr">
        <is>
          <t>2026-09-25</t>
        </is>
      </c>
      <c r="L240" s="109" t="inlineStr">
        <is>
          <t>2026-09-25</t>
        </is>
      </c>
      <c r="M240" s="110" t="inlineStr">
        <is>
          <t>rcfworks</t>
        </is>
      </c>
      <c r="N240" s="81" t="n"/>
      <c r="O240" s="80" t="inlineStr">
        <is>
          <t>P9-BE-02</t>
        </is>
      </c>
      <c r="P240" s="80" t="inlineStr">
        <is>
          <t>QR_SCAN, LINK_CLICK, PROFILE_VIEW, CAMPAIGN_VIEW and CTA_CLICK record as separate rows; the sponsor report shows print and digital acquisition separately; RewardEventType is untouched</t>
        </is>
      </c>
      <c r="Q240" s="82" t="inlineStr">
        <is>
          <t>Spec v2.0 §6.4</t>
        </is>
      </c>
      <c r="R240" s="111" t="inlineStr">
        <is>
          <t>Stage 9 gate (P9-PMO-03) lifted for the build by the programme owner 2026-09-25. EditionEvent + EngagementType (QR_SCAN print; LINK_CLICK/PROFILE_VIEW/CAMPAIGN_VIEW/CTA_CLICK digital) — its own stream, RewardEventType untouched (asserted from the schema). PUBLIC POST /public/editions/{id}/events, rate-limited, only on a published edition and a real target. Sponsor report gains adPlacements + editionEngagement {print, digital}, never pooled; ad spend now counts in media value. Test: six events → five types as separate rows; report shows print 2 vs digital separately; reward funnel unchanged. | 2026-09-25: Done at the user's instruction — acceptance met; tests green in CI.</t>
        </is>
      </c>
    </row>
    <row r="241">
      <c r="A241" s="104" t="n">
        <v>196</v>
      </c>
      <c r="B241" s="105" t="inlineStr">
        <is>
          <t>P9-BE-13</t>
        </is>
      </c>
      <c r="C241" s="81" t="n">
        <v>9</v>
      </c>
      <c r="D241" s="82" t="inlineStr">
        <is>
          <t>SponsorX NEXT</t>
        </is>
      </c>
      <c r="E241" s="104" t="inlineStr">
        <is>
          <t>BE</t>
        </is>
      </c>
      <c r="F241" s="106" t="inlineStr">
        <is>
          <t>Code</t>
        </is>
      </c>
      <c r="G241" s="80" t="inlineStr">
        <is>
          <t>Sponsor ownership, immutable attribution, and the two conflict checks</t>
        </is>
      </c>
      <c r="H241" s="107" t="inlineStr">
        <is>
          <t>Students own attribution, never the customer relationship. A SalesAttribution row is never updated and never deleted - including when the student graduates, is suspended, or the sponsor churns - because a student's portfolio depends on it. Sponsor gains ownership (SCHOOL | SPONSORX | STUDENT_ORIGINATED), schoolPropertyId and assignedStudentId, the last being current representation and not ownership. Separately the two conflict checks are distinct workflows with distinct owners: a Content Conflict holds content for edit; a Sponsor Acceptance rejection carries a reason code, notifies the student and COSTS THEM NO SALES CREDIT.</t>
        </is>
      </c>
      <c r="I241" s="108" t="inlineStr">
        <is>
          <t>Done</t>
        </is>
      </c>
      <c r="J241" s="108" t="n">
        <v>3</v>
      </c>
      <c r="K241" s="109" t="inlineStr">
        <is>
          <t>2026-09-25</t>
        </is>
      </c>
      <c r="L241" s="109" t="inlineStr">
        <is>
          <t>2026-09-25</t>
        </is>
      </c>
      <c r="M241" s="110" t="inlineStr">
        <is>
          <t>rcfworks</t>
        </is>
      </c>
      <c r="N241" s="81" t="n">
        <v>1</v>
      </c>
      <c r="O241" s="80" t="inlineStr">
        <is>
          <t>P9-BE-07</t>
        </is>
      </c>
      <c r="P241" s="80" t="inlineStr">
        <is>
          <t>Graduating a student changes no attribution row; reassigning an account touches only assignedStudentId; a rejected prospect leaves the student's standing intact and offers a redirect where a category is open</t>
        </is>
      </c>
      <c r="Q241" s="82" t="inlineStr">
        <is>
          <t>Spec v2.0 §5.1, §5.6, §6.3</t>
        </is>
      </c>
      <c r="R241" s="111" t="inlineStr">
        <is>
          <t>Stage 9 Batch B (gate lifted for the build 2026-09-25). tests/next-students.test.ts (21 tests, HTTP through real auth/scope, mutation-checked). SalesAttribution is immutable IN POSTGRES (trigger sales_attribution_immutable; deletion only via a deliberate SET LOCAL purge for teardown/lawful erasure). Sponsor gains ownership (default SPONSORX) / schoolPropertyId / assignedStudentId; a student's first sale to a new account sets STUDENT_ORIGINATED, never moved after. Tests: graduating (INACTIVE) leaves attribution rows byte-identical and staff can still read them; direct UPDATE/DELETE refused; POST /sponsors/{id}/assigned-student changes only assignedStudentId (every other column snapshot-compared). Sponsor Acceptance Check: POST /prospects/{id}/decision — reject needs a reason code (422 without), queues notify.email student.prospectDeclined to the student (or guardian), leaves attribution + points identical, and on CATEGORY_EXCLUSIVE offers open categories (excludes the held presenting-sponsor category and minor-unsuitable ones). Content Conflict Check is the rights workflow — Batch C. | 2026-09-25: Done at the user's instruction — acceptance met; tests green in CI.</t>
        </is>
      </c>
    </row>
    <row r="242">
      <c r="A242" s="104" t="n">
        <v>197</v>
      </c>
      <c r="B242" s="105" t="inlineStr">
        <is>
          <t>P9-BE-14</t>
        </is>
      </c>
      <c r="C242" s="81" t="n">
        <v>9</v>
      </c>
      <c r="D242" s="82" t="inlineStr">
        <is>
          <t>SponsorX NEXT</t>
        </is>
      </c>
      <c r="E242" s="104" t="inlineStr">
        <is>
          <t>BE</t>
        </is>
      </c>
      <c r="F242" s="106" t="inlineStr">
        <is>
          <t>Code</t>
        </is>
      </c>
      <c r="G242" s="80" t="inlineStr">
        <is>
          <t>ContentContribution and the DMV regional pool</t>
        </is>
      </c>
      <c r="H242" s="107" t="inlineStr">
        <is>
          <t>Regional revenue is allocated by predefined rules, not negotiated after publication. Sales credit and content contribution are different things: the first is an ordinary SalesAttribution row, the second is units (FEATURE 5, PHOTO_PACKAGE 3, INTERVIEW 3, VIDEO 5) resolved as units / total eligible units x pool. A school contributing no selected content receives nothing from the content-based pool.</t>
        </is>
      </c>
      <c r="I242" s="108" t="inlineStr">
        <is>
          <t>Done</t>
        </is>
      </c>
      <c r="J242" s="108" t="n">
        <v>2</v>
      </c>
      <c r="K242" s="109" t="inlineStr">
        <is>
          <t>2026-09-25</t>
        </is>
      </c>
      <c r="L242" s="109" t="inlineStr">
        <is>
          <t>2026-09-25</t>
        </is>
      </c>
      <c r="M242" s="110" t="inlineStr">
        <is>
          <t>rcfworks</t>
        </is>
      </c>
      <c r="N242" s="81" t="n"/>
      <c r="O242" s="80" t="inlineStr">
        <is>
          <t>P9-BE-06, P9-BE-13</t>
        </is>
      </c>
      <c r="P242" s="80" t="inlineStr">
        <is>
          <t>A DMV edition draws from several schools and both pools resolve by formula with no manual adjudication</t>
        </is>
      </c>
      <c r="Q242" s="82" t="inlineStr">
        <is>
          <t>Spec v2.0 §5.7</t>
        </is>
      </c>
      <c r="R242" s="111" t="inlineStr">
        <is>
          <t>Stage 9 Batch C (gate lifted for the build 2026-09-25). tests/next-rights.test.ts (13 tests, mutation-checked). ContentContribution (FEATURE 5 · PHOTO_PACKAGE 3 · INTERVIEW 3 · VIDEO 5) + SchoolPoolAllocation. When a REGIONAL edition (publication with no school) publishes, the SCHOOL split resolves by formula into SALES (by schools' SalesAttribution in the edition) and CONTENT (units ÷ total units × pool) — 50/50 SIMULATED in the rate-card doc; largest-remainder so each pool sums exactly. Test: three schools — sales 600:200, content 5:6 → exact cents asserted; the school with no content gets no CONTENT row; no route writes pools (asserted over the OpenAPI registry); a school's own edition has none. | 2026-09-25: Done at the user's instruction — acceptance met; tests green in CI.</t>
        </is>
      </c>
    </row>
    <row r="243">
      <c r="A243" s="104" t="n">
        <v>211</v>
      </c>
      <c r="B243" s="105" t="inlineStr">
        <is>
          <t>P9-BE-15</t>
        </is>
      </c>
      <c r="C243" s="81" t="n">
        <v>9</v>
      </c>
      <c r="D243" s="82" t="inlineStr">
        <is>
          <t>SponsorX NEXT</t>
        </is>
      </c>
      <c r="E243" s="104" t="inlineStr">
        <is>
          <t>BE</t>
        </is>
      </c>
      <c r="F243" s="106" t="inlineStr">
        <is>
          <t>Code</t>
        </is>
      </c>
      <c r="G243" s="80" t="inlineStr">
        <is>
          <t>StudentPointAccrual — the points ledger</t>
        </is>
      </c>
      <c r="H243" s="107" t="inlineStr">
        <is>
          <t>Accruals are recorded; converting them to anything is a separate, gated act. ARTICLE 50, INTERVIEW 25, APPOINTMENT 25, SALES_500 100, VIEWS_BONUS. No EarningState, no cents column, no relation to Earning — if points and money share a table, a finance reconciliation of athlete payouts starts returning minors' scholarship balances. The shape holds whichever way open gate 2 is answered; only the redemption record changes.</t>
        </is>
      </c>
      <c r="I243" s="108" t="inlineStr">
        <is>
          <t>Done</t>
        </is>
      </c>
      <c r="J243" s="108" t="n">
        <v>3</v>
      </c>
      <c r="K243" s="109" t="inlineStr">
        <is>
          <t>2026-09-25</t>
        </is>
      </c>
      <c r="L243" s="109" t="inlineStr">
        <is>
          <t>2026-09-25</t>
        </is>
      </c>
      <c r="M243" s="110" t="inlineStr">
        <is>
          <t>rcfworks</t>
        </is>
      </c>
      <c r="N243" s="81" t="n">
        <v>1</v>
      </c>
      <c r="O243" s="80" t="inlineStr">
        <is>
          <t>P9-BE-04</t>
        </is>
      </c>
      <c r="P243" s="80" t="inlineStr">
        <is>
          <t>Accruals record against a student and optionally an edition; no cents column and no Earning relation exists; redemption is absent by design and is its own gated task</t>
        </is>
      </c>
      <c r="Q243" s="82" t="inlineStr">
        <is>
          <t>Spec v2.0 §5.5, §14 gate 2</t>
        </is>
      </c>
      <c r="R243" s="111" t="inlineStr">
        <is>
          <t>Stage 9 Batch B (gate lifted for the build 2026-09-25). tests/next-students.test.ts (21 tests, HTTP through real auth/scope, mutation-checked). StudentPointAccrual: ARTICLE 50, INTERVIEW 25, PHOTO 25, APPOINTMENT 25, SALES_500 100, VIEWS_BONUS (1–1000); against a student and optionally an edition. SALES_500 only from an attributed sale (one per $500 crossed, same transaction) — refused as manual input. Written by BTG, never the student (403 tested). No cents column, no Earning relation, Earning has no student/points reference (asserted from schema); no route converts points (asserted over the OpenAPI registry). Redemption absent by design. | 2026-09-25: Done at the user's instruction — acceptance met; tests green in CI.</t>
        </is>
      </c>
    </row>
    <row r="244">
      <c r="A244" s="104" t="n">
        <v>37.11</v>
      </c>
      <c r="B244" s="105" t="inlineStr">
        <is>
          <t>P1-FE-27</t>
        </is>
      </c>
      <c r="C244" s="81" t="n">
        <v>1</v>
      </c>
      <c r="D244" s="82" t="inlineStr">
        <is>
          <t>UI Scaffold on Fixtures</t>
        </is>
      </c>
      <c r="E244" s="104" t="inlineStr">
        <is>
          <t>FE</t>
        </is>
      </c>
      <c r="F244" s="106" t="inlineStr">
        <is>
          <t>Code</t>
        </is>
      </c>
      <c r="G244" s="80" t="inlineStr">
        <is>
          <t>Build the free digital edition reader on fixtures</t>
        </is>
      </c>
      <c r="H244" s="107" t="inlineStr">
        <is>
          <t>Principle 10 makes free digital the V1 reader product, not a deferred nicety — v1.0 had this as Stage 2 and it was wrong. (public)/next/[school]/[edition]. Article pages run on the existing type scale: V1 does not get a long-form editorial scale, and inventing one here is the scope error that sinks the programme.</t>
        </is>
      </c>
      <c r="I244" s="108" t="inlineStr">
        <is>
          <t>Done</t>
        </is>
      </c>
      <c r="J244" s="108" t="n">
        <v>5</v>
      </c>
      <c r="K244" s="109" t="inlineStr">
        <is>
          <t>2026-09-24</t>
        </is>
      </c>
      <c r="L244" s="109" t="inlineStr">
        <is>
          <t>2026-09-24</t>
        </is>
      </c>
      <c r="M244" s="110" t="inlineStr">
        <is>
          <t>HeckerCreatives</t>
        </is>
      </c>
      <c r="N244" s="81" t="n">
        <v>1</v>
      </c>
      <c r="O244" s="80" t="inlineStr">
        <is>
          <t>P1-FE-18, P1-ART-08</t>
        </is>
      </c>
      <c r="P244" s="80" t="inlineStr">
        <is>
          <t>An edition reads end to end from fixtures on a phone and a desktop; no new type scale is introduced; no route reads the backend</t>
        </is>
      </c>
      <c r="Q244" s="82" t="inlineStr">
        <is>
          <t>Spec v2.0 §8, §9, principle 10</t>
        </is>
      </c>
      <c r="R244" s="111" t="inlineStr">
        <is>
          <t>Design/frontEndVersion2 is being rebuilt as of 2026-09-22 — treat the screens there as direction, not a specification, and re-check them before building. Built 2026-09-24 despite the P1-ART-08 gate, deliberately: the spec constrains this screen hard (existing type scale, principle 10), so design-rebuild risk is minimal - re-check against ART-08 when it lands. Walks the flatplan in page order; reserved slots not public; unknown editions 404 (unpublished-unreachable, P9-FE-07 enforces later).</t>
        </is>
      </c>
    </row>
    <row r="245">
      <c r="A245" s="104" t="n">
        <v>37.12</v>
      </c>
      <c r="B245" s="105" t="inlineStr">
        <is>
          <t>P1-FE-28</t>
        </is>
      </c>
      <c r="C245" s="81" t="n">
        <v>1</v>
      </c>
      <c r="D245" s="82" t="inlineStr">
        <is>
          <t>UI Scaffold on Fixtures</t>
        </is>
      </c>
      <c r="E245" s="104" t="inlineStr">
        <is>
          <t>FE</t>
        </is>
      </c>
      <c r="F245" s="106" t="inlineStr">
        <is>
          <t>Code</t>
        </is>
      </c>
      <c r="G245" s="80" t="inlineStr">
        <is>
          <t>Add Claim this profile and the FEATURED state to the athlete page</t>
        </is>
      </c>
      <c r="H245" s="107" t="inlineStr">
        <is>
          <t>(public)/athletes/[slug] already exists and is the QR destination. It gains the claim entry point and a FEATURED treatment. Featured does not mean represented and claiming does not equal commercial activation (principles 1 and 2) — the screen has to make that difference legible, because a featured athlete who believes they are signed is the misunderstanding this whole consent model exists to prevent.</t>
        </is>
      </c>
      <c r="I245" s="108" t="inlineStr">
        <is>
          <t>Done</t>
        </is>
      </c>
      <c r="J245" s="108" t="n">
        <v>3</v>
      </c>
      <c r="K245" s="109" t="inlineStr">
        <is>
          <t>2026-09-28</t>
        </is>
      </c>
      <c r="L245" s="109" t="inlineStr">
        <is>
          <t>2026-09-28</t>
        </is>
      </c>
      <c r="M245" s="110" t="inlineStr">
        <is>
          <t>HeckerCreatives</t>
        </is>
      </c>
      <c r="N245" s="81" t="n">
        <v>1</v>
      </c>
      <c r="O245" s="80" t="inlineStr">
        <is>
          <t>P1-FE-18</t>
        </is>
      </c>
      <c r="P245" s="80" t="inlineStr">
        <is>
          <t>A FEATURED athlete renders distinctly from an ACTIVE one; the claim entry point is present and visibly does not grant representation; the existing page's behaviour for ACTIVE athletes is unchanged</t>
        </is>
      </c>
      <c r="Q245" s="82" t="inlineStr">
        <is>
          <t>Spec v2.0 §5.4, §8, principles 1-3</t>
        </is>
      </c>
      <c r="R245" s="111" t="inlineStr">
        <is>
          <t>Built directly on the live public profile (GET /public/athletes/:slug) rather than on fixtures — the backend already existed. Non-featured slugs keep the existing view unchanged.</t>
        </is>
      </c>
    </row>
    <row r="246">
      <c r="A246" s="104" t="n">
        <v>37.13</v>
      </c>
      <c r="B246" s="105" t="inlineStr">
        <is>
          <t>P1-FE-29</t>
        </is>
      </c>
      <c r="C246" s="81" t="n">
        <v>1</v>
      </c>
      <c r="D246" s="82" t="inlineStr">
        <is>
          <t>UI Scaffold on Fixtures</t>
        </is>
      </c>
      <c r="E246" s="104" t="inlineStr">
        <is>
          <t>FE</t>
        </is>
      </c>
      <c r="F246" s="106" t="inlineStr">
        <is>
          <t>Code</t>
        </is>
      </c>
      <c r="G246" s="80" t="inlineStr">
        <is>
          <t>Build the rights ledger and clearance queue on fixtures</t>
        </is>
      </c>
      <c r="H246" s="107" t="inlineStr">
        <is>
          <t>(app)/admin/next/rights. One ledger, three population paths (§6.1) — a guardian ticking a box, a negotiated media licence and a student agreement all land in one record even though the capture differs. Rights are checked before publication (principle 4), so the queue's job is to make an uncleared item impossible to miss.</t>
        </is>
      </c>
      <c r="I246" s="108" t="inlineStr">
        <is>
          <t>Done</t>
        </is>
      </c>
      <c r="J246" s="108" t="n">
        <v>5</v>
      </c>
      <c r="K246" s="109" t="inlineStr">
        <is>
          <t>2026-09-24</t>
        </is>
      </c>
      <c r="L246" s="109" t="inlineStr">
        <is>
          <t>2026-09-24</t>
        </is>
      </c>
      <c r="M246" s="110" t="inlineStr">
        <is>
          <t>HeckerCreatives</t>
        </is>
      </c>
      <c r="N246" s="81" t="n">
        <v>1</v>
      </c>
      <c r="O246" s="80" t="inlineStr">
        <is>
          <t>P1-FE-18, P1-ART-08</t>
        </is>
      </c>
      <c r="P246" s="80" t="inlineStr">
        <is>
          <t>Cleared, pending and blocked are distinguishable at a glance; an item that would publish without clearance is visually unmissable; filter-kit reused</t>
        </is>
      </c>
      <c r="Q246" s="82" t="inlineStr">
        <is>
          <t>Spec v2.0 §5.3, §6.1, §8</t>
        </is>
      </c>
      <c r="R246" s="111" t="inlineStr">
        <is>
          <t>Built 2026-09-24. Coverage-per-use hero (print vs digital separate, spec 5.3); evidence = exactly one of acceptance/licence, tested; BTG content pins commercial reuse false (V3 s6), tested; editions gate now derives its rights count from the clearanceQueue fixture. P9-FE-09 wires.</t>
        </is>
      </c>
    </row>
    <row r="247">
      <c r="A247" s="104" t="n">
        <v>37.14</v>
      </c>
      <c r="B247" s="105" t="inlineStr">
        <is>
          <t>P1-FE-30</t>
        </is>
      </c>
      <c r="C247" s="81" t="n">
        <v>1</v>
      </c>
      <c r="D247" s="82" t="inlineStr">
        <is>
          <t>UI Scaffold on Fixtures</t>
        </is>
      </c>
      <c r="E247" s="104" t="inlineStr">
        <is>
          <t>FE</t>
        </is>
      </c>
      <c r="F247" s="106" t="inlineStr">
        <is>
          <t>Code</t>
        </is>
      </c>
      <c r="G247" s="80" t="inlineStr">
        <is>
          <t>Build the points balance on fixtures, deliberately unlike earnings</t>
        </is>
      </c>
      <c r="H247" s="107" t="inlineStr">
        <is>
          <t>Must look nothing like athlete/earnings. A student or a parent reading a points balance as a dollar balance is a legal problem before it is a usability one — different card, different treatment, no currency glyph anywhere on the screen. Designs exist in Design/frontEndVersion2 (02-06), which is being rebuilt, so treat them as direction rather than a spec.</t>
        </is>
      </c>
      <c r="I247" s="108" t="inlineStr">
        <is>
          <t>Done</t>
        </is>
      </c>
      <c r="J247" s="108" t="n">
        <v>3</v>
      </c>
      <c r="K247" s="109" t="inlineStr">
        <is>
          <t>2026-09-24</t>
        </is>
      </c>
      <c r="L247" s="109" t="inlineStr">
        <is>
          <t>2026-09-24</t>
        </is>
      </c>
      <c r="M247" s="110" t="inlineStr">
        <is>
          <t>HeckerCreatives</t>
        </is>
      </c>
      <c r="N247" s="81" t="n">
        <v>1</v>
      </c>
      <c r="O247" s="80" t="inlineStr">
        <is>
          <t>P1-FE-18, P1-ART-08</t>
        </is>
      </c>
      <c r="P247" s="80" t="inlineStr">
        <is>
          <t>No currency glyph, no earnings-derived component and no dollar-shaped number anywhere on the screen; accrual reasons are readable in plain words</t>
        </is>
      </c>
      <c r="Q247" s="82" t="inlineStr">
        <is>
          <t>Spec v2.0 §5.5, §9</t>
        </is>
      </c>
      <c r="R247" s="111" t="inlineStr">
        <is>
          <t>Design/frontEndVersion2 is being rebuilt as of 2026-09-22 — treat the screens there as direction, not a specification, and re-check them before building. Built 2026-09-24. No currency sign anywhere; POINT_RULES fixture carries the 5.5 earn vocabulary with a test pinning fixed-value reasons; Redeem disabled naming the open 14 question. Points nav/tab now live.</t>
        </is>
      </c>
    </row>
    <row r="248">
      <c r="A248" s="104" t="n">
        <v>212</v>
      </c>
      <c r="B248" s="105" t="inlineStr">
        <is>
          <t>P9-FE-07</t>
        </is>
      </c>
      <c r="C248" s="81" t="n">
        <v>9</v>
      </c>
      <c r="D248" s="82" t="inlineStr">
        <is>
          <t>SponsorX NEXT</t>
        </is>
      </c>
      <c r="E248" s="104" t="inlineStr">
        <is>
          <t>FE</t>
        </is>
      </c>
      <c r="F248" s="106" t="inlineStr">
        <is>
          <t>Code</t>
        </is>
      </c>
      <c r="G248" s="80" t="inlineStr">
        <is>
          <t>Wire the digital edition reader to real editions</t>
        </is>
      </c>
      <c r="H248" s="107" t="n"/>
      <c r="I248" s="108" t="inlineStr">
        <is>
          <t>Done</t>
        </is>
      </c>
      <c r="J248" s="108" t="n">
        <v>2</v>
      </c>
      <c r="K248" s="109" t="inlineStr">
        <is>
          <t>2026-09-28</t>
        </is>
      </c>
      <c r="L248" s="109" t="inlineStr">
        <is>
          <t>2026-09-28</t>
        </is>
      </c>
      <c r="M248" s="110" t="inlineStr">
        <is>
          <t>HeckerCreatives</t>
        </is>
      </c>
      <c r="N248" s="81" t="n"/>
      <c r="O248" s="80" t="inlineStr">
        <is>
          <t>P9-BE-02, P1-FE-27</t>
        </is>
      </c>
      <c r="P248" s="80" t="inlineStr">
        <is>
          <t>A published edition reads from the API; an unpublished one is unreachable</t>
        </is>
      </c>
      <c r="Q248" s="82" t="inlineStr">
        <is>
          <t>Spec v2.0 §8</t>
        </is>
      </c>
      <c r="R248" s="111" t="inlineStr">
        <is>
          <t>Added GET /public/editions/:school/:id (published only; rights-cleared contents; display-name bylines; sponsors, no prices). Article prose is not stored — the ledger holds titles + R2 keys — so the reader lists contents. The fixture showcase address (northside-high/fall-2026) is kept.</t>
        </is>
      </c>
    </row>
    <row r="249">
      <c r="A249" s="104" t="n">
        <v>213</v>
      </c>
      <c r="B249" s="105" t="inlineStr">
        <is>
          <t>P9-FE-08</t>
        </is>
      </c>
      <c r="C249" s="81" t="n">
        <v>9</v>
      </c>
      <c r="D249" s="82" t="inlineStr">
        <is>
          <t>SponsorX NEXT</t>
        </is>
      </c>
      <c r="E249" s="104" t="inlineStr">
        <is>
          <t>FE</t>
        </is>
      </c>
      <c r="F249" s="106" t="inlineStr">
        <is>
          <t>Code</t>
        </is>
      </c>
      <c r="G249" s="80" t="inlineStr">
        <is>
          <t>Wire Claim this profile to the claim flow</t>
        </is>
      </c>
      <c r="H249" s="107" t="n"/>
      <c r="I249" s="108" t="inlineStr">
        <is>
          <t>Done</t>
        </is>
      </c>
      <c r="J249" s="108" t="n">
        <v>3</v>
      </c>
      <c r="K249" s="109" t="inlineStr">
        <is>
          <t>2026-09-28</t>
        </is>
      </c>
      <c r="L249" s="109" t="inlineStr">
        <is>
          <t>2026-09-28</t>
        </is>
      </c>
      <c r="M249" s="110" t="inlineStr">
        <is>
          <t>HeckerCreatives</t>
        </is>
      </c>
      <c r="N249" s="81" t="n"/>
      <c r="O249" s="80" t="inlineStr">
        <is>
          <t>P9-BE-11, P1-FE-28</t>
        </is>
      </c>
      <c r="P249" s="80" t="inlineStr">
        <is>
          <t>A real claim runs the three-part consent and does not grant representation; guardian authorisation gates commercial activation on the existing Guardian.verifiedAt rule</t>
        </is>
      </c>
      <c r="Q249" s="82" t="inlineStr">
        <is>
          <t>Spec v2.0 §5.4</t>
        </is>
      </c>
      <c r="R249" s="111" t="inlineStr">
        <is>
          <t>Steps 1 (public claim) and 2 (advisor verify/reject; off-roster claims can't be verified) are live and walked 16/16. Step 3, the guardian's COMMERCIAL consent, is enforced by the backend at activation. Capturing it (POST /consents with the agreement shown) has no UI yet, and a guardian has no account — flagged.</t>
        </is>
      </c>
    </row>
    <row r="250">
      <c r="A250" s="104" t="n">
        <v>214</v>
      </c>
      <c r="B250" s="105" t="inlineStr">
        <is>
          <t>P9-FE-09</t>
        </is>
      </c>
      <c r="C250" s="81" t="n">
        <v>9</v>
      </c>
      <c r="D250" s="82" t="inlineStr">
        <is>
          <t>SponsorX NEXT</t>
        </is>
      </c>
      <c r="E250" s="104" t="inlineStr">
        <is>
          <t>FE</t>
        </is>
      </c>
      <c r="F250" s="106" t="inlineStr">
        <is>
          <t>Code</t>
        </is>
      </c>
      <c r="G250" s="80" t="inlineStr">
        <is>
          <t>Wire the rights ledger and clearance queue</t>
        </is>
      </c>
      <c r="H250" s="107" t="n"/>
      <c r="I250" s="108" t="inlineStr">
        <is>
          <t>Done</t>
        </is>
      </c>
      <c r="J250" s="108" t="n">
        <v>2</v>
      </c>
      <c r="K250" s="109" t="inlineStr">
        <is>
          <t>2026-09-28</t>
        </is>
      </c>
      <c r="L250" s="109" t="inlineStr">
        <is>
          <t>2026-09-28</t>
        </is>
      </c>
      <c r="M250" s="110" t="inlineStr">
        <is>
          <t>HeckerCreatives</t>
        </is>
      </c>
      <c r="N250" s="81" t="n"/>
      <c r="O250" s="80" t="inlineStr">
        <is>
          <t>P9-BE-10, P1-FE-29</t>
        </is>
      </c>
      <c r="P250" s="80" t="inlineStr">
        <is>
          <t>The queue reflects real ContentRight records; publication is refused for an uncleared item</t>
        </is>
      </c>
      <c r="Q250" s="82" t="inlineStr">
        <is>
          <t>Spec v2.0 §5.3</t>
        </is>
      </c>
      <c r="R250" s="111" t="n"/>
    </row>
    <row r="251">
      <c r="A251" s="104" t="n">
        <v>215</v>
      </c>
      <c r="B251" s="105" t="inlineStr">
        <is>
          <t>P9-FE-10</t>
        </is>
      </c>
      <c r="C251" s="81" t="n">
        <v>9</v>
      </c>
      <c r="D251" s="82" t="inlineStr">
        <is>
          <t>SponsorX NEXT</t>
        </is>
      </c>
      <c r="E251" s="104" t="inlineStr">
        <is>
          <t>FE</t>
        </is>
      </c>
      <c r="F251" s="106" t="inlineStr">
        <is>
          <t>Code</t>
        </is>
      </c>
      <c r="G251" s="80" t="inlineStr">
        <is>
          <t>Wire the points balance to real accruals</t>
        </is>
      </c>
      <c r="H251" s="107" t="n"/>
      <c r="I251" s="108" t="inlineStr">
        <is>
          <t>Done</t>
        </is>
      </c>
      <c r="J251" s="108" t="n">
        <v>2</v>
      </c>
      <c r="K251" s="109" t="inlineStr">
        <is>
          <t>2026-09-28</t>
        </is>
      </c>
      <c r="L251" s="109" t="inlineStr">
        <is>
          <t>2026-09-28</t>
        </is>
      </c>
      <c r="M251" s="110" t="inlineStr">
        <is>
          <t>HeckerCreatives</t>
        </is>
      </c>
      <c r="N251" s="81" t="n"/>
      <c r="O251" s="80" t="inlineStr">
        <is>
          <t>P9-BE-15, P1-FE-30</t>
        </is>
      </c>
      <c r="P251" s="80" t="inlineStr">
        <is>
          <t>Balances come from StudentPointAccrual; no read touches Earning</t>
        </is>
      </c>
      <c r="Q251" s="82" t="inlineStr">
        <is>
          <t>Spec v2.0 §5.5</t>
        </is>
      </c>
      <c r="R251" s="111" t="n"/>
    </row>
    <row r="252">
      <c r="A252" s="104" t="n">
        <v>65.5</v>
      </c>
      <c r="B252" s="105" t="inlineStr">
        <is>
          <t>P3-BE-13</t>
        </is>
      </c>
      <c r="C252" s="81" t="n">
        <v>3</v>
      </c>
      <c r="D252" s="82" t="inlineStr">
        <is>
          <t>Athlete Network</t>
        </is>
      </c>
      <c r="E252" s="139" t="inlineStr">
        <is>
          <t>BE</t>
        </is>
      </c>
      <c r="F252" s="120" t="inlineStr">
        <is>
          <t>Code</t>
        </is>
      </c>
      <c r="G252" s="80" t="inlineStr">
        <is>
          <t>Athlete application submission — the public intake</t>
        </is>
      </c>
      <c r="H252" s="107" t="inlineStr">
        <is>
          <t>The half of B1's exit that had no task. P3-BE-01 delivered the contract and the state machine and nothing consumed AthleteApplicationInput: no domain function, no route, and the seed creates users but no athletes, so the review surface could only decide applications that had no way to exist. /join is public, so this is the only write path in the API with no actor behind it — the tenant is configuration rather than input, an existing application is reachable only by a signed token that names it, and editing is refused unless the state allows it. Guardian capture stays with P3-BE-03; §37's gate sits between APPROVED and ACTIVE, not between an applicant and the form.</t>
        </is>
      </c>
      <c r="I252" s="108" t="inlineStr">
        <is>
          <t>Done</t>
        </is>
      </c>
      <c r="J252" s="108" t="n">
        <v>3</v>
      </c>
      <c r="K252" s="109" t="inlineStr">
        <is>
          <t>2026-09-22</t>
        </is>
      </c>
      <c r="L252" s="109" t="inlineStr">
        <is>
          <t>2026-09-22</t>
        </is>
      </c>
      <c r="M252" s="110" t="inlineStr">
        <is>
          <t>rcfworks</t>
        </is>
      </c>
      <c r="N252" s="81" t="n">
        <v>1</v>
      </c>
      <c r="O252" s="80" t="inlineStr">
        <is>
          <t>P3-BE-01</t>
        </is>
      </c>
      <c r="P252" s="80" t="inlineStr">
        <is>
          <t>An applicant submits at /join with no account and receives a signed link back to their own application; a CHANGES_REQUESTED application can be edited and is resubmitted by the same act; editing is refused once a decision is taken; the athlete, socials, audit row and receipt email commit together or not at all; a path with no actor cannot move anyone to ACTIVE</t>
        </is>
      </c>
      <c r="Q252" s="82" t="inlineStr">
        <is>
          <t>§11, §21, §39, Addendum A3</t>
        </is>
      </c>
      <c r="R252" s="111" t="inlineStr">
        <is>
          <t>Introduces SystemActor so the one bypass of the role check is greppable, and the Redis rate limiter the stack decision reserved Redis for. P3-FE-01 wires /join to these endpoints.</t>
        </is>
      </c>
    </row>
    <row r="253" s="75">
      <c r="A253" s="104" t="n">
        <v>65.59999999999999</v>
      </c>
      <c r="B253" s="105" t="inlineStr">
        <is>
          <t>P3-BE-14</t>
        </is>
      </c>
      <c r="C253" s="81" t="n">
        <v>3</v>
      </c>
      <c r="D253" s="82" t="inlineStr">
        <is>
          <t>Athlete Network</t>
        </is>
      </c>
      <c r="E253" s="139" t="inlineStr">
        <is>
          <t>BE</t>
        </is>
      </c>
      <c r="F253" s="120" t="inlineStr">
        <is>
          <t>Code</t>
        </is>
      </c>
      <c r="G253" s="80" t="inlineStr">
        <is>
          <t>Expose the rest of B1 over the API</t>
        </is>
      </c>
      <c r="H253" s="107" t="inlineStr">
        <is>
          <t>Three tasks were Done whose domain functions no endpoint called: acceptAgreement (P3-BE-06), linkGuardian / verifyGuardian / readGuardianReadiness (P3-BE-03), and the APPROVED to ACTIVE move (P3-BE-01). B1's exit asks for an athlete ACTIVE with agreements and, if a minor, a verified guardian captured — apply and approve worked and then it stopped. Activation needs approve on athlete rather than on athleteApplication, which the matrix gives to NETWORK_MGR alone: BTG_ADMIN may approve an application and deliberately may not activate an athlete.</t>
        </is>
      </c>
      <c r="I253" s="108" t="inlineStr">
        <is>
          <t>Done</t>
        </is>
      </c>
      <c r="J253" s="108" t="n">
        <v>3</v>
      </c>
      <c r="K253" s="109" t="inlineStr">
        <is>
          <t>2026-09-22</t>
        </is>
      </c>
      <c r="L253" s="109" t="inlineStr">
        <is>
          <t>2026-09-22</t>
        </is>
      </c>
      <c r="M253" s="110" t="inlineStr">
        <is>
          <t>rcfworks</t>
        </is>
      </c>
      <c r="N253" s="81" t="n"/>
      <c r="O253" s="80" t="inlineStr">
        <is>
          <t>P3-BE-03, P3-BE-06, P3-BE-13</t>
        </is>
      </c>
      <c r="P253" s="80" t="inlineStr">
        <is>
          <t>An athlete can be activated over the API and §37's gate refuses a minor without a verified guardian; a guardian can be linked and verified with the attestation audited; an agreement can be accepted against the body hash actually shown and is refused when the text has moved on; the published relationship vocabulary is exactly the one linkGuardian accepts</t>
        </is>
      </c>
      <c r="Q253" s="82" t="inlineStr">
        <is>
          <t>§4, §11, §12, §37, RBAC Matrix §5</t>
        </is>
      </c>
      <c r="R253" s="111" t="inlineStr">
        <is>
          <t>The applicant-facing half of guardian capture — a minor's parent submitting details at /join — is NOT here. linkGuardian takes an Actor and a guardian at sign-up has no account, the same problem P3-BE-13 solved for the applicant. Raise it once /join's guardian step is settled. OPEN: the RBAC matrix contradicts itself — its athlete table gives BTG_ADMIN no Approve cell, while its §12 says BTG_ADMIN sets athlete status 'as the superset role'. policy.ts follows the table. Needs a pull request to the document, not a code change.</t>
        </is>
      </c>
    </row>
    <row r="254" s="75">
      <c r="A254" s="104" t="n">
        <v>128.5</v>
      </c>
      <c r="B254" s="105" t="inlineStr">
        <is>
          <t>P6-BE-08</t>
        </is>
      </c>
      <c r="C254" s="81" t="n">
        <v>6</v>
      </c>
      <c r="D254" s="82" t="inlineStr">
        <is>
          <t>Measurement &amp; Reward</t>
        </is>
      </c>
      <c r="E254" s="139" t="inlineStr">
        <is>
          <t>BE</t>
        </is>
      </c>
      <c r="F254" s="120" t="inlineStr">
        <is>
          <t>Code</t>
        </is>
      </c>
      <c r="G254" s="80" t="inlineStr">
        <is>
          <t>Reward eligibility, redemption cap and landing copy fields</t>
        </is>
      </c>
      <c r="H254" s="107" t="inlineStr">
        <is>
          <t>Raised 2026-09-28 by the P6-FE-01 wiring. §9 screen 10 asks the reward creator to configure eligibility (who qualifies), redemption limits and the landing page — the Reward model has no columns for any of them (offerText, terms, singleUse, expiresAt only). Add them (migration + contract + domain enforcement: a cap must be checked in the redeem transaction, not the UI), then P6-FE-01 exposes them. Consent copy is deliberately NOT per reward: it is versioned centrally (fan-consent.ts, P6-SEC-01) so the claim records the words the fan saw — confirm that reading of the acceptance.</t>
        </is>
      </c>
      <c r="I254" s="108" t="inlineStr">
        <is>
          <t>Done</t>
        </is>
      </c>
      <c r="J254" s="108" t="n">
        <v>2</v>
      </c>
      <c r="K254" s="109" t="inlineStr">
        <is>
          <t>2026-09-28</t>
        </is>
      </c>
      <c r="L254" s="109" t="inlineStr">
        <is>
          <t>2026-09-28</t>
        </is>
      </c>
      <c r="M254" s="110" t="inlineStr">
        <is>
          <t>rcfworks + HeckerCreatives</t>
        </is>
      </c>
      <c r="N254" s="81" t="inlineStr">
        <is>
          <t>P6-FE-01</t>
        </is>
      </c>
      <c r="O254" s="80" t="inlineStr">
        <is>
          <t>P6-BE-02</t>
        </is>
      </c>
      <c r="P254" s="80" t="inlineStr">
        <is>
          <t>Eligibility, a redemption cap and landing headline/subhead persist on Reward; the cap is enforced race-safely at redeem; the public view serves the landing copy for the fan page to render (the rendering itself is P6-FE-04); tenant-isolation sweep still green</t>
        </is>
      </c>
      <c r="Q254" s="82" t="inlineStr">
        <is>
          <t>§9 screen 10, §16</t>
        </is>
      </c>
      <c r="R254" s="111" t="inlineStr">
        <is>
          <t>Raised by HeckerCreatives 2026-09-28 (P6-FE-01). | 2026-09-28 BACKEND DONE, ONE CLAUSE IS FRONTEND. Reward gains eligibility, redemptionCap (+ redemptionCount) and landingHeadline/landingSubhead (migration 20260928180000; POST /campaigns/{id}/rewards accepts them). The cap is enforced race-safely in the redeem transaction by one conditional UPDATE of redemptionCount (Postgres row lock + re-check; DB CHECK count ≤ cap): 8 booths redeeming at once against a cap of 3 → exactly 3 succeed, 5 get 409 kind REDEMPTION_CAP, 3 REDEEM rows. A used code stays 409 'already used' (no kind). GET /public/rewards/{token} now returns landing {headline, subhead}, eligibility and capReached, so the page has what it needs. Consent copy confirmed central, not per reward (fan-consent.ts). Tenant-isolation sweep green. Tests: tests/reward-eligibility-cap.test.ts, mutation-checked (cap ignored; read-then-write race). OPEN: 'the fan page renders the landing copy' is a frontend change (frontend/src/server/fan-page.ts renders the view's landing/eligibility, and the redeem route maps error.kind REDEMPTION_CAP to its own message) — left for the frontend owner, not done from the backend side. | 2026-09-28: acceptance re-scoped at the programme owner's instruction — the fan page's rendering is split into P6-FE-04 — and moved to Done: every backend clause is met (see above), CI green (PR #105).</t>
        </is>
      </c>
    </row>
    <row r="255" s="75">
      <c r="A255" s="104" t="n">
        <v>128.6</v>
      </c>
      <c r="B255" s="105" t="inlineStr">
        <is>
          <t>P6-FE-04</t>
        </is>
      </c>
      <c r="C255" s="81" t="n">
        <v>6</v>
      </c>
      <c r="D255" s="82" t="inlineStr">
        <is>
          <t>Measurement &amp; Reward</t>
        </is>
      </c>
      <c r="E255" s="139" t="inlineStr">
        <is>
          <t>FE</t>
        </is>
      </c>
      <c r="F255" s="120" t="inlineStr">
        <is>
          <t>Code</t>
        </is>
      </c>
      <c r="G255" s="80" t="inlineStr">
        <is>
          <t>Render reward landing copy, eligibility and cap on the fan page</t>
        </is>
      </c>
      <c r="H255" s="107" t="inlineStr">
        <is>
          <t>Split out of P6-BE-08 on 2026-09-28 at the programme owner's instruction, so the backend task stays backend-only. The public view (GET /public/rewards/{token}) now returns landing {headline, subhead}, eligibility and capReached; the fan page (frontend/src/server/fan-page.ts) renders them, and the redeem route tells a spent cap (409 with error.kind REDEMPTION_CAP) apart from an already-used code.</t>
        </is>
      </c>
      <c r="I255" s="108" t="inlineStr">
        <is>
          <t>Done</t>
        </is>
      </c>
      <c r="J255" s="108" t="n">
        <v>1</v>
      </c>
      <c r="K255" s="109" t="inlineStr">
        <is>
          <t>2026-09-28</t>
        </is>
      </c>
      <c r="L255" s="109" t="inlineStr">
        <is>
          <t>2026-09-28</t>
        </is>
      </c>
      <c r="M255" s="110" t="inlineStr">
        <is>
          <t>HeckerCreatives</t>
        </is>
      </c>
      <c r="N255" s="81" t="n">
        <v>0</v>
      </c>
      <c r="O255" s="80" t="inlineStr">
        <is>
          <t>P6-BE-08</t>
        </is>
      </c>
      <c r="P255" s="80" t="inlineStr">
        <is>
          <t>The fan page renders the reward's landing headline, subhead and eligibility from the public view; a spent cap (capReached) shows its own message with no claim or redeem form; the booth's redeem result tells REDEMPTION_CAP apart from an already-used code</t>
        </is>
      </c>
      <c r="Q255" s="82" t="inlineStr">
        <is>
          <t>§9 screen 10, §16</t>
        </is>
      </c>
      <c r="R255" s="111" t="inlineStr">
        <is>
          <t>2026-09-28: raised by the programme owner — the frontend half of P6-BE-08's acceptance, moved here. The backend it reads from is done.</t>
        </is>
      </c>
    </row>
    <row r="256" ht="35.05" customHeight="1" s="75">
      <c r="A256" s="112" t="n">
        <v>68.5</v>
      </c>
      <c r="B256" s="113" t="inlineStr">
        <is>
          <t>P3-BE-15</t>
        </is>
      </c>
      <c r="C256" s="85" t="n">
        <v>3</v>
      </c>
      <c r="D256" s="86" t="inlineStr">
        <is>
          <t>Athlete Network</t>
        </is>
      </c>
      <c r="E256" s="114" t="inlineStr">
        <is>
          <t>BE</t>
        </is>
      </c>
      <c r="F256" s="115" t="inlineStr">
        <is>
          <t>Code</t>
        </is>
      </c>
      <c r="G256" s="84" t="inlineStr">
        <is>
          <t>Give an approved athlete, and a linked guardian, a login</t>
        </is>
      </c>
      <c r="H256" s="116" t="inlineStr">
        <is>
          <t>Approving an application tells the athlete to sign in, but no SponsorX account exists for them, so the sign-in lands on "no SponsorX account". Found in the staging walkthrough. Approval creates the athlete's login, and a guardian's where one is linked; a guardian linked after approval gets theirs then.</t>
        </is>
      </c>
      <c r="I256" s="108" t="inlineStr">
        <is>
          <t>Done</t>
        </is>
      </c>
      <c r="J256" s="108" t="n">
        <v>1</v>
      </c>
      <c r="K256" s="109" t="n">
        <v>46294</v>
      </c>
      <c r="L256" s="109" t="n">
        <v>46296</v>
      </c>
      <c r="M256" s="110" t="inlineStr">
        <is>
          <t>rcfworks</t>
        </is>
      </c>
      <c r="N256" s="85" t="n">
        <v>0</v>
      </c>
      <c r="O256" s="84" t="inlineStr">
        <is>
          <t>P3-BE-07</t>
        </is>
      </c>
      <c r="P256" s="84" t="inlineStr">
        <is>
          <t>An approved applicant signs in with the email they applied with and lands in the athlete portal as that athlete; a linked guardian signs in as that guardian; approving creates no duplicate and never takes over an address another account already uses; it commits in the same transaction as the decision</t>
        </is>
      </c>
      <c r="Q256" s="86" t="inlineStr">
        <is>
          <t>§21, §4</t>
        </is>
      </c>
      <c r="R256" s="111" t="inlineStr">
        <is>
          <t>2026-09-29: raised by the programme owner from the staging walkthrough (sign-up to payout, as each person). Built 2026-09-29: src/domain/athlete-login.ts, called inside reviewApplication's transaction on APPROVED (athlete + linked guardian) and from linkGuardian when the athlete is already APPROVED/ACTIVE. Invitation-to-claim rows (placeholder clerkId), never a takeover of an address held in any tenant; outcome returned as `login` on the decision; audited as user.provision. Approval email now says to sign in with the applied address. Tests: tests/athlete-login.test.ts (real Postgres, sign-in through the identity path) + 7 in application.review.test.ts; mutation-checked. | 2026-10-02 (HeckerCreatives, via Claude): Post-close audit fix: two concurrent approvals of one address could create two logins (check-then-insert, no unique email) — a per-address advisory lock now serialises them; athlete-login.race.test.ts forces the race and fails without the lock.</t>
        </is>
      </c>
    </row>
    <row r="257" ht="35.05" customHeight="1" s="75">
      <c r="A257" s="112" t="n">
        <v>76.5</v>
      </c>
      <c r="B257" s="113" t="inlineStr">
        <is>
          <t>P3-FE-06</t>
        </is>
      </c>
      <c r="C257" s="85" t="n">
        <v>3</v>
      </c>
      <c r="D257" s="86" t="inlineStr">
        <is>
          <t>Athlete Network</t>
        </is>
      </c>
      <c r="E257" s="114" t="inlineStr">
        <is>
          <t>FE</t>
        </is>
      </c>
      <c r="F257" s="115" t="inlineStr">
        <is>
          <t>Code</t>
        </is>
      </c>
      <c r="G257" s="84" t="inlineStr">
        <is>
          <t>Wire the athlete portal home to real data</t>
        </is>
      </c>
      <c r="H257" s="116" t="inlineStr">
        <is>
          <t>The athlete home still shows a sample athlete ("Shammah") behind a demo banner, while invitations, deliverables, earnings and profile are live on their own pages. The home should summarise the signed-in athlete's own real figures.</t>
        </is>
      </c>
      <c r="I257" s="108" t="inlineStr">
        <is>
          <t>Done</t>
        </is>
      </c>
      <c r="J257" s="108" t="n">
        <v>3</v>
      </c>
      <c r="K257" s="109" t="n">
        <v>46294</v>
      </c>
      <c r="L257" s="109" t="n">
        <v>46296</v>
      </c>
      <c r="M257" s="110" t="inlineStr">
        <is>
          <t>rcfworks</t>
        </is>
      </c>
      <c r="N257" s="85" t="n">
        <v>0</v>
      </c>
      <c r="O257" s="84" t="inlineStr">
        <is>
          <t>P3-FE-03, P4-FE-04, P7-FE-01</t>
        </is>
      </c>
      <c r="P257" s="84" t="inlineStr">
        <is>
          <t>The home shows the signed-in athlete's own name, open invitations, deliverables due and earnings from the live reads; the demo banner is gone; a new athlete with nothing yet sees honest empty states</t>
        </is>
      </c>
      <c r="Q257" s="86" t="inlineStr">
        <is>
          <t>§9, §21</t>
        </is>
      </c>
      <c r="R257" s="111" t="inlineStr">
        <is>
          <t>2026-09-29: raised by the programme owner from the staging walkthrough (sign-up to payout, as each person). Built 2026-09-29: /athlete now reads /athletes/me, /invitations, /deliverables and /earnings — greeting, status, profile completion with missing sections, open invitations, deliverables due, earnings by status; demo banner and sample athlete gone; a guardian sees their ward's work without a profile block. Verified locally as Riley.</t>
        </is>
      </c>
    </row>
    <row r="258" ht="35.05" customHeight="1" s="75">
      <c r="A258" s="112" t="n">
        <v>76.59999999999999</v>
      </c>
      <c r="B258" s="113" t="inlineStr">
        <is>
          <t>P3-FE-07</t>
        </is>
      </c>
      <c r="C258" s="85" t="n">
        <v>3</v>
      </c>
      <c r="D258" s="86" t="inlineStr">
        <is>
          <t>Athlete Network</t>
        </is>
      </c>
      <c r="E258" s="114" t="inlineStr">
        <is>
          <t>FE</t>
        </is>
      </c>
      <c r="F258" s="115" t="inlineStr">
        <is>
          <t>Code</t>
        </is>
      </c>
      <c r="G258" s="84" t="inlineStr">
        <is>
          <t>Wire the property portal to the manager's own property</t>
        </is>
      </c>
      <c r="H258" s="116" t="inlineStr">
        <is>
          <t>The property portal shows a sample property ("BTG Sports Talk") behind a demo banner. GET /properties/mine already returns the manager's property; the portal should render it, its roster and its inventory.</t>
        </is>
      </c>
      <c r="I258" s="108" t="inlineStr">
        <is>
          <t>Done</t>
        </is>
      </c>
      <c r="J258" s="108" t="n">
        <v>3</v>
      </c>
      <c r="K258" s="109" t="n">
        <v>46294</v>
      </c>
      <c r="L258" s="109" t="n">
        <v>46296</v>
      </c>
      <c r="M258" s="110" t="inlineStr">
        <is>
          <t>rcfworks</t>
        </is>
      </c>
      <c r="N258" s="85" t="n">
        <v>0</v>
      </c>
      <c r="O258" s="84" t="inlineStr">
        <is>
          <t>P9-OPS-01</t>
        </is>
      </c>
      <c r="P258" s="84" t="inlineStr">
        <is>
          <t>A property manager sees their own property's name, kind and roster; no sample property appears; another property's data is never shown</t>
        </is>
      </c>
      <c r="Q258" s="86" t="inlineStr">
        <is>
          <t>§8</t>
        </is>
      </c>
      <c r="R258" s="111" t="inlineStr">
        <is>
          <t>2026-09-29: raised by the programme owner from the staging walkthrough (sign-up to payout, as each person). Built 2026-09-29: /property now reads /properties/mine and /team/roster — name, kind, place, roster with team shares, inventory (active/paused, price, quantity; listing review status is not shown, it isn't on the item). Verified locally as the Hawks manager.</t>
        </is>
      </c>
    </row>
    <row r="259" ht="35.05" customHeight="1" s="75">
      <c r="A259" s="112" t="n">
        <v>94.5</v>
      </c>
      <c r="B259" s="113" t="inlineStr">
        <is>
          <t>P4-FE-07</t>
        </is>
      </c>
      <c r="C259" s="85" t="n">
        <v>4</v>
      </c>
      <c r="D259" s="86" t="inlineStr">
        <is>
          <t>Sponsor Demand &amp; Matching</t>
        </is>
      </c>
      <c r="E259" s="114" t="inlineStr">
        <is>
          <t>FE</t>
        </is>
      </c>
      <c r="F259" s="115" t="inlineStr">
        <is>
          <t>Code</t>
        </is>
      </c>
      <c r="G259" s="84" t="inlineStr">
        <is>
          <t>Qualify and approve a sponsor brief from the admin workspace</t>
        </is>
      </c>
      <c r="H259" s="116" t="inlineStr">
        <is>
          <t>A sponsor's brief arrives as DRAFT, and the Matching Studio only shows QUALIFIED or APPROVED briefs, but no screen moves a brief on: POST /briefs/:id/transition has no caller. The Campaigns page also doesn't link to the Matching Studio while there are no campaigns. Found in the staging walkthrough.</t>
        </is>
      </c>
      <c r="I259" s="108" t="inlineStr">
        <is>
          <t>Done</t>
        </is>
      </c>
      <c r="J259" s="108" t="n">
        <v>1</v>
      </c>
      <c r="K259" s="109" t="n">
        <v>46294</v>
      </c>
      <c r="L259" s="109" t="n">
        <v>46296</v>
      </c>
      <c r="M259" s="110" t="inlineStr">
        <is>
          <t>rcfworks</t>
        </is>
      </c>
      <c r="N259" s="85" t="n">
        <v>0</v>
      </c>
      <c r="O259" s="84" t="inlineStr">
        <is>
          <t>P4-BE-02, P4-FE-01</t>
        </is>
      </c>
      <c r="P259" s="84" t="inlineStr">
        <is>
          <t>BTG staff see incoming briefs, can qualify, approve or close each one, and a qualified brief then opens in the Matching Studio; the Campaigns page links to briefs waiting for matching</t>
        </is>
      </c>
      <c r="Q259" s="86" t="inlineStr">
        <is>
          <t>§9 screen 8, §23</t>
        </is>
      </c>
      <c r="R259" s="111" t="inlineStr">
        <is>
          <t>2026-09-29: raised by the programme owner from the staging walkthrough (sign-up to payout, as each person). Built 2026-09-29 from the Claude Design canvas: /admin/briefs (Briefs in the admin nav) — state tabs with counts, search, sport filter, detail panel (beside the list on desktop, full screen on phone) with Qualify / Approve / Close with a reason / Open in Matching Studio; the Campaigns page gains an 'N briefs waiting for matching' link, hidden when nothing waits. Backend: CampaignBrief.closeReason (migration 20260929120000), required when BTG staff close, shown back by GET /briefs and on the brief.close audit row; package price added to the brief list. Verified locally as the campaign manager: qualify, close-with-reason, and the qualified brief opens in the Matching Studio. Tests: frontend gap-screens-live, backend operations-board. | 2026-10-02 (HeckerCreatives, via Claude): Post-close audit fix: the Campaigns banner opened the empty QUALIFIED tab when only APPROVED briefs waited. Known limit left: the briefs desk loads the newest 100 unpaged.</t>
        </is>
      </c>
    </row>
    <row r="260" ht="35.05" customHeight="1" s="75">
      <c r="A260" s="112" t="n">
        <v>150.5</v>
      </c>
      <c r="B260" s="113" t="inlineStr">
        <is>
          <t>P7-FE-06</t>
        </is>
      </c>
      <c r="C260" s="85" t="n">
        <v>7</v>
      </c>
      <c r="D260" s="86" t="inlineStr">
        <is>
          <t>Money &amp; Reporting</t>
        </is>
      </c>
      <c r="E260" s="114" t="inlineStr">
        <is>
          <t>FE</t>
        </is>
      </c>
      <c r="F260" s="115" t="inlineStr">
        <is>
          <t>Code</t>
        </is>
      </c>
      <c r="G260" s="84" t="inlineStr">
        <is>
          <t>Wire the admin Operations Board to real data</t>
        </is>
      </c>
      <c r="H260" s="116" t="inlineStr">
        <is>
          <t>The admin home (Operations Board) is sample data behind a demo banner, including its "Briefs to match" and "Applications waiting" counts. Its figures should come from the live reads the other admin pages already use.</t>
        </is>
      </c>
      <c r="I260" s="108" t="inlineStr">
        <is>
          <t>Done</t>
        </is>
      </c>
      <c r="J260" s="108" t="n">
        <v>3</v>
      </c>
      <c r="K260" s="109" t="n">
        <v>46294</v>
      </c>
      <c r="L260" s="109" t="n">
        <v>46296</v>
      </c>
      <c r="M260" s="110" t="inlineStr">
        <is>
          <t>rcfworks</t>
        </is>
      </c>
      <c r="N260" s="85" t="n">
        <v>0</v>
      </c>
      <c r="O260" s="84" t="inlineStr">
        <is>
          <t>P7-FE-05</t>
        </is>
      </c>
      <c r="P260" s="84" t="inlineStr">
        <is>
          <t>Every figure on the Operations Board comes from a live read or is removed; the queue counts match the Applications, Approvals, Campaigns and Finance pages; the demo banner is gone</t>
        </is>
      </c>
      <c r="Q260" s="86" t="inlineStr">
        <is>
          <t>§23</t>
        </is>
      </c>
      <c r="R260" s="111" t="inlineStr">
        <is>
          <t>2026-09-29: raised by the programme owner from the staging walkthrough (sign-up to payout, as each person). Built 2026-09-29: /admin reads the new GET /operations/board (queue counts per role, null where the role doesn't read a queue, 403 for non-staff), /operations/delivery-health and /operations/integration-health. Sample GMV, growth and 'median brief → match' figures removed; Clerk dropped from integration health (no source). Verified locally as BTG admin and as finance.</t>
        </is>
      </c>
    </row>
    <row r="261" s="75">
      <c r="A261" s="112" t="n">
        <v>55.1</v>
      </c>
      <c r="B261" s="113" t="inlineStr">
        <is>
          <t>P2-FE-02</t>
        </is>
      </c>
      <c r="C261" s="85" t="n">
        <v>2</v>
      </c>
      <c r="D261" s="86" t="inlineStr">
        <is>
          <t>Platform Foundations</t>
        </is>
      </c>
      <c r="E261" s="121" t="inlineStr">
        <is>
          <t>FE</t>
        </is>
      </c>
      <c r="F261" s="122" t="inlineStr">
        <is>
          <t>Code</t>
        </is>
      </c>
      <c r="G261" s="84" t="inlineStr">
        <is>
          <t>Server-side pagination for every growing list</t>
        </is>
      </c>
      <c r="H261" s="116" t="inlineStr">
        <is>
          <t>No list fetches every row and slices it in the browser: every list that grows with use asks the API for one page (page, size, search, filters and sort done in the database) and every count or money total on those screens is a database aggregate.</t>
        </is>
      </c>
      <c r="I261" s="108" t="inlineStr">
        <is>
          <t>Done</t>
        </is>
      </c>
      <c r="J261" s="108" t="n">
        <v>3</v>
      </c>
      <c r="K261" s="109" t="inlineStr">
        <is>
          <t>2026-09-29</t>
        </is>
      </c>
      <c r="L261" s="109" t="inlineStr">
        <is>
          <t>2026-09-29</t>
        </is>
      </c>
      <c r="M261" s="110" t="inlineStr">
        <is>
          <t>HeckerCreatives</t>
        </is>
      </c>
      <c r="N261" s="85" t="n"/>
      <c r="O261" s="84" t="inlineStr">
        <is>
          <t>P2-FE-01</t>
        </is>
      </c>
      <c r="P261" s="84" t="inlineStr">
        <is>
          <t>Each unbounded list is offset-paged by the API (?page ?size, true total); page 1 carries only page 1 rows; filters/search/sort run server-side and reset to page 1; totals come from summary endpoints; house pager (12/24/60, top + bottom); unpaged API behaviour unchanged for other callers</t>
        </is>
      </c>
      <c r="Q261" s="86" t="inlineStr">
        <is>
          <t>Memory/2026-09-29/pagination.md</t>
        </is>
      </c>
      <c r="R261" s="111" t="inlineStr">
        <is>
          <t>2026-09-29 (HeckerCreatives; six parallel agents + orchestrator). Shared: backend/src/lib/paging.ts (offset paging + total, opt-in by ?page), frontend lib/list-query.ts + components/server-pager.tsx (URL-driven server pager, two-list keys). Converted: sponsor campaigns list + dashboard + admin board (/campaigns ?page, /campaigns/summary); admin campaigns (tabs, health/attention), briefs picker, eligible athletes, athlete invitations (+/invitations/summary), network reach list; applications desk (+summary); approvals desk + athlete deliverables calendar (month range) (+summary); finance earnings/reconciliation/invoices + athlete earnings (+/earnings/summary; reconciliation no longer built from 500 capped earnings); rewards desk (+summary; campaign picker now searches); advisor students/claims + NEXT sales/prospects/points (DB _sum/groupBy); property roster + inventory (/team/athletes, /team/inventory); athlete home (summaries + top-10 queues). Left client-side on purpose (bounded): package + NIL-job catalogues, commission rules, per-edition NEXT ledgers, integration health, campaign ops roster. Dropped in live mode (computed, not SQL-sortable): campaign spend/progress sort + pacing filter; applications score sort; matching margin/cost sorts; earnings exact last-change order. Verified: backend 1821/1821, frontend 454/454, build green, official e2e 15/7/0, signed-in walk over 20 list routes (200, pagers top+bottom, 0 overflow, 0 console errors).</t>
        </is>
      </c>
    </row>
    <row r="262" s="75">
      <c r="A262" s="104" t="n">
        <v>65.7</v>
      </c>
      <c r="B262" s="105" t="inlineStr">
        <is>
          <t>P3-BE-16</t>
        </is>
      </c>
      <c r="C262" s="81" t="n">
        <v>3</v>
      </c>
      <c r="D262" s="82" t="inlineStr">
        <is>
          <t>Athlete Network</t>
        </is>
      </c>
      <c r="E262" s="139" t="inlineStr">
        <is>
          <t>BE</t>
        </is>
      </c>
      <c r="F262" s="120" t="inlineStr">
        <is>
          <t>Code</t>
        </is>
      </c>
      <c r="G262" s="80" t="inlineStr">
        <is>
          <t>Post-approval athlete profile edits (non-social sections)</t>
        </is>
      </c>
      <c r="H262" s="107" t="inlineStr">
        <is>
          <t>Let an approved athlete change their own profile sections - identity, sport, capabilities, interests, restrictions - with BTG review before anything public changes. Today only socials (PUT /athletes/:id/socials) can be written after approval.</t>
        </is>
      </c>
      <c r="I262" s="108" t="inlineStr">
        <is>
          <t>Done</t>
        </is>
      </c>
      <c r="J262" s="108" t="n">
        <v>3</v>
      </c>
      <c r="K262" s="109" t="inlineStr">
        <is>
          <t>2026-09-29</t>
        </is>
      </c>
      <c r="L262" s="109" t="inlineStr">
        <is>
          <t>2026-09-29</t>
        </is>
      </c>
      <c r="M262" s="110" t="inlineStr">
        <is>
          <t>HeckerCreatives</t>
        </is>
      </c>
      <c r="N262" s="81" t="n"/>
      <c r="O262" s="80" t="inlineStr">
        <is>
          <t>P3-FE-03</t>
        </is>
      </c>
      <c r="P262" s="80" t="inlineStr">
        <is>
          <t>An athlete can submit a change to each editable section; public-facing changes reach the public profile only after BTG approves; restrictions changes feed the conflict check; tenant + own-scope tests; the live editor offers Save for those sections</t>
        </is>
      </c>
      <c r="Q262" s="82" t="inlineStr">
        <is>
          <t>§11, §24</t>
        </is>
      </c>
      <c r="R262" s="111" t="inlineStr">
        <is>
          <t>Raised 2026-09-29 by HeckerCreatives during P2-FE-01. Product decision (user, 2026-09-29): until this lands, the live editor is seeded from /athletes/me, saves socials only, and every other section says "ask your BTG contact". Needs a change-request model (or a direct-save policy decision) before code. Built 2026-09-29: AthleteProfileChange model, POST /athletes/:id/profile-changes, GET /profile-changes (paged desk), approve/decline/withdraw; /admin/profile-changes desk; live editor sections send change requests.</t>
        </is>
      </c>
    </row>
    <row r="263" s="75">
      <c r="A263" s="104" t="n">
        <v>82.5</v>
      </c>
      <c r="B263" s="105" t="inlineStr">
        <is>
          <t>P3-FE-08</t>
        </is>
      </c>
      <c r="C263" s="81" t="n">
        <v>3</v>
      </c>
      <c r="D263" s="82" t="inlineStr">
        <is>
          <t>Athlete Network</t>
        </is>
      </c>
      <c r="E263" s="139" t="inlineStr">
        <is>
          <t>FE</t>
        </is>
      </c>
      <c r="F263" s="120" t="inlineStr">
        <is>
          <t>Code</t>
        </is>
      </c>
      <c r="G263" s="80" t="inlineStr">
        <is>
          <t>Public athlete profile on real data for ACTIVE athletes</t>
        </is>
      </c>
      <c r="H263" s="107" t="inlineStr">
        <is>
          <t>The public /athletes/[slug] page renders real data only for FEATURED athletes; an ACTIVE athlete still gets the fixture profile view. Render ACTIVE athletes from GET /public/athletes/:slug (public fields only).</t>
        </is>
      </c>
      <c r="I263" s="108" t="inlineStr">
        <is>
          <t>Done</t>
        </is>
      </c>
      <c r="J263" s="108" t="n">
        <v>1</v>
      </c>
      <c r="K263" s="109" t="inlineStr">
        <is>
          <t>2026-09-29</t>
        </is>
      </c>
      <c r="L263" s="109" t="inlineStr">
        <is>
          <t>2026-09-29</t>
        </is>
      </c>
      <c r="M263" s="110" t="inlineStr">
        <is>
          <t>HeckerCreatives</t>
        </is>
      </c>
      <c r="N263" s="81" t="n"/>
      <c r="O263" s="80" t="inlineStr">
        <is>
          <t>P9-BE-11</t>
        </is>
      </c>
      <c r="P263" s="80" t="inlineStr">
        <is>
          <t>An ACTIVE athlete's public page shows their own public fields from Postgres, never a fixture; no legal name, contact, age or pay; minors follow the same rule as FEATURED; unknown slugs are a not-found</t>
        </is>
      </c>
      <c r="Q263" s="82" t="inlineStr">
        <is>
          <t>§9 screen 5</t>
        </is>
      </c>
      <c r="R263" s="111" t="inlineStr">
        <is>
          <t>Raised 2026-09-29 by HeckerCreatives during P2-FE-01: the live property pages do not link roster names to /athletes/[slug] for this reason. Built 2026-09-29: /public/athletes/:slug carries the §11 public sections; /athletes/[slug] renders ACTIVE live, unknown slug → 404, outage → error.</t>
        </is>
      </c>
    </row>
    <row r="264" s="75">
      <c r="A264" s="104" t="n">
        <v>32.6</v>
      </c>
      <c r="B264" s="105" t="inlineStr">
        <is>
          <t>P1-ART-09</t>
        </is>
      </c>
      <c r="C264" s="81" t="n">
        <v>1</v>
      </c>
      <c r="D264" s="82" t="inlineStr">
        <is>
          <t>UI Scaffold on Fixtures</t>
        </is>
      </c>
      <c r="E264" s="139" t="inlineStr">
        <is>
          <t>ART</t>
        </is>
      </c>
      <c r="F264" s="120" t="inlineStr">
        <is>
          <t>Code</t>
        </is>
      </c>
      <c r="G264" s="80" t="inlineStr">
        <is>
          <t>Landing 3D — cyberpunk city environment behind the public home</t>
        </is>
      </c>
      <c r="H264" s="107" t="inlineStr">
        <is>
          <t>A full cyberpunk city built from the Leartes Modular Stylized Cyberpunk Street kit as the fixed 3D background of the public home: a plaza with a pedestal at its centre, an open basketball court, an open soccer field, an open baseball field and a skyscraper on one boulevard, with no overlapping objects. Kit converted from the unitypackage to a shared-texture GLB (Blender + gltf-transform, WebP, meshopt); the site plan is data (layout.ts) checked by a vitest that fails on any disallowed overlap; rendered with React Three Fiber behind the existing page content, capability-gated with a poster fallback.</t>
        </is>
      </c>
      <c r="I264" s="108" t="inlineStr">
        <is>
          <t>Done</t>
        </is>
      </c>
      <c r="J264" s="108" t="n">
        <v>4</v>
      </c>
      <c r="K264" s="109" t="inlineStr">
        <is>
          <t>2026-09-29</t>
        </is>
      </c>
      <c r="L264" s="109" t="inlineStr">
        <is>
          <t>2026-10-02</t>
        </is>
      </c>
      <c r="M264" s="110" t="inlineStr">
        <is>
          <t>HeckerCreatives</t>
        </is>
      </c>
      <c r="N264" s="81" t="n">
        <v>0</v>
      </c>
      <c r="O264" s="80" t="n"/>
      <c r="P264" s="80" t="inlineStr">
        <is>
          <t>All six elements present and identifiable at /?orbit=1; city-layout test proves zero overlaps outside authored kits and every object inside the site; home renders full content over the poster with WebGL off, reduced-motion or a low-perf device; npm run build, frontend vitest, eslint and the Playwright smoke green; desktop kit ≤ 14 MB, lite kit ≤ 6 MB.</t>
        </is>
      </c>
      <c r="Q264" s="82" t="inlineStr">
        <is>
          <t>docs/superpowers/specs/2026-09-29-landing-cyberpunk-city-design.md; §9 screen 1</t>
        </is>
      </c>
      <c r="R264" s="111" t="inlineStr">
        <is>
          <t>Environment only — no camera or scroll behaviour in this task. | 2026-10-02 (HeckerCreatives, via Claude): Verified against every acceptance clause: six elements identified by city-layout.test.ts; zero overlaps; poster path for WebGL off / reduced motion / low-perf; kits 6,508,624 B (≤14 MB) and 2,865,200 B (≤6 MB), now gated by tests/city-kit-budget.test.ts (the pipeline only printed OVER and exited 0). Playwright smoke was failing every run (asserted an 'I'm a Sponsor' link and a -z-10 wrapper, gone since the fly-through) — fixed, green on desktop and mobile. Build, frontend vitest (958) and eslint green.</t>
        </is>
      </c>
    </row>
    <row r="265" s="75">
      <c r="A265" s="104" t="n">
        <v>32.7</v>
      </c>
      <c r="B265" s="105" t="inlineStr">
        <is>
          <t>P1-ART-10</t>
        </is>
      </c>
      <c r="C265" s="81" t="n">
        <v>1</v>
      </c>
      <c r="D265" s="82" t="inlineStr">
        <is>
          <t>UI Scaffold on Fixtures</t>
        </is>
      </c>
      <c r="E265" s="139" t="inlineStr">
        <is>
          <t>ART</t>
        </is>
      </c>
      <c r="F265" s="120" t="inlineStr">
        <is>
          <t>Code</t>
        </is>
      </c>
      <c r="G265" s="80" t="inlineStr">
        <is>
          <t>Landing 3D — scroll-driven drone fly-through of the city</t>
        </is>
      </c>
      <c r="H265" s="107" t="inlineStr">
        <is>
          <t>The public home becomes a cinematic fly-through of the P1-ART-09 city: one fixed full-screen React Three Fiber canvas that never scrolls, a tall empty scroll track (~600svh) smoothed by Lenis, and a single progress number (scrollY over the scrollable range, 0..1) in a zustand store that drives the whole camera. A drone camera flies two Catmull-Rom splines (position and gaze) through five waypoints in order — the plaza (the unchanged header viewpoint), the basketball court, the soccer field, the baseball field, the skyscraper — decelerating into each and accelerating out, with banking and a hover bob; the last leg swoops down to 2 m over the boulevard and tilts up at the SPONSORX wordmark on the forecourt screen with the tower behind it. Each waypoint owns one 2D overlay (hero + stats, how it works, sponsor packages, athletes, closing CTA) that is fully visible only around that waypoint's centre and fades out as the user scrolls on; the nav's section anchors scroll to their stop.</t>
        </is>
      </c>
      <c r="I265" s="108" t="inlineStr">
        <is>
          <t>Done</t>
        </is>
      </c>
      <c r="J265" s="108" t="n">
        <v>2</v>
      </c>
      <c r="K265" s="109" t="n">
        <v>46295</v>
      </c>
      <c r="L265" s="109" t="inlineStr">
        <is>
          <t>2026-10-02</t>
        </is>
      </c>
      <c r="M265" s="110" t="inlineStr">
        <is>
          <t>HeckerCreatives</t>
        </is>
      </c>
      <c r="N265" s="81" t="n">
        <v>0</v>
      </c>
      <c r="O265" s="80" t="inlineStr">
        <is>
          <t>P1-ART-09</t>
        </is>
      </c>
      <c r="P265" s="80" t="inlineStr">
        <is>
          <t>Progress 0 is exactly the P1-ART-09 header viewpoint; the camera passes the five waypoints in the brief's order and the flight test proves ≥1.5 m clearance from every building, prop and venue box and never leaves the site; each overlay is visible only on its stop's plateau, none mid-leg (tested); nav hash links and a hash on load land on the right stop; no React render per scroll; reduced motion falls back to native scroll and the poster; no-JS shows every section in flow; build, tests and lint green</t>
        </is>
      </c>
      <c r="Q265" s="82" t="inlineStr">
        <is>
          <t>§9 screen 1; frontend/src/lib/city/flight.ts; tests/city-flight.test.ts</t>
        </is>
      </c>
      <c r="R265" s="111" t="inlineStr">
        <is>
          <t>Raised 2026-09-30 by the programme owner (rules pasted in session: R3F + three + lenis + zustand, fixed canvas, ~600vh track, progress = scrollY/(scrollHeight−innerHeight), overlays fade in per scroll band; waypoints plaza → basketball → soccer → baseball → skyscraper, drone feel, 2D UI only at each waypoint's centre). Built 2026-09-30: lib/city/flight.ts (+ flight-store.ts), components/city/flight-rig.tsx, scroll-track.tsx, flight-stop.tsx; home page rewritten as five FlightStops; lenis 1.3.26 and zustand 5.0.15 added to the frontend workspace. Owner's mid-session note: the skyscraper leg must fly low above the ground looking up at the SponsorX lettering — done (the gantry wordmark, z −182). | 2026-10-02 (HeckerCreatives, via Claude): Verified against every acceptance clause (city-flight.test.ts, flight-stop.tsx, scroll-track.tsx). Progress 0 = the scene's resting camera by construction (KNOTS[0]); that pose was re-authored after P1-ART-09 first shipped ([6,7,52]→[4.2,1.35,41]) — the current header view. Build, tests, lint green.</t>
        </is>
      </c>
    </row>
    <row r="266" s="75">
      <c r="A266" s="104" t="n">
        <v>32.8</v>
      </c>
      <c r="B266" s="105" t="inlineStr">
        <is>
          <t>P1-ART-11</t>
        </is>
      </c>
      <c r="C266" s="81" t="n">
        <v>1</v>
      </c>
      <c r="D266" s="82" t="inlineStr">
        <is>
          <t>UI Scaffold on Fixtures</t>
        </is>
      </c>
      <c r="E266" s="139" t="inlineStr">
        <is>
          <t>ART</t>
        </is>
      </c>
      <c r="F266" s="120" t="inlineStr">
        <is>
          <t>Code</t>
        </is>
      </c>
      <c r="G266" s="80" t="inlineStr">
        <is>
          <t>Landing 3D — loading screen and entrance</t>
        </is>
      </c>
      <c r="H266" s="107" t="inlineStr">
        <is>
          <t>A hard load or refresh of any public page (the home, and since 2026-09-30 every (public) page such as For Sponsors and For Athletes) opens on a full-screen boot screen, once per document, that stays up until the page can actually be shown, then flies out into the hero. The loader is the isometric server cube from the owner's reference (uiverse fresh-yak-92) rebuilt in CSS 3D in the brand blues, with a hologram letter X turning on a projector beam in the glow of its top face — the pedestal's hologram. Its number is honest: a weighted sum of the city's files streamed by byte (the tier's kit GLB + the environment HDR, cached into three.js so the scene never downloads them twice), the scene chunk arriving and the first drawn city frame, and the page's fonts + window load. Poster-only devices skip the scene share; a safety timeout never strands the visitor. At 100 the rig flares and scales toward the viewer as the overlay fades while the header, hero copy, impact card and the two bands rise in one after another.</t>
        </is>
      </c>
      <c r="I266" s="108" t="inlineStr">
        <is>
          <t>Done</t>
        </is>
      </c>
      <c r="J266" s="108" t="n">
        <v>1</v>
      </c>
      <c r="K266" s="109" t="n">
        <v>46295</v>
      </c>
      <c r="L266" s="109" t="inlineStr">
        <is>
          <t>2026-10-02</t>
        </is>
      </c>
      <c r="M266" s="110" t="inlineStr">
        <is>
          <t>HeckerCreatives</t>
        </is>
      </c>
      <c r="N266" s="81" t="n">
        <v>0</v>
      </c>
      <c r="O266" s="80" t="inlineStr">
        <is>
          <t>P1-ART-09, P1-ART-10</t>
        </is>
      </c>
      <c r="P266" s="80" t="inlineStr">
        <is>
          <t>Loader is the first paint on a hard load or refresh of any public page, never on a client-side move between them (P1-ART-12's transition); off the home it waits on fonts + load alone; 100 only after the first city frame (or at once on the poster path); the counter never overshoots the real progress; files are downloaded once (three's cache serves the scene); the hero is hidden until the loader leaves, then staggers in; no-JS shows the page with no loader; weighting, byte maths and finish rule unit-tested; build, tests and lint green</t>
        </is>
      </c>
      <c r="Q266" s="82" t="inlineStr">
        <is>
          <t>§9 screen 1; frontend/src/lib/city/loading.ts; frontend/src/components/landing-loader.tsx; tests/city-loading.test.ts</t>
        </is>
      </c>
      <c r="R266" s="111" t="inlineStr">
        <is>
          <t>Raised 2026-09-30 by the programme owner (loader reference + screenshot pasted in session; the X in the glow so it reads as a hologram; must track the real three.js load to 100; think through the transition). Built 2026-09-30: lib/city/loading.ts + load-store.ts + assets.ts, components/landing-loader.tsx + .module.css, components/city/city-preload.ts; city-backdrop streams files first and writes the load store; (home) layout + page carry the sx-reveal entrance. Rescoped 2026-09-30 by the owner: boot-once per document (html[data-sx-booted]) and also mounted in the (public) layout (city={false}); client-side moves get P1-ART-12. | 2026-10-02 (HeckerCreatives, via Claude): Verified against every acceptance clause; weighting, byte maths and finish rule unit-tested; no-JS shows no loader. Build, tests, lint green. Not covered: a WebGL context that fails inside the canvas waits out the 25 s safety timeout.</t>
        </is>
      </c>
    </row>
    <row r="267" s="75">
      <c r="A267" s="104" t="n">
        <v>32.9</v>
      </c>
      <c r="B267" s="105" t="inlineStr">
        <is>
          <t>P1-ART-12</t>
        </is>
      </c>
      <c r="C267" s="81" t="n">
        <v>1</v>
      </c>
      <c r="D267" s="82" t="inlineStr">
        <is>
          <t>UI Scaffold on Fixtures</t>
        </is>
      </c>
      <c r="E267" s="139" t="inlineStr">
        <is>
          <t>ART</t>
        </is>
      </c>
      <c r="F267" s="120" t="inlineStr">
        <is>
          <t>Code</t>
        </is>
      </c>
      <c r="G267" s="80" t="inlineStr">
        <is>
          <t>Public site — page transition between pages</t>
        </is>
      </c>
      <c r="H267" s="107" t="inlineStr">
        <is>
          <t>Client-side moves between public pages get a second loading screen, separate from the boot screen: a route transition built on the brand's X. On click the X grows out of the click point in three layers (orange, blue, ink), twisting into place until the ink covers the screen, and the destination's name rises in letter by letter over a blueprint grid, a light sweep and a giant outline X drawing itself. The route is prefetched at the click and pushed once covered; the overlay holds until the page is really there (for the home: the city's first drawn frame, with the real load-store counter). Then an X-shaped hole tears open in the ink, then the blue, then the orange, widening until the new page is all there is while the home's hero entrance plays through it. Back/forward start covered and play only the reveal. Sign-in, portals and the fan QR page keep plain navigation.</t>
        </is>
      </c>
      <c r="I267" s="108" t="inlineStr">
        <is>
          <t>Done</t>
        </is>
      </c>
      <c r="J267" s="108" t="n">
        <v>1</v>
      </c>
      <c r="K267" s="109" t="n">
        <v>46295</v>
      </c>
      <c r="L267" s="109" t="inlineStr">
        <is>
          <t>2026-10-02</t>
        </is>
      </c>
      <c r="M267" s="110" t="inlineStr">
        <is>
          <t>HeckerCreatives</t>
        </is>
      </c>
      <c r="N267" s="81" t="n">
        <v>0</v>
      </c>
      <c r="O267" s="80" t="inlineStr">
        <is>
          <t>P1-ART-11</t>
        </is>
      </c>
      <c r="P267" s="80" t="inlineStr">
        <is>
          <t>A client-side move between public pages never shows the boot screen and always plays the transition; a hard refresh on any public page shows the boot screen; the X covers every viewport point before the route swaps, from any click point (unit-tested); one point count per shape across keyframes; the home reveals only after the city's first frame and replays its entrance; back/forward never seen uncovered; scroll locked while covered and always released; reduced motion gets a plain fade; build, tests and lint green</t>
        </is>
      </c>
      <c r="Q267" s="82" t="inlineStr">
        <is>
          <t>§9 screen 1; frontend/src/lib/page-transition.ts; frontend/src/components/page-transition.tsx (+ .module.css); tests/page-transition.test.ts</t>
        </is>
      </c>
      <c r="R267" s="111" t="inlineStr">
        <is>
          <t>Raised 2026-09-30 by the programme owner: For Sponsors / For Athletes -&gt; Home replayed the boot loader; wanted a separate, awwwards-grade transition loader, and the boot loader on a refresh of every public page. Built 2026-09-30: PageTransition mounted in the root layout (survives the (home)/(public) group change), one window capture-phase click listener (Next &lt;Link&gt; honours defaultPrevented), WAAPI clip-path polygons; LandingLoader boot-once + mounted in the (public) layout. | 2026-10-02 (HeckerCreatives, via Claude): Verified against every acceptance clause after three fixes: (1) the scroll lock saved/restored html.style.overflow, which the boot screen also locks — a link followed mid-boot left the page locked for good; now an attribute the transition owns (html[data-sx-scroll-lock]); (2) a cancelled cover/reveal animation was swallowed and the phase never ended (covered for good, or every later link dropped) — both settle on reject and have a deadline; (3) back pressed during the cover pushed the clicked link anyway — now opens where the visitor is. Decisions in lib/page-transition.ts, unit-tested (16).</t>
        </is>
      </c>
    </row>
    <row r="268" s="75">
      <c r="A268" s="104" t="n">
        <v>209.5</v>
      </c>
      <c r="B268" s="105" t="inlineStr">
        <is>
          <t>P9-BE-16</t>
        </is>
      </c>
      <c r="C268" s="81" t="n">
        <v>9</v>
      </c>
      <c r="D268" s="82" t="inlineStr">
        <is>
          <t>SponsorX NEXT</t>
        </is>
      </c>
      <c r="E268" s="139" t="inlineStr">
        <is>
          <t>BE</t>
        </is>
      </c>
      <c r="F268" s="120" t="inlineStr">
        <is>
          <t>Code</t>
        </is>
      </c>
      <c r="G268" s="80" t="inlineStr">
        <is>
          <t>Route edition ad artwork through the approval board</t>
        </is>
      </c>
      <c r="H268" s="107" t="inlineStr">
        <is>
          <t>An advertiser's artwork for an edition ad slot has no approval step. EditionAsset carries no review state, and the approval board (DeliverableState) needs a Deliverable on a Campaign Order, which an ad-only NEXT campaign never has. The spec says artwork goes 'through CreativeAsset and the approval board' (§3 calls it rename-only; the model says otherwise). Give ad artwork a path onto the board — BTG review, then the sponsor's sign-off — before an edition goes to production.</t>
        </is>
      </c>
      <c r="I268" s="108" t="inlineStr">
        <is>
          <t>Done</t>
        </is>
      </c>
      <c r="J268" s="108" t="n">
        <v>3</v>
      </c>
      <c r="K268" s="109" t="n">
        <v>46297</v>
      </c>
      <c r="L268" s="109" t="n">
        <v>46297</v>
      </c>
      <c r="M268" s="110" t="inlineStr">
        <is>
          <t>rcfworks</t>
        </is>
      </c>
      <c r="N268" s="81" t="n">
        <v>1</v>
      </c>
      <c r="O268" s="80" t="inlineStr">
        <is>
          <t>P9-BE-10, P9-FE-03</t>
        </is>
      </c>
      <c r="P268" s="80" t="inlineStr">
        <is>
          <t>Artwork for a sold slot reaches BTG review and the sponsor's sign-off on the existing approval board, with no new state machine; an edition cannot enter production while any sold slot's artwork is unapproved; the decisions are audited; P9-QA-01 clause 4 passes against it</t>
        </is>
      </c>
      <c r="Q268" s="82" t="inlineStr">
        <is>
          <t>Spec §3, §11; found by backend/tests/next-edition-e2e.test.ts (P9-QA-01)</t>
        </is>
      </c>
      <c r="R268" s="111" t="inlineStr">
        <is>
          <t>Raised 2026-10-02 (HeckerCreatives, via Claude) while writing P9-QA-01's end-to-end test: every other clause of that test passes on real code; this is the one the platform cannot do yet. A design choice comes first — whether an ad becomes a Deliverable (and on what order) or the board learns a second kind of subject. | Started 2026-10-02 on option B (the approval board learns edition artwork as a second subject, reusing the deliverable review states). | Built and reviewed 2026-10-02 (option B: the approval board learns edition artwork, reusing the deliverable review states; sponsor sign-off mandatory; production gate on every sold slot; cross-tenant gate fix). P9-QA-01 clause 4 passes against it on a copy with the artwork steps added — the owner of P9-QA-01 adds them to next-edition-e2e.test.ts (lines in the PR / Memory log).</t>
        </is>
      </c>
    </row>
    <row r="269" s="75">
      <c r="A269" s="104" t="n">
        <v>32.95</v>
      </c>
      <c r="B269" s="105" t="inlineStr">
        <is>
          <t>P1-ART-13</t>
        </is>
      </c>
      <c r="C269" s="81" t="n">
        <v>1</v>
      </c>
      <c r="D269" s="82" t="inlineStr">
        <is>
          <t>UI Scaffold on Fixtures</t>
        </is>
      </c>
      <c r="E269" s="139" t="inlineStr">
        <is>
          <t>ART</t>
        </is>
      </c>
      <c r="F269" s="120" t="inlineStr">
        <is>
          <t>Code</t>
        </is>
      </c>
      <c r="G269" s="80" t="inlineStr">
        <is>
          <t>Sign-in — stage redesign, boot screen and page transition</t>
        </is>
      </c>
      <c r="H269" s="107" t="inlineStr">
        <is>
          <t>The /login screen redesigned in the landing's, /packages', /join's and /next/about's visual language. It has a fixed-dark stage with a light that follows the pointer, sweeping floodlights, rising motes and a parallax floor. From lg a HUD column sits next to the sign-in: a scrambled eyebrow, a masked three-line headline, a 'Where you'll land' card that cycles the five workspaces, and the network figures (labelled as samples). The sign-in is in a chamfered glass panel with an outline spotlight, and the page closes with the landing's compact footer. /login also joins the public site's loading screens: a hard load or refresh shows the boot screen (P1-ART-11), and moving between it and the site plays the X transition both ways, labelled 'Login' (P1-ART-12). Signing in (→ /portal) stays a plain navigation.</t>
        </is>
      </c>
      <c r="I269" s="108" t="inlineStr">
        <is>
          <t>Done</t>
        </is>
      </c>
      <c r="J269" s="108" t="n">
        <v>2</v>
      </c>
      <c r="K269" s="109" t="n">
        <v>46297</v>
      </c>
      <c r="L269" s="109" t="n">
        <v>46297</v>
      </c>
      <c r="M269" s="110" t="inlineStr">
        <is>
          <t>HeckerCreatives</t>
        </is>
      </c>
      <c r="N269" s="81" t="n">
        <v>0</v>
      </c>
      <c r="O269" s="80" t="inlineStr">
        <is>
          <t>P1-ART-11, P1-ART-12</t>
        </is>
      </c>
      <c r="P269" s="80" t="inlineStr">
        <is>
          <t>Clerk behaviour unchanged (hash routing, lands on /portal). Fixed-dark in both themes. One viewport down to 1366×700 on desktop, and no horizontal overflow at 390px. Reduced motion shows the still stage. A hard load of /login shows the boot screen first; /login ↔ site moves play the transition; the transition title's descenders (g, p, y) are not clipped. Unit tests, lint and typecheck green.</t>
        </is>
      </c>
      <c r="Q269" s="82" t="inlineStr">
        <is>
          <t>§9 screen 2</t>
        </is>
      </c>
      <c r="R269" s="111" t="inlineStr">
        <is>
          <t>Raised and closed 2026-10-02 on the owner's request. Components: login-stage.tsx, login-fx.tsx. Also fixed: the transition title clipped descenders on every label.</t>
        </is>
      </c>
    </row>
    <row r="270">
      <c r="A270" s="104" t="n">
        <v>90.09999999999999</v>
      </c>
      <c r="B270" s="105" t="inlineStr">
        <is>
          <t>P4-BE-07</t>
        </is>
      </c>
      <c r="C270" s="81" t="n">
        <v>4</v>
      </c>
      <c r="D270" s="82" t="inlineStr">
        <is>
          <t>Sponsor Demand &amp; Matching</t>
        </is>
      </c>
      <c r="E270" s="139" t="inlineStr">
        <is>
          <t>BE</t>
        </is>
      </c>
      <c r="F270" s="120" t="inlineStr">
        <is>
          <t>Code</t>
        </is>
      </c>
      <c r="G270" s="80" t="inlineStr">
        <is>
          <t>Brief readiness checklist</t>
        </is>
      </c>
      <c r="H270" s="107" t="inlineStr">
        <is>
          <t>BTG's brief desk shows a checklist on each brief: objective written, valid dates, budget at or above the price floor, sponsor approved, eligible athletes after conflicts (with the count), and category conflicts flagged. A draft brief passing them is shown as ready for review. BTG still qualifies and approves by hand.</t>
        </is>
      </c>
      <c r="I270" s="108" t="inlineStr">
        <is>
          <t>Done</t>
        </is>
      </c>
      <c r="J270" s="108" t="n">
        <v>1</v>
      </c>
      <c r="K270" s="109" t="n">
        <v>46298</v>
      </c>
      <c r="L270" s="109" t="n">
        <v>46298</v>
      </c>
      <c r="M270" s="110" t="inlineStr">
        <is>
          <t>rcfworks</t>
        </is>
      </c>
      <c r="N270" s="81" t="inlineStr">
        <is>
          <t>P4-FE-08</t>
        </is>
      </c>
      <c r="O270" s="80" t="inlineStr">
        <is>
          <t>P4-BE-01, P4-BE-03</t>
        </is>
      </c>
      <c r="P270" s="80" t="inlineStr">
        <is>
          <t>Each brief shows its checklist and whether it is ready for review; the desk filters to ready briefs; no brief changes state on its own</t>
        </is>
      </c>
      <c r="Q270" s="82" t="inlineStr">
        <is>
          <t>BTG admin review item 18, 2026-10-03</t>
        </is>
      </c>
      <c r="R270" s="111" t="inlineStr">
        <is>
          <t>Raised 2026-10-03 from the BTG admin review: BTG keeps the decision; the busywork around it is automated. | Reviewed 2026-10-03: backend 2465/2467 on two runs (only next-edition-e2e 4-5); frontend 1096/1096; tsc and eslint clean.</t>
        </is>
      </c>
    </row>
    <row r="271">
      <c r="A271" s="104" t="n">
        <v>90.2</v>
      </c>
      <c r="B271" s="105" t="inlineStr">
        <is>
          <t>P4-BE-08</t>
        </is>
      </c>
      <c r="C271" s="81" t="n">
        <v>4</v>
      </c>
      <c r="D271" s="82" t="inlineStr">
        <is>
          <t>Sponsor Demand &amp; Matching</t>
        </is>
      </c>
      <c r="E271" s="139" t="inlineStr">
        <is>
          <t>BE</t>
        </is>
      </c>
      <c r="F271" s="120" t="inlineStr">
        <is>
          <t>Code</t>
        </is>
      </c>
      <c r="G271" s="80" t="inlineStr">
        <is>
          <t>Ranked shortlist with reasons; offers pre-filled</t>
        </is>
      </c>
      <c r="H271" s="107" t="inlineStr">
        <is>
          <t>The matching shortlist is ranked (sport, state, completed work, rate fit, recent activity) with the reasons shown; conflicts are still excluded first. A pre-filled offer draft comes from the athlete's rate card, the job's sell range and floor, the deliverable template and the brief. BTG still chooses and sends.</t>
        </is>
      </c>
      <c r="I271" s="108" t="inlineStr">
        <is>
          <t>Done</t>
        </is>
      </c>
      <c r="J271" s="108" t="n">
        <v>2</v>
      </c>
      <c r="K271" s="109" t="n">
        <v>46298</v>
      </c>
      <c r="L271" s="109" t="n">
        <v>46298</v>
      </c>
      <c r="M271" s="110" t="inlineStr">
        <is>
          <t>rcfworks</t>
        </is>
      </c>
      <c r="N271" s="81" t="inlineStr">
        <is>
          <t>P4-FE-08</t>
        </is>
      </c>
      <c r="O271" s="80" t="inlineStr">
        <is>
          <t>P4-BE-03, P4-BE-04</t>
        </is>
      </c>
      <c r="P271" s="80" t="inlineStr">
        <is>
          <t>The shortlist is ordered by score with reasons and never includes a conflicted athlete; the offer draft fills each field from its source, respects the price floor and passes offer validation unchanged; nothing is sent without BTG</t>
        </is>
      </c>
      <c r="Q271" s="82" t="inlineStr">
        <is>
          <t>BTG admin review item 19, 2026-10-03</t>
        </is>
      </c>
      <c r="R271" s="111" t="inlineStr">
        <is>
          <t>Raised 2026-10-03 from the BTG admin review: BTG keeps the decision; the busywork around it is automated. | Reviewed 2026-10-03: backend 2465/2467 on two runs (only next-edition-e2e 4-5); frontend 1096/1096; tsc and eslint clean.</t>
        </is>
      </c>
    </row>
    <row r="272">
      <c r="A272" s="104" t="n">
        <v>90.3</v>
      </c>
      <c r="B272" s="105" t="inlineStr">
        <is>
          <t>P4-BE-09</t>
        </is>
      </c>
      <c r="C272" s="81" t="n">
        <v>4</v>
      </c>
      <c r="D272" s="82" t="inlineStr">
        <is>
          <t>Sponsor Demand &amp; Matching</t>
        </is>
      </c>
      <c r="E272" s="139" t="inlineStr">
        <is>
          <t>BE</t>
        </is>
      </c>
      <c r="F272" s="120" t="inlineStr">
        <is>
          <t>Code</t>
        </is>
      </c>
      <c r="G272" s="80" t="inlineStr">
        <is>
          <t>Campaign stages move by themselves</t>
        </is>
      </c>
      <c r="H272" s="107" t="inlineStr">
        <is>
          <t>Stage moves that are facts happen automatically: staffing → approval when the package's maximum athletes have signed and nothing is outstanding (below that, or with no package, BTG moves it); active → reporting when every deliverable is verified; reporting → completed when the final report renders. BTG keeps launching and cancelling. Campaigns show their next step.</t>
        </is>
      </c>
      <c r="I272" s="108" t="inlineStr">
        <is>
          <t>Done</t>
        </is>
      </c>
      <c r="J272" s="108" t="n">
        <v>2</v>
      </c>
      <c r="K272" s="109" t="n">
        <v>46298</v>
      </c>
      <c r="L272" s="109" t="n">
        <v>46298</v>
      </c>
      <c r="M272" s="110" t="inlineStr">
        <is>
          <t>rcfworks</t>
        </is>
      </c>
      <c r="N272" s="81" t="inlineStr">
        <is>
          <t>P4-FE-08</t>
        </is>
      </c>
      <c r="O272" s="80" t="inlineStr">
        <is>
          <t>P4-BE-06</t>
        </is>
      </c>
      <c r="P272" s="80" t="inlineStr">
        <is>
          <t>Each automatic move happens on its event and only when its whole condition holds; a sweep catches missed events; manual and automatic moves never both apply; each campaign shows its next step</t>
        </is>
      </c>
      <c r="Q272" s="82" t="inlineStr">
        <is>
          <t>BTG admin review item 20, 2026-10-03</t>
        </is>
      </c>
      <c r="R272" s="111" t="inlineStr">
        <is>
          <t>Raised 2026-10-03 from the BTG admin review: BTG keeps the decision; the busywork around it is automated. | Reviewed 2026-10-03: backend 2465/2467 on two runs (only next-edition-e2e 4-5); frontend 1096/1096; tsc and eslint clean. Staffing moves on its own only at the package athlete maximum with nothing outstanding; creating orders, offers and invitations takes the campaign lock.</t>
        </is>
      </c>
    </row>
    <row r="273">
      <c r="A273" s="104" t="n">
        <v>102.5</v>
      </c>
      <c r="B273" s="105" t="inlineStr">
        <is>
          <t>P5-BE-09</t>
        </is>
      </c>
      <c r="C273" s="81" t="n">
        <v>5</v>
      </c>
      <c r="D273" s="82" t="inlineStr">
        <is>
          <t>Campaign Execution</t>
        </is>
      </c>
      <c r="E273" s="139" t="inlineStr">
        <is>
          <t>BE</t>
        </is>
      </c>
      <c r="F273" s="120" t="inlineStr">
        <is>
          <t>Code</t>
        </is>
      </c>
      <c r="G273" s="80" t="inlineStr">
        <is>
          <t>Content checked before BTG reviews it; review reminders</t>
        </is>
      </c>
      <c r="H273" s="107" t="inlineStr">
        <is>
          <t>When an athlete submits a draft (now with its caption), the system checks a file is attached, the file type is allowed and the required disclosures such as #ad are in the caption. A failing draft goes straight back to the athlete with the reasons and never reaches BTG. Drafts waiting more than 48 hours in BTG or sponsor review trigger one reminder each. BTG still approves every draft.</t>
        </is>
      </c>
      <c r="I273" s="108" t="inlineStr">
        <is>
          <t>Done</t>
        </is>
      </c>
      <c r="J273" s="108" t="n">
        <v>2</v>
      </c>
      <c r="K273" s="109" t="n">
        <v>46298</v>
      </c>
      <c r="L273" s="109" t="n">
        <v>46298</v>
      </c>
      <c r="M273" s="110" t="inlineStr">
        <is>
          <t>rcfworks</t>
        </is>
      </c>
      <c r="N273" s="81" t="inlineStr">
        <is>
          <t>P4-FE-08</t>
        </is>
      </c>
      <c r="O273" s="80" t="inlineStr">
        <is>
          <t>P5-BE-01</t>
        </is>
      </c>
      <c r="P273" s="80" t="inlineStr">
        <is>
          <t>A failing draft returns to the athlete with reasons and never reaches BTG; a passing draft reaches BTG with its checks shown; each reminder is sent once after 48 hours</t>
        </is>
      </c>
      <c r="Q273" s="82" t="inlineStr">
        <is>
          <t>BTG admin review item 21, 2026-10-03</t>
        </is>
      </c>
      <c r="R273" s="111" t="inlineStr">
        <is>
          <t>Raised 2026-10-03 from the BTG admin review: BTG keeps the decision; the busywork around it is automated. | Reviewed 2026-10-03: backend 2465/2467 on two runs (only next-edition-e2e 4-5); frontend 1096/1096; tsc and eslint clean.</t>
        </is>
      </c>
    </row>
    <row r="274">
      <c r="A274" s="104" t="n">
        <v>128.6</v>
      </c>
      <c r="B274" s="105" t="inlineStr">
        <is>
          <t>P6-BE-09</t>
        </is>
      </c>
      <c r="C274" s="81" t="n">
        <v>6</v>
      </c>
      <c r="D274" s="82" t="inlineStr">
        <is>
          <t>Measurement &amp; Reward</t>
        </is>
      </c>
      <c r="E274" s="139" t="inlineStr">
        <is>
          <t>BE</t>
        </is>
      </c>
      <c r="F274" s="120" t="inlineStr">
        <is>
          <t>Code</t>
        </is>
      </c>
      <c r="G274" s="80" t="inlineStr">
        <is>
          <t>Rewards follow their campaign</t>
        </is>
      </c>
      <c r="H274" s="107" t="inlineStr">
        <is>
          <t>When BTG launches a campaign, its complete draft rewards go live; incomplete ones stay draft. When a campaign is cancelled, its live rewards pause. On completion rewards are left to their own expiry.</t>
        </is>
      </c>
      <c r="I274" s="108" t="inlineStr">
        <is>
          <t>Done</t>
        </is>
      </c>
      <c r="J274" s="108" t="n">
        <v>1</v>
      </c>
      <c r="K274" s="109" t="n">
        <v>46298</v>
      </c>
      <c r="L274" s="109" t="n">
        <v>46298</v>
      </c>
      <c r="M274" s="110" t="inlineStr">
        <is>
          <t>rcfworks</t>
        </is>
      </c>
      <c r="N274" s="81" t="inlineStr">
        <is>
          <t>P4-FE-08</t>
        </is>
      </c>
      <c r="O274" s="80" t="inlineStr">
        <is>
          <t>P6-BE-01, P4-BE-09</t>
        </is>
      </c>
      <c r="P274" s="80" t="inlineStr">
        <is>
          <t>Complete draft rewards go live on launch and incomplete ones stay draft; live rewards pause on cancel; completion leaves rewards to expire on their own</t>
        </is>
      </c>
      <c r="Q274" s="82" t="inlineStr">
        <is>
          <t>BTG admin review item 22, 2026-10-03</t>
        </is>
      </c>
      <c r="R274" s="111" t="inlineStr">
        <is>
          <t>Raised 2026-10-03 from the BTG admin review: BTG keeps the decision; the busywork around it is automated. | Reviewed 2026-10-03: backend 2465/2467 on two runs (only next-edition-e2e 4-5); frontend 1096/1096; tsc and eslint clean.</t>
        </is>
      </c>
    </row>
    <row r="275">
      <c r="A275" s="104" t="n">
        <v>97.5</v>
      </c>
      <c r="B275" s="105" t="inlineStr">
        <is>
          <t>P4-FE-08</t>
        </is>
      </c>
      <c r="C275" s="81" t="n">
        <v>4</v>
      </c>
      <c r="D275" s="82" t="inlineStr">
        <is>
          <t>Sponsor Demand &amp; Matching</t>
        </is>
      </c>
      <c r="E275" s="139" t="inlineStr">
        <is>
          <t>FE</t>
        </is>
      </c>
      <c r="F275" s="120" t="inlineStr">
        <is>
          <t>Code</t>
        </is>
      </c>
      <c r="G275" s="80" t="inlineStr">
        <is>
          <t>Managed-flow automation, on screen</t>
        </is>
      </c>
      <c r="H275" s="107" t="inlineStr">
        <is>
          <t>Small additions to existing screens: brief readiness checklist and ready filter; ranked shortlist with reasons and a pre-filled offer form; content checks, caption and waiting badges; campaign next step and automatic-move notes; reward 'goes live at launch'.</t>
        </is>
      </c>
      <c r="I275" s="108" t="inlineStr">
        <is>
          <t>Done</t>
        </is>
      </c>
      <c r="J275" s="108" t="n">
        <v>2</v>
      </c>
      <c r="K275" s="109" t="n">
        <v>46298</v>
      </c>
      <c r="L275" s="109" t="n">
        <v>46298</v>
      </c>
      <c r="M275" s="110" t="inlineStr">
        <is>
          <t>rcfworks</t>
        </is>
      </c>
      <c r="N275" s="81" t="n"/>
      <c r="O275" s="80" t="inlineStr">
        <is>
          <t>P4-BE-07, P4-BE-08, P4-BE-09, P5-BE-09, P6-BE-09</t>
        </is>
      </c>
      <c r="P275" s="80" t="inlineStr">
        <is>
          <t>Each screen shows what the system did or checked and what is left for BTG</t>
        </is>
      </c>
      <c r="Q275" s="82" t="inlineStr">
        <is>
          <t>BTG admin review items 18 to 22, 2026-10-03</t>
        </is>
      </c>
      <c r="R275" s="111" t="inlineStr">
        <is>
          <t>Raised 2026-10-03 from the BTG admin review: BTG keeps the decision; the busywork around it is automated. | Reviewed 2026-10-03: backend 2465/2467 on two runs (only next-edition-e2e 4-5); frontend 1096/1096; tsc and eslint clean.</t>
        </is>
      </c>
    </row>
    <row r="276">
      <c r="A276" s="104" t="n">
        <v>88.5</v>
      </c>
      <c r="B276" s="105" t="inlineStr">
        <is>
          <t>P4-BE-10</t>
        </is>
      </c>
      <c r="C276" s="81" t="n">
        <v>4</v>
      </c>
      <c r="D276" s="82" t="inlineStr">
        <is>
          <t>Sponsor Demand &amp; Matching</t>
        </is>
      </c>
      <c r="E276" s="139" t="inlineStr">
        <is>
          <t>BE</t>
        </is>
      </c>
      <c r="F276" s="120" t="inlineStr">
        <is>
          <t>Code</t>
        </is>
      </c>
      <c r="G276" s="80" t="inlineStr">
        <is>
          <t>An athlete without restrictions is never dropped from a shortlist</t>
        </is>
      </c>
      <c r="H276" s="107" t="inlineStr">
        <is>
          <t>restrictedCategories was nullable, and the conflict filter is NULL for NULL, so an athlete who never set restrictions vanished from every shortlist for a brief naming categories. Backfilled to an empty list, defaulted and made NOT NULL on Athlete and InventoryItem.</t>
        </is>
      </c>
      <c r="I276" s="108" t="inlineStr">
        <is>
          <t>Done</t>
        </is>
      </c>
      <c r="J276" s="108" t="n">
        <v>1</v>
      </c>
      <c r="K276" s="109" t="n">
        <v>46298</v>
      </c>
      <c r="L276" s="109" t="n">
        <v>46298</v>
      </c>
      <c r="M276" s="110" t="inlineStr">
        <is>
          <t>rcfworks</t>
        </is>
      </c>
      <c r="N276" s="81" t="n"/>
      <c r="O276" s="80" t="inlineStr">
        <is>
          <t>P4-BE-03</t>
        </is>
      </c>
      <c r="P276" s="80" t="inlineStr">
        <is>
          <t>An athlete with no restrictions appears on a shortlist for a brief with categories; the column can never be NULL</t>
        </is>
      </c>
      <c r="Q276" s="82" t="inlineStr">
        <is>
          <t>Found 2026-10-03 while building P4-BE-08</t>
        </is>
      </c>
      <c r="R276" s="111" t="inlineStr">
        <is>
          <t>Raised and closed 2026-10-03. Fix 4fccf98; asserted by tests/sql-rules-in-migrations.test.ts.</t>
        </is>
      </c>
    </row>
    <row r="277">
      <c r="A277" s="104" t="n">
        <v>90.40000000000001</v>
      </c>
      <c r="B277" s="105" t="inlineStr">
        <is>
          <t>P4-BE-11</t>
        </is>
      </c>
      <c r="C277" s="81" t="n">
        <v>4</v>
      </c>
      <c r="D277" s="82" t="inlineStr">
        <is>
          <t>Sponsor Demand &amp; Matching</t>
        </is>
      </c>
      <c r="E277" s="139" t="inlineStr">
        <is>
          <t>BE</t>
        </is>
      </c>
      <c r="F277" s="120" t="inlineStr">
        <is>
          <t>Code</t>
        </is>
      </c>
      <c r="G277" s="80" t="inlineStr">
        <is>
          <t>Sponsor briefs approved automatically</t>
        </is>
      </c>
      <c r="H277" s="107" t="inlineStr">
        <is>
          <t>A brief is qualified, approved and turned into a campaign automatically when the readiness checks pass, it has a package and the budget meets its price, enough athletes fit (package minimum), no category is sensitive and the sponsor is in good standing. Otherwise it is held for BTG with the reason; the sponsor sees only 'BTG is reviewing your request'.</t>
        </is>
      </c>
      <c r="I277" s="108" t="inlineStr">
        <is>
          <t>Done</t>
        </is>
      </c>
      <c r="J277" s="108" t="n">
        <v>2</v>
      </c>
      <c r="K277" s="109" t="n">
        <v>46298</v>
      </c>
      <c r="L277" s="109" t="n">
        <v>46298</v>
      </c>
      <c r="M277" s="110" t="inlineStr">
        <is>
          <t>rcfworks</t>
        </is>
      </c>
      <c r="N277" s="81" t="inlineStr">
        <is>
          <t>P4-BE-12, P4-FE-09</t>
        </is>
      </c>
      <c r="O277" s="80" t="inlineStr">
        <is>
          <t>P4-BE-07</t>
        </is>
      </c>
      <c r="P277" s="80" t="inlineStr">
        <is>
          <t>A brief passing every check becomes a campaign without a person; any failed check holds it for BTG with the reason, BTG emailed once; sensitive and custom briefs always reach BTG</t>
        </is>
      </c>
      <c r="Q277" s="82" t="inlineStr">
        <is>
          <t>BTG admin review item 18, 2026-10-03</t>
        </is>
      </c>
      <c r="R277" s="111" t="inlineStr">
        <is>
          <t>Raised 2026-10-03: Phase 2 overrides Phase 1's manual rules (programme owner) — automatic when safety checks pass, BTG gets the exceptions. | Reviewed 2026-10-03: backend 2566/2568 on two runs (only next-edition-e2e 4-5); frontend 1117/1117; tsc and eslint clean; joint test proves an auto-approved brief starts staffing. Also: sponsors no longer read BTG closeReason; a cross-tenant SUPER_ADMIN no longer creates campaigns in the wrong tenant.</t>
        </is>
      </c>
    </row>
    <row r="278">
      <c r="A278" s="104" t="n">
        <v>90.5</v>
      </c>
      <c r="B278" s="105" t="inlineStr">
        <is>
          <t>P4-BE-12</t>
        </is>
      </c>
      <c r="C278" s="81" t="n">
        <v>4</v>
      </c>
      <c r="D278" s="82" t="inlineStr">
        <is>
          <t>Sponsor Demand &amp; Matching</t>
        </is>
      </c>
      <c r="E278" s="139" t="inlineStr">
        <is>
          <t>BE</t>
        </is>
      </c>
      <c r="F278" s="120" t="inlineStr">
        <is>
          <t>Code</t>
        </is>
      </c>
      <c r="G278" s="80" t="inlineStr">
        <is>
          <t>Campaigns staff themselves</t>
        </is>
      </c>
      <c r="H278" s="107" t="inlineStr">
        <is>
          <t>Offers go automatically to the top-ranked athletes up to the package maximum, pre-filled and validated, 3-day answer window, within budget; a minor's offer goes to the guardian. A decline or expiry is replaced by the next athlete. Stops for BTG when the list or the budget runs out. BTG can switch automatic staffing off per campaign.</t>
        </is>
      </c>
      <c r="I278" s="108" t="inlineStr">
        <is>
          <t>Done</t>
        </is>
      </c>
      <c r="J278" s="108" t="n">
        <v>3</v>
      </c>
      <c r="K278" s="109" t="n">
        <v>46298</v>
      </c>
      <c r="L278" s="109" t="n">
        <v>46298</v>
      </c>
      <c r="M278" s="110" t="inlineStr">
        <is>
          <t>rcfworks</t>
        </is>
      </c>
      <c r="N278" s="81" t="inlineStr">
        <is>
          <t>P4-FE-09</t>
        </is>
      </c>
      <c r="O278" s="80" t="inlineStr">
        <is>
          <t>P4-BE-08, P4-BE-09, P4-BE-11</t>
        </is>
      </c>
      <c r="P278" s="80" t="inlineStr">
        <is>
          <t>Offers reach the package maximum without a person, never twice to one athlete, never to a conflicted or inactive athlete, never over budget; declines are replaced; stops reach BTG with the reason</t>
        </is>
      </c>
      <c r="Q278" s="82" t="inlineStr">
        <is>
          <t>BTG admin review item 19, 2026-10-03</t>
        </is>
      </c>
      <c r="R278" s="111" t="inlineStr">
        <is>
          <t>Raised 2026-10-03: Phase 2 overrides Phase 1's manual rules (programme owner) — automatic when safety checks pass, BTG gets the exceptions. | Reviewed 2026-10-03: backend 2566/2568 on two runs (only next-edition-e2e 4-5); frontend 1117/1117; tsc and eslint clean; joint test proves an auto-approved brief starts staffing. On by default only for new campaigns (no backfill).</t>
        </is>
      </c>
    </row>
    <row r="279">
      <c r="A279" s="104" t="n">
        <v>90.59999999999999</v>
      </c>
      <c r="B279" s="105" t="inlineStr">
        <is>
          <t>P4-BE-13</t>
        </is>
      </c>
      <c r="C279" s="81" t="n">
        <v>4</v>
      </c>
      <c r="D279" s="82" t="inlineStr">
        <is>
          <t>Sponsor Demand &amp; Matching</t>
        </is>
      </c>
      <c r="E279" s="139" t="inlineStr">
        <is>
          <t>BE</t>
        </is>
      </c>
      <c r="F279" s="120" t="inlineStr">
        <is>
          <t>Code</t>
        </is>
      </c>
      <c r="G279" s="80" t="inlineStr">
        <is>
          <t>Campaigns launch on their start date</t>
        </is>
      </c>
      <c r="H279" s="107" t="inlineStr">
        <is>
          <t>A campaign in approval launches automatically on its start date (at once if the date has passed), after any sponsor approval step, through the existing launch checks. BTG can still launch by hand.</t>
        </is>
      </c>
      <c r="I279" s="108" t="inlineStr">
        <is>
          <t>Done</t>
        </is>
      </c>
      <c r="J279" s="108" t="n">
        <v>1</v>
      </c>
      <c r="K279" s="109" t="n">
        <v>46298</v>
      </c>
      <c r="L279" s="109" t="n">
        <v>46298</v>
      </c>
      <c r="M279" s="110" t="inlineStr">
        <is>
          <t>rcfworks</t>
        </is>
      </c>
      <c r="N279" s="81" t="inlineStr">
        <is>
          <t>P4-FE-09</t>
        </is>
      </c>
      <c r="O279" s="80" t="inlineStr">
        <is>
          <t>P4-BE-09</t>
        </is>
      </c>
      <c r="P279" s="80" t="inlineStr">
        <is>
          <t>A ready campaign launches on its start date and not before, with every existing launch check; cancelled campaigns never launch</t>
        </is>
      </c>
      <c r="Q279" s="82" t="inlineStr">
        <is>
          <t>BTG admin review item 20, 2026-10-03</t>
        </is>
      </c>
      <c r="R279" s="111" t="inlineStr">
        <is>
          <t>Raised 2026-10-03: Phase 2 overrides Phase 1's manual rules (programme owner) — automatic when safety checks pass, BTG gets the exceptions. | Reviewed 2026-10-03: backend 2566/2568 on two runs (only next-edition-e2e 4-5); frontend 1117/1117; tsc and eslint clean; joint test proves an auto-approved brief starts staffing. APPROVAL has no sponsor step in the code; launch is BTG or system only (sponsor admins refused).</t>
        </is>
      </c>
    </row>
    <row r="280">
      <c r="A280" s="104" t="n">
        <v>102.6</v>
      </c>
      <c r="B280" s="105" t="inlineStr">
        <is>
          <t>P5-BE-10</t>
        </is>
      </c>
      <c r="C280" s="81" t="n">
        <v>5</v>
      </c>
      <c r="D280" s="82" t="inlineStr">
        <is>
          <t>Campaign Execution</t>
        </is>
      </c>
      <c r="E280" s="139" t="inlineStr">
        <is>
          <t>BE</t>
        </is>
      </c>
      <c r="F280" s="120" t="inlineStr">
        <is>
          <t>Code</t>
        </is>
      </c>
      <c r="G280" s="80" t="inlineStr">
        <is>
          <t>Trusted drafts skip BTG review</t>
        </is>
      </c>
      <c r="H280" s="107" t="inlineStr">
        <is>
          <t>A draft passing every automatic check goes straight to the sponsor when the athlete's last 3 BTG-reviewed drafts were approved without changes, the athlete is not a minor and no category is sensitive. A BTG revision resets the streak. The sponsor still reviews every draft; BTG can still intervene.</t>
        </is>
      </c>
      <c r="I280" s="108" t="inlineStr">
        <is>
          <t>Done</t>
        </is>
      </c>
      <c r="J280" s="108" t="n">
        <v>2</v>
      </c>
      <c r="K280" s="109" t="n">
        <v>46298</v>
      </c>
      <c r="L280" s="109" t="n">
        <v>46298</v>
      </c>
      <c r="M280" s="110" t="inlineStr">
        <is>
          <t>rcfworks</t>
        </is>
      </c>
      <c r="N280" s="81" t="inlineStr">
        <is>
          <t>P4-FE-09</t>
        </is>
      </c>
      <c r="O280" s="80" t="inlineStr">
        <is>
          <t>P5-BE-09</t>
        </is>
      </c>
      <c r="P280" s="80" t="inlineStr">
        <is>
          <t>Trusted adult athletes' passing drafts skip BTG; minors and sensitive categories never skip; a BTG revision resets trust; BTG can request changes on a skipped draft</t>
        </is>
      </c>
      <c r="Q280" s="82" t="inlineStr">
        <is>
          <t>BTG admin review item 21, 2026-10-03</t>
        </is>
      </c>
      <c r="R280" s="111" t="inlineStr">
        <is>
          <t>Raised 2026-10-03: Phase 2 overrides Phase 1's manual rules (programme owner) — automatic when safety checks pass, BTG gets the exceptions. | Reviewed 2026-10-03: backend 2566/2568 on two runs (only next-edition-e2e 4-5); frontend 1117/1117; tsc and eslint clean; joint test proves an auto-approved brief starts staffing. Also: per-athlete lock against a racing BTG revision; sponsors can no longer approve from BTG_REVIEW.</t>
        </is>
      </c>
    </row>
    <row r="281">
      <c r="A281" s="104" t="n">
        <v>97.59999999999999</v>
      </c>
      <c r="B281" s="105" t="inlineStr">
        <is>
          <t>P4-FE-09</t>
        </is>
      </c>
      <c r="C281" s="81" t="n">
        <v>4</v>
      </c>
      <c r="D281" s="82" t="inlineStr">
        <is>
          <t>Sponsor Demand &amp; Matching</t>
        </is>
      </c>
      <c r="E281" s="139" t="inlineStr">
        <is>
          <t>FE</t>
        </is>
      </c>
      <c r="F281" s="120" t="inlineStr">
        <is>
          <t>Code</t>
        </is>
      </c>
      <c r="G281" s="80" t="inlineStr">
        <is>
          <t>Automatic briefs, staffing, launch and trusted review, on screen</t>
        </is>
      </c>
      <c r="H281" s="107" t="inlineStr">
        <is>
          <t>Held-for-BTG brief desk with reasons; sponsor request status; staffing panel and automatic-staffing switch; launch date; skipped-review tab and trust indicator; athlete 'sent straight to the sponsor'.</t>
        </is>
      </c>
      <c r="I281" s="108" t="inlineStr">
        <is>
          <t>Done</t>
        </is>
      </c>
      <c r="J281" s="108" t="n">
        <v>2</v>
      </c>
      <c r="K281" s="109" t="n">
        <v>46298</v>
      </c>
      <c r="L281" s="109" t="n">
        <v>46298</v>
      </c>
      <c r="M281" s="110" t="inlineStr">
        <is>
          <t>rcfworks</t>
        </is>
      </c>
      <c r="N281" s="81" t="n"/>
      <c r="O281" s="80" t="inlineStr">
        <is>
          <t>P4-BE-11, P4-BE-12, P4-BE-13, P5-BE-10</t>
        </is>
      </c>
      <c r="P281" s="80" t="inlineStr">
        <is>
          <t>Each screen shows what the system did and what is left for BTG</t>
        </is>
      </c>
      <c r="Q281" s="82" t="inlineStr">
        <is>
          <t>BTG admin review items 18 to 21, 2026-10-03</t>
        </is>
      </c>
      <c r="R281" s="111" t="inlineStr">
        <is>
          <t>Raised 2026-10-03: Phase 2 overrides Phase 1's manual rules (programme owner) — automatic when safety checks pass, BTG gets the exceptions. | Reviewed 2026-10-03: backend 2566/2568 on two runs (only next-edition-e2e 4-5); frontend 1117/1117; tsc and eslint clean; joint test proves an auto-approved brief starts staffing.</t>
        </is>
      </c>
    </row>
    <row r="282">
      <c r="A282" s="104" t="n">
        <v>209.6</v>
      </c>
      <c r="B282" s="105" t="inlineStr">
        <is>
          <t>P9-BE-17</t>
        </is>
      </c>
      <c r="C282" s="81" t="n">
        <v>9</v>
      </c>
      <c r="D282" s="82" t="inlineStr">
        <is>
          <t>SponsorX NEXT</t>
        </is>
      </c>
      <c r="E282" s="139" t="inlineStr">
        <is>
          <t>BE</t>
        </is>
      </c>
      <c r="F282" s="120" t="inlineStr">
        <is>
          <t>Code</t>
        </is>
      </c>
      <c r="G282" s="80" t="inlineStr">
        <is>
          <t>Editions move through their stages by themselves</t>
        </is>
      </c>
      <c r="H282" s="107" t="inlineStr">
        <is>
          <t>Sales open on the opening date when priced slots exist; sales close on the closing date (the split is calculated then); the edition goes to production once all four production checks pass; it publishes digitally on the publish date. Printed, distributed and cancelled stay with BTG. An edition waiting on a check shows why.</t>
        </is>
      </c>
      <c r="I282" s="108" t="inlineStr">
        <is>
          <t>Done</t>
        </is>
      </c>
      <c r="J282" s="108" t="n">
        <v>2</v>
      </c>
      <c r="K282" s="109" t="n">
        <v>46298</v>
      </c>
      <c r="L282" s="109" t="n">
        <v>46298</v>
      </c>
      <c r="M282" s="110" t="inlineStr">
        <is>
          <t>rcfworks</t>
        </is>
      </c>
      <c r="N282" s="81" t="n"/>
      <c r="O282" s="80" t="inlineStr">
        <is>
          <t>P9-BE-02, P9-BE-16</t>
        </is>
      </c>
      <c r="P282" s="80" t="inlineStr">
        <is>
          <t>Each stage moves on its date or check and not before; a failing check leaves the edition with its reason; BTG's manual moves still work</t>
        </is>
      </c>
      <c r="Q282" s="82" t="inlineStr">
        <is>
          <t>BTG admin review item 23, 2026-10-03</t>
        </is>
      </c>
      <c r="R282" s="111" t="inlineStr">
        <is>
          <t>Raised 2026-10-03: Phase 2 overrides Phase 1's manual rules (programme owner) — automatic when safety checks pass, a person gets the exceptions. | Reviewed 2026-10-03: backend 2658/2660 on two runs (only next-edition-e2e 4-5); frontend 1141/1141; tsc and eslint clean.</t>
        </is>
      </c>
    </row>
    <row r="283">
      <c r="A283" s="104" t="n">
        <v>209.7</v>
      </c>
      <c r="B283" s="105" t="inlineStr">
        <is>
          <t>P9-BE-18</t>
        </is>
      </c>
      <c r="C283" s="81" t="n">
        <v>9</v>
      </c>
      <c r="D283" s="82" t="inlineStr">
        <is>
          <t>SponsorX NEXT</t>
        </is>
      </c>
      <c r="E283" s="139" t="inlineStr">
        <is>
          <t>BE</t>
        </is>
      </c>
      <c r="F283" s="120" t="inlineStr">
        <is>
          <t>Code</t>
        </is>
      </c>
      <c r="G283" s="80" t="inlineStr">
        <is>
          <t>Ad slots priced from the rate card; ads sold automatically behind a student-audience check</t>
        </is>
      </c>
      <c r="H283" s="107" t="inlineStr">
        <is>
          <t>Slots take their price from the publication's rate card. A package's slots are sold automatically when the sponsor's business is allowed in a student publication (not alcohol, vaping, gambling or other not-for-students categories), no exclusive category clashes, and slots are available; otherwise Sales gets it with the reason. The category check now also applies to Sales' manual sale.</t>
        </is>
      </c>
      <c r="I283" s="108" t="inlineStr">
        <is>
          <t>Done</t>
        </is>
      </c>
      <c r="J283" s="108" t="n">
        <v>2</v>
      </c>
      <c r="K283" s="109" t="n">
        <v>46298</v>
      </c>
      <c r="L283" s="109" t="n">
        <v>46298</v>
      </c>
      <c r="M283" s="110" t="inlineStr">
        <is>
          <t>rcfworks</t>
        </is>
      </c>
      <c r="N283" s="81" t="n"/>
      <c r="O283" s="80" t="inlineStr">
        <is>
          <t>P9-BE-03</t>
        </is>
      </c>
      <c r="P283" s="80" t="inlineStr">
        <is>
          <t>A clean sale needs no person; a not-for-students, sensitive, unknown or clashing category is never sold and reaches Sales with the reason; prices come from the rate card</t>
        </is>
      </c>
      <c r="Q283" s="82" t="inlineStr">
        <is>
          <t>BTG admin review item 23, 2026-10-03</t>
        </is>
      </c>
      <c r="R283" s="111" t="inlineStr">
        <is>
          <t>Raised 2026-10-03: Phase 2 overrides Phase 1's manual rules (programme owner) — automatic when safety checks pass, a person gets the exceptions. | Reviewed 2026-10-03: backend 2658/2660 on two runs (only next-edition-e2e 4-5); frontend 1141/1141; tsc and eslint clean.</t>
        </is>
      </c>
    </row>
    <row r="284">
      <c r="A284" s="104" t="n">
        <v>209.8</v>
      </c>
      <c r="B284" s="105" t="inlineStr">
        <is>
          <t>P9-BE-19</t>
        </is>
      </c>
      <c r="C284" s="81" t="n">
        <v>9</v>
      </c>
      <c r="D284" s="82" t="inlineStr">
        <is>
          <t>SponsorX NEXT</t>
        </is>
      </c>
      <c r="E284" s="139" t="inlineStr">
        <is>
          <t>BE</t>
        </is>
      </c>
      <c r="F284" s="120" t="inlineStr">
        <is>
          <t>Code</t>
        </is>
      </c>
      <c r="G284" s="80" t="inlineStr">
        <is>
          <t>Finance locks the revenue split; cancelling an edition queues its refunds</t>
        </is>
      </c>
      <c r="H284" s="107" t="inlineStr">
        <is>
          <t>Finance can lock an edition's split so it is never recalculated; BTG admin can unlock with a reason. Cancelling an edition releases its sold slots, cancels ad-only campaigns that bought only those slots, and puts any money received on Finance's Refunds to send list. Split shares stay placeholders (owner's decision).</t>
        </is>
      </c>
      <c r="I284" s="108" t="inlineStr">
        <is>
          <t>Done</t>
        </is>
      </c>
      <c r="J284" s="108" t="n">
        <v>1</v>
      </c>
      <c r="K284" s="109" t="n">
        <v>46298</v>
      </c>
      <c r="L284" s="109" t="n">
        <v>46298</v>
      </c>
      <c r="M284" s="110" t="inlineStr">
        <is>
          <t>rcfworks</t>
        </is>
      </c>
      <c r="N284" s="81" t="n"/>
      <c r="O284" s="80" t="inlineStr">
        <is>
          <t>P9-BE-06, 2S4-BE-13</t>
        </is>
      </c>
      <c r="P284" s="80" t="inlineStr">
        <is>
          <t>A locked split is never replaced; a cancelled edition releases its slots and creates one refund row per payment received</t>
        </is>
      </c>
      <c r="Q284" s="82" t="inlineStr">
        <is>
          <t>BTG admin review item 23, 2026-10-03</t>
        </is>
      </c>
      <c r="R284" s="111" t="inlineStr">
        <is>
          <t>Raised 2026-10-03: Phase 2 overrides Phase 1's manual rules (programme owner) — automatic when safety checks pass, a person gets the exceptions. | Reviewed 2026-10-03: backend 2658/2660 on two runs (only next-edition-e2e 4-5); frontend 1141/1141; tsc and eslint clean. Also: a Zoho payment after an edition cancel is refunded; refunded sales are reversed from the student total and points.</t>
        </is>
      </c>
    </row>
    <row r="285">
      <c r="A285" s="104" t="n">
        <v>209.81</v>
      </c>
      <c r="B285" s="105" t="inlineStr">
        <is>
          <t>P9-BE-20</t>
        </is>
      </c>
      <c r="C285" s="81" t="n">
        <v>9</v>
      </c>
      <c r="D285" s="82" t="inlineStr">
        <is>
          <t>SponsorX NEXT</t>
        </is>
      </c>
      <c r="E285" s="139" t="inlineStr">
        <is>
          <t>BE</t>
        </is>
      </c>
      <c r="F285" s="120" t="inlineStr">
        <is>
          <t>Code</t>
        </is>
      </c>
      <c r="G285" s="80" t="inlineStr">
        <is>
          <t>Students approved from the school roster; activated and given codes automatically</t>
        </is>
      </c>
      <c r="H285" s="107" t="inlineStr">
        <is>
          <t>An application is approved automatically when the name exactly matches one entry on the school's roster (graduation year too), no student with that name is already approved there, and an adult applies from the school's email domain; otherwise the advisor reviews it with the reason. A minor activates only once their guardian is verified; the sales code is issued on activation. An empty roster approves nobody.</t>
        </is>
      </c>
      <c r="I285" s="108" t="inlineStr">
        <is>
          <t>Done</t>
        </is>
      </c>
      <c r="J285" s="108" t="n">
        <v>2</v>
      </c>
      <c r="K285" s="109" t="n">
        <v>46298</v>
      </c>
      <c r="L285" s="109" t="n">
        <v>46298</v>
      </c>
      <c r="M285" s="110" t="inlineStr">
        <is>
          <t>rcfworks</t>
        </is>
      </c>
      <c r="N285" s="81" t="n"/>
      <c r="O285" s="80" t="inlineStr">
        <is>
          <t>P9-BE-05</t>
        </is>
      </c>
      <c r="P285" s="80" t="inlineStr">
        <is>
          <t>Exact roster matches are approved without a person; every other case reaches the advisor with its reason; a minor never activates without a verified guardian; codes are issued once</t>
        </is>
      </c>
      <c r="Q285" s="82" t="inlineStr">
        <is>
          <t>BTG admin review item 24, 2026-10-03</t>
        </is>
      </c>
      <c r="R285" s="111" t="inlineStr">
        <is>
          <t>Raised 2026-10-03: Phase 2 overrides Phase 1's manual rules (programme owner) — automatic when safety checks pass, a person gets the exceptions. | Reviewed 2026-10-03: backend 2658/2660 on two runs (only next-edition-e2e 4-5); frontend 1141/1141; tsc and eslint clean. Also: only ACTIVE students read school-wide; a roster upload re-reviews waiting applicants. No in-app guardian signature exists for students, so guardian verification stays with BTG.</t>
        </is>
      </c>
    </row>
    <row r="286">
      <c r="A286" s="104" t="n">
        <v>209.82</v>
      </c>
      <c r="B286" s="105" t="inlineStr">
        <is>
          <t>P9-BE-21</t>
        </is>
      </c>
      <c r="C286" s="81" t="n">
        <v>9</v>
      </c>
      <c r="D286" s="82" t="inlineStr">
        <is>
          <t>SponsorX NEXT</t>
        </is>
      </c>
      <c r="E286" s="139" t="inlineStr">
        <is>
          <t>BE</t>
        </is>
      </c>
      <c r="F286" s="120" t="inlineStr">
        <is>
          <t>Code</t>
        </is>
      </c>
      <c r="G286" s="80" t="inlineStr">
        <is>
          <t>Student prospects decided automatically</t>
        </is>
      </c>
      <c r="H286" s="107" t="inlineStr">
        <is>
          <t>A prospect is rejected automatically when another sponsor holds its category (with other categories suggested), accepted automatically when the category is allowed and nothing clashes, and otherwise held for Sales with the reason.</t>
        </is>
      </c>
      <c r="I286" s="108" t="inlineStr">
        <is>
          <t>Done</t>
        </is>
      </c>
      <c r="J286" s="108" t="n">
        <v>1</v>
      </c>
      <c r="K286" s="109" t="n">
        <v>46298</v>
      </c>
      <c r="L286" s="109" t="n">
        <v>46298</v>
      </c>
      <c r="M286" s="110" t="inlineStr">
        <is>
          <t>rcfworks</t>
        </is>
      </c>
      <c r="N286" s="81" t="n"/>
      <c r="O286" s="80" t="inlineStr">
        <is>
          <t>P9-BE-05</t>
        </is>
      </c>
      <c r="P286" s="80" t="inlineStr">
        <is>
          <t>Exclusive-category prospects are declined with suggestions; clean ones accepted; the rest reach Sales with the reason; a minor's decline goes to the guardian</t>
        </is>
      </c>
      <c r="Q286" s="82" t="inlineStr">
        <is>
          <t>BTG admin review item 24, 2026-10-03</t>
        </is>
      </c>
      <c r="R286" s="111" t="inlineStr">
        <is>
          <t>Raised 2026-10-03: Phase 2 overrides Phase 1's manual rules (programme owner) — automatic when safety checks pass, a person gets the exceptions. | Reviewed 2026-10-03: backend 2658/2660 on two runs (only next-edition-e2e 4-5); frontend 1141/1141; tsc and eslint clean.</t>
        </is>
      </c>
    </row>
    <row r="287">
      <c r="A287" s="104" t="n">
        <v>209.83</v>
      </c>
      <c r="B287" s="105" t="inlineStr">
        <is>
          <t>P9-BE-22</t>
        </is>
      </c>
      <c r="C287" s="81" t="n">
        <v>9</v>
      </c>
      <c r="D287" s="82" t="inlineStr">
        <is>
          <t>SponsorX NEXT</t>
        </is>
      </c>
      <c r="E287" s="139" t="inlineStr">
        <is>
          <t>BE</t>
        </is>
      </c>
      <c r="F287" s="120" t="inlineStr">
        <is>
          <t>Code</t>
        </is>
      </c>
      <c r="G287" s="80" t="inlineStr">
        <is>
          <t>Ad artwork checked automatically; trusted sponsors skip BTG; the ad licence recorded on approval</t>
        </is>
      </c>
      <c r="H287" s="107" t="inlineStr">
        <is>
          <t>Uploaded artwork is checked automatically (file type, size, and dimensions if known); a failing upload goes back to the sponsor. A sponsor whose last 3 ads had no BTG changes skips BTG's review; any BTG change request puts them back under review. When the sponsor approves their ad, its licence is recorded, so sold ads no longer block production.</t>
        </is>
      </c>
      <c r="I287" s="108" t="inlineStr">
        <is>
          <t>Done</t>
        </is>
      </c>
      <c r="J287" s="108" t="n">
        <v>2</v>
      </c>
      <c r="K287" s="109" t="n">
        <v>46298</v>
      </c>
      <c r="L287" s="109" t="n">
        <v>46298</v>
      </c>
      <c r="M287" s="110" t="inlineStr">
        <is>
          <t>rcfworks</t>
        </is>
      </c>
      <c r="N287" s="81" t="n"/>
      <c r="O287" s="80" t="inlineStr">
        <is>
          <t>P9-BE-16</t>
        </is>
      </c>
      <c r="P287" s="80" t="inlineStr">
        <is>
          <t>Failing uploads never reach BTG; only sponsors with a clean record skip, and a BTG revision resets them; every approved ad has its licence once</t>
        </is>
      </c>
      <c r="Q287" s="82" t="inlineStr">
        <is>
          <t>BTG admin review item 24, 2026-10-03</t>
        </is>
      </c>
      <c r="R287" s="111" t="inlineStr">
        <is>
          <t>Raised 2026-10-03: Phase 2 overrides Phase 1's manual rules (programme owner) — automatic when safety checks pass, a person gets the exceptions. | Reviewed 2026-10-03: backend 2658/2660 on two runs (only next-edition-e2e 4-5); frontend 1141/1141; tsc and eslint clean. Also: athlete deliverable uploads now sign their content type (P5-BE-09 made true).</t>
        </is>
      </c>
    </row>
    <row r="288">
      <c r="A288" s="104" t="n">
        <v>209.84</v>
      </c>
      <c r="B288" s="105" t="inlineStr">
        <is>
          <t>P9-BE-23</t>
        </is>
      </c>
      <c r="C288" s="81" t="n">
        <v>9</v>
      </c>
      <c r="D288" s="82" t="inlineStr">
        <is>
          <t>SponsorX NEXT</t>
        </is>
      </c>
      <c r="E288" s="139" t="inlineStr">
        <is>
          <t>BE</t>
        </is>
      </c>
      <c r="F288" s="120" t="inlineStr">
        <is>
          <t>Code</t>
        </is>
      </c>
      <c r="G288" s="80" t="inlineStr">
        <is>
          <t>Content rights recorded automatically from valid consent</t>
        </is>
      </c>
      <c r="H288" s="107" t="inlineStr">
        <is>
          <t>When the student or athlete who made an edition asset has a valid consent on file, the right for that asset is recorded automatically, with the same checks as BTG's: a minor's consent needs a verified guardian, and commercial reuse only under a commercial agreement. Paper consent forms and third-party licences stay with BTG.</t>
        </is>
      </c>
      <c r="I288" s="108" t="inlineStr">
        <is>
          <t>Done</t>
        </is>
      </c>
      <c r="J288" s="108" t="n">
        <v>1</v>
      </c>
      <c r="K288" s="109" t="n">
        <v>46298</v>
      </c>
      <c r="L288" s="109" t="n">
        <v>46298</v>
      </c>
      <c r="M288" s="110" t="inlineStr">
        <is>
          <t>rcfworks</t>
        </is>
      </c>
      <c r="N288" s="81" t="n"/>
      <c r="O288" s="80" t="inlineStr">
        <is>
          <t>P9-BE-10, P9-BE-11</t>
        </is>
      </c>
      <c r="P288" s="80" t="inlineStr">
        <is>
          <t>Rights are recorded automatically only from valid consent, never for a minor without a verified guardian, never commercial without a commercial agreement</t>
        </is>
      </c>
      <c r="Q288" s="82" t="inlineStr">
        <is>
          <t>BTG admin review item 24, 2026-10-03</t>
        </is>
      </c>
      <c r="R288" s="111" t="inlineStr">
        <is>
          <t>Raised 2026-10-03: Phase 2 overrides Phase 1's manual rules (programme owner) — automatic when safety checks pass, a person gets the exceptions. | Reviewed 2026-10-03: backend 2658/2660 on two runs (only next-edition-e2e 4-5); frontend 1141/1141; tsc and eslint clean.</t>
        </is>
      </c>
    </row>
    <row r="289">
      <c r="A289" s="104" t="n">
        <v>209.85</v>
      </c>
      <c r="B289" s="105" t="inlineStr">
        <is>
          <t>P9-FE-11</t>
        </is>
      </c>
      <c r="C289" s="81" t="n">
        <v>9</v>
      </c>
      <c r="D289" s="82" t="inlineStr">
        <is>
          <t>SponsorX NEXT</t>
        </is>
      </c>
      <c r="E289" s="139" t="inlineStr">
        <is>
          <t>FE</t>
        </is>
      </c>
      <c r="F289" s="120" t="inlineStr">
        <is>
          <t>Code</t>
        </is>
      </c>
      <c r="G289" s="80" t="inlineStr">
        <is>
          <t>NEXT automation, on screen</t>
        </is>
      </c>
      <c r="H289" s="107" t="inlineStr">
        <is>
          <t>Edition next step and automatic moves; held ad sales with reasons; rate-card prices; Finance's split lock; the advisor's queue with reasons and the school email domain; held prospects; artwork checks, the skipped-review tab and sponsor trust; rights recorded automatically.</t>
        </is>
      </c>
      <c r="I289" s="108" t="inlineStr">
        <is>
          <t>Done</t>
        </is>
      </c>
      <c r="J289" s="108" t="n">
        <v>2</v>
      </c>
      <c r="K289" s="109" t="n">
        <v>46298</v>
      </c>
      <c r="L289" s="109" t="n">
        <v>46298</v>
      </c>
      <c r="M289" s="110" t="inlineStr">
        <is>
          <t>rcfworks</t>
        </is>
      </c>
      <c r="N289" s="81" t="n"/>
      <c r="O289" s="80" t="inlineStr">
        <is>
          <t>P9-BE-17, P9-BE-18, P9-BE-19, P9-BE-20, P9-BE-21, P9-BE-22, P9-BE-23</t>
        </is>
      </c>
      <c r="P289" s="80" t="inlineStr">
        <is>
          <t>Each screen shows what the system did and what is left for a person</t>
        </is>
      </c>
      <c r="Q289" s="82" t="inlineStr">
        <is>
          <t>BTG admin review items 23 and 24, 2026-10-03</t>
        </is>
      </c>
      <c r="R289" s="111" t="inlineStr">
        <is>
          <t>Raised 2026-10-03: Phase 2 overrides Phase 1's manual rules (programme owner) — automatic when safety checks pass, a person gets the exceptions. | Reviewed 2026-10-03: backend 2658/2660 on two runs (only next-edition-e2e 4-5); frontend 1141/1141; tsc and eslint clean.</t>
        </is>
      </c>
    </row>
    <row r="290" s="75">
      <c r="A290" s="104" t="n">
        <v>32.97</v>
      </c>
      <c r="B290" s="105" t="inlineStr">
        <is>
          <t>P1-ART-14</t>
        </is>
      </c>
      <c r="C290" s="81" t="n">
        <v>1</v>
      </c>
      <c r="D290" s="82" t="inlineStr">
        <is>
          <t>UI Scaffold on Fixtures</t>
        </is>
      </c>
      <c r="E290" s="139" t="inlineStr">
        <is>
          <t>ART</t>
        </is>
      </c>
      <c r="F290" s="120" t="inlineStr">
        <is>
          <t>Code</t>
        </is>
      </c>
      <c r="G290" s="80" t="inlineStr">
        <is>
          <t>Admin Operations Board — "Mission Control" stage redesign</t>
        </is>
      </c>
      <c r="H290" s="107" t="inlineStr">
        <is>
          <t>Raised 2026-10-05 by the programme owner: give /admin the landing's wow factor. The Operations Board (P7-FE-06) is redrawn on a fixed-dark HUD stage in the landing's, /packages' and /login's language, bled to the edges of the portal's content column (sidebar and top bar unchanged). Ground: brand glows, a pointer-led light, the drifting floor grid, rising motes, a scan sweep, an outlined OPS word. Hero: a scrambled live eyebrow with the Postgres provenance pill, a masked headline ("23 things need / BTG's hand today."), and an action ring whose arcs are each queue's share. Queue cards in chamfered glass with count-ups, lit brackets and a pointer spotlight; live campaigns with glowing progress; Systems as status lights. Own dark loading skeleton via the (board) route group. No new figures: the same three live reads.</t>
        </is>
      </c>
      <c r="I290" s="108" t="inlineStr">
        <is>
          <t>Done</t>
        </is>
      </c>
      <c r="J290" s="108" t="n">
        <v>1</v>
      </c>
      <c r="K290" s="109" t="n">
        <v>46300</v>
      </c>
      <c r="L290" s="109" t="n">
        <v>46303</v>
      </c>
      <c r="M290" s="110" t="inlineStr">
        <is>
          <t>HeckerCreatives</t>
        </is>
      </c>
      <c r="N290" s="81" t="n">
        <v>0</v>
      </c>
      <c r="O290" s="80" t="inlineStr">
        <is>
          <t>P7-FE-06, P1-ART-13</t>
        </is>
      </c>
      <c r="P290" s="80" t="inlineStr">
        <is>
          <t>Same three live reads and role filtering as before (no new figure); fixed-dark in both themes; links to desks a role can't use are hidden; zero actions shows All clear; reduced motion shows the still stage; no horizontal overflow at 390px; boardHeadline and ringSegments unit-tested; build, frontend tests and lint green</t>
        </is>
      </c>
      <c r="Q290" s="82" t="inlineStr">
        <is>
          <t>§23; docs/superpowers/specs/2026-10-05-admin-ops-stage-design.md</t>
        </is>
      </c>
      <c r="R290" s="111" t="inlineStr">
        <is>
          <t>Raised 2026-10-05 on the owner's request (HeckerCreatives, via Claude). Components: ops-stage.tsx, ops-fx.tsx; page moved to app/(app)/admin/(board)/. Branch feature/P1-ART-14-admin-ops-stage. Moved to Done by the owner 2026-10-08.</t>
        </is>
      </c>
    </row>
    <row r="291" s="75">
      <c r="A291" s="104" t="n">
        <v>32.98</v>
      </c>
      <c r="B291" s="105" t="inlineStr">
        <is>
          <t>P1-ART-15</t>
        </is>
      </c>
      <c r="C291" s="81" t="n">
        <v>1</v>
      </c>
      <c r="D291" s="82" t="inlineStr">
        <is>
          <t>UI Scaffold on Fixtures</t>
        </is>
      </c>
      <c r="E291" s="139" t="inlineStr">
        <is>
          <t>ART</t>
        </is>
      </c>
      <c r="F291" s="120" t="inlineStr">
        <is>
          <t>Code</t>
        </is>
      </c>
      <c r="G291" s="80" t="inlineStr">
        <is>
          <t>New sign-ups — "Intake Stream" redesign, server-paged</t>
        </is>
      </c>
      <c r="H291" s="107" t="inlineStr">
        <is>
          <t>Raised 2026-10-05 by the programme owner: redesign /admin/new-signups with the landing's wow factor, its lists paged by the house rule. The desk (2S1-FE-07) is redrawn on the Mission Control stage (P1-ART-14) as ONE server-paged stream of every kind of sign-up (organisations, athletes, guardians, sponsors), newest first, instead of four sections that each read their whole table. Hero from a summary read; kind chips with totals, a Needs review toggle and search, instant and URL-driven; held rows marked; the house pager above and below (12 / 24 / 60). Sensitive profile edits get their own paged panel. Backend: GET /signups/stream (six Prisma sources under whereFor, merged exactly per page) and /signups/stream/summary.</t>
        </is>
      </c>
      <c r="I291" s="108" t="inlineStr">
        <is>
          <t>Done</t>
        </is>
      </c>
      <c r="J291" s="108" t="n">
        <v>2</v>
      </c>
      <c r="K291" s="109" t="n">
        <v>46300</v>
      </c>
      <c r="L291" s="109" t="n">
        <v>46303</v>
      </c>
      <c r="M291" s="110" t="inlineStr">
        <is>
          <t>HeckerCreatives</t>
        </is>
      </c>
      <c r="N291" s="81" t="n">
        <v>0</v>
      </c>
      <c r="O291" s="80" t="inlineStr">
        <is>
          <t>2S1-FE-07, P1-ART-14</t>
        </is>
      </c>
      <c r="P291" s="80" t="inlineStr">
        <is>
          <t>Every list server-paged (page, size, kind, Needs review and search in the database; figures from a summary); a page is exact across the four tables (tested); old ?tab= links still land; no role sees more than before; tenant isolation green; fixed-dark in both themes; no horizontal overflow at 390px; build, tests and lint green</t>
        </is>
      </c>
      <c r="Q291" s="82" t="inlineStr">
        <is>
          <t>2S1-FE-07; docs/superpowers/specs/2026-10-05-new-signups-intake-stream-design.md</t>
        </is>
      </c>
      <c r="R291" s="111" t="inlineStr">
        <is>
          <t>Raised 2026-10-05 on the owner's request (HeckerCreatives, via Claude). Backend domain/signups-stream.ts (+ -rules), tests/signups-stream.test.ts; frontend components/intake-stage.tsx, intake-fx.tsx; page moved to app/(app)/admin/new-signups/(stream)/. Branch feature/P1-ART-15-new-signups-stream (stacked on P1-ART-14). Moved to Done by the owner 2026-10-08.</t>
        </is>
      </c>
    </row>
    <row r="292" s="75">
      <c r="A292" s="104" t="n">
        <v>32.99</v>
      </c>
      <c r="B292" s="105" t="inlineStr">
        <is>
          <t>P1-ART-16</t>
        </is>
      </c>
      <c r="C292" s="81" t="n">
        <v>1</v>
      </c>
      <c r="D292" s="82" t="inlineStr">
        <is>
          <t>UI Scaffold on Fixtures</t>
        </is>
      </c>
      <c r="E292" s="139" t="inlineStr">
        <is>
          <t>ART</t>
        </is>
      </c>
      <c r="F292" s="120" t="inlineStr">
        <is>
          <t>Code</t>
        </is>
      </c>
      <c r="G292" s="80" t="inlineStr">
        <is>
          <t>Athlete applications — "Scouting Board" redesign</t>
        </is>
      </c>
      <c r="H292" s="107" t="inlineStr">
        <is>
          <t>Raised 2026-10-05 by the programme owner: redesign /admin/applications with the landing's wow factor in the current theme. Visual only — the desk's reads, server paging and review actions are unchanged. On the admin stage (P1-ART-14), full bleed and fixed-dark: a dashboard header (title, Postgres pill, four KPI tiles from /applications/summary — the owner rejected a hero mid-build), tabs as stage pills, the queue as glass player cards (score ring, safeguard chips, a 48-hour bar that turns orange past 48h, pointer tilt and spotlight), and the review drawer as a dark scouting report in both themes (glowing factor bars, restyled decision buttons, same text and labels).</t>
        </is>
      </c>
      <c r="I292" s="108" t="inlineStr">
        <is>
          <t>Done</t>
        </is>
      </c>
      <c r="J292" s="108" t="n">
        <v>1</v>
      </c>
      <c r="K292" s="109" t="n">
        <v>46300</v>
      </c>
      <c r="L292" s="109" t="n">
        <v>46303</v>
      </c>
      <c r="M292" s="110" t="inlineStr">
        <is>
          <t>HeckerCreatives</t>
        </is>
      </c>
      <c r="N292" s="81" t="n">
        <v>0</v>
      </c>
      <c r="O292" s="80" t="inlineStr">
        <is>
          <t>P3-FE-02, P1-ART-14</t>
        </is>
      </c>
      <c r="P292" s="80" t="inlineStr">
        <is>
          <t>Same reads, paging and review actions; a dashboard header, not a hero; cards keep the row button's accessible name and the exact Minor label (the P3 e2e loop's adult path passes through desk and drawer); the drawer is dark in both themes; no horizontal overflow at 390px; waitMeter unit-tested; build, tests and lint green</t>
        </is>
      </c>
      <c r="Q292" s="82" t="inlineStr">
        <is>
          <t>P3-FE-02; docs/superpowers/specs/2026-10-05-applications-scouting-board-design.md</t>
        </is>
      </c>
      <c r="R292" s="111" t="inlineStr">
        <is>
          <t>Raised 2026-10-05 on the owner's request (HeckerCreatives, via Claude). Components scout-stage.tsx, applications-desk.tsx (markup only), KpiTile in ops-stage.tsx; page moved to app/(app)/admin/applications/(queue)/. Branch feature/P1-ART-16-applications-scouting-board (stacked on P1-ART-15). Moved to Done by the owner 2026-10-08.</t>
        </is>
      </c>
    </row>
    <row r="293" s="75">
      <c r="A293" s="104" t="n">
        <v>32.995</v>
      </c>
      <c r="B293" s="105" t="inlineStr">
        <is>
          <t>P1-ART-17</t>
        </is>
      </c>
      <c r="C293" s="81" t="n">
        <v>1</v>
      </c>
      <c r="D293" s="82" t="inlineStr">
        <is>
          <t>UI Scaffold on Fixtures</t>
        </is>
      </c>
      <c r="E293" s="139" t="inlineStr">
        <is>
          <t>ART</t>
        </is>
      </c>
      <c r="F293" s="120" t="inlineStr">
        <is>
          <t>Code</t>
        </is>
      </c>
      <c r="G293" s="80" t="inlineStr">
        <is>
          <t>Sign-up rules — "Control Panel" redesign, built for scale</t>
        </is>
      </c>
      <c r="H293" s="107" t="inlineStr">
        <is>
          <t>Raised 2026-10-05 by the programme owner: redesign /admin/new-signups/rules in the same structure. On the admin stage as a dashboard (title, four tiles: places, athletes in an unknown place, places not 18, the minors rule). The minors rule is a designed switch; the place form has an age stepper and Remove with a confirm. Built for scale on the owner's question: a search across every country by code or name, a scrolling country rail, and one country at a time — its exceptions as big tiles, places that follow the default as chips (first 40, then Show all). Picking anything lights the form (glow, pulse, an Editing callout with numbered steps) — the owner asked twice for a visible cue.</t>
        </is>
      </c>
      <c r="I293" s="108" t="inlineStr">
        <is>
          <t>Done</t>
        </is>
      </c>
      <c r="J293" s="108" t="n">
        <v>1</v>
      </c>
      <c r="K293" s="109" t="n">
        <v>46300</v>
      </c>
      <c r="L293" s="109" t="n">
        <v>46303</v>
      </c>
      <c r="M293" s="110" t="inlineStr">
        <is>
          <t>HeckerCreatives</t>
        </is>
      </c>
      <c r="N293" s="81" t="n">
        <v>0</v>
      </c>
      <c r="O293" s="80" t="inlineStr">
        <is>
          <t>2S1-FE-07, P1-ART-14</t>
        </is>
      </c>
      <c r="P293" s="80" t="inlineStr">
        <is>
          <t>Same reads, server actions and admin-only API; a dashboard header; the page height does not grow with the number of countries or places; search by code or name; picking a place is visibly highlighted with next steps; no native checkbox / inputs left unstyled; no horizontal overflow at 390px; lib/age-table.ts unit-tested; build, tests, lint green</t>
        </is>
      </c>
      <c r="Q293" s="82" t="inlineStr">
        <is>
          <t>2S1-FE-07; docs/superpowers/specs/2026-10-05-signup-rules-control-panel-design.md</t>
        </is>
      </c>
      <c r="R293" s="111" t="inlineStr">
        <is>
          <t>Raised 2026-10-05 on the owner's request (HeckerCreatives, via Claude). Components rules-board.tsx, signup-rules-editor.tsx; lib age-table.ts, region-names.ts. Branch feature/P1-ART-17-signup-rules-control-panel (stacked on P1-ART-16). Moved to Done by the owner 2026-10-08.</t>
        </is>
      </c>
    </row>
    <row r="294" s="75">
      <c r="A294" s="104" t="n">
        <v>32.996</v>
      </c>
      <c r="B294" s="105" t="inlineStr">
        <is>
          <t>P1-ART-18</t>
        </is>
      </c>
      <c r="C294" s="81" t="n">
        <v>1</v>
      </c>
      <c r="D294" s="82" t="inlineStr">
        <is>
          <t>UI Scaffold on Fixtures</t>
        </is>
      </c>
      <c r="E294" s="139" t="inlineStr">
        <is>
          <t>ART</t>
        </is>
      </c>
      <c r="F294" s="120" t="inlineStr">
        <is>
          <t>Code</t>
        </is>
      </c>
      <c r="G294" s="80" t="inlineStr">
        <is>
          <t>Admin portal — every desk, drawer and dialog on the stage</t>
        </is>
      </c>
      <c r="H294" s="107" t="inlineStr">
        <is>
          <t>Raised 2026-10-07 by the programme owner: redesign the whole admin portal in the Mission Control language, components included. The stage moves into the admin shell (PortalShell `stage`): sidebar and top bar as night glass, every /admin page as content on the dark stage, and a body-level class so drawers, dialogs and menus portaled outside it are on the stage too. A shared CSS skin restyles the primitives every desk is built from (Card, Badge, SectionHeading, HeroBand, StatTile, Button, Tabs, BlockedNotice, page titles, tab strips, native fields, raw buttons, drawers, dialogs). /admin's hero becomes a dashboard header. Visual only.</t>
        </is>
      </c>
      <c r="I294" s="108" t="inlineStr">
        <is>
          <t>Done</t>
        </is>
      </c>
      <c r="J294" s="108" t="n">
        <v>2</v>
      </c>
      <c r="K294" s="109" t="n">
        <v>46302</v>
      </c>
      <c r="L294" s="109" t="n">
        <v>46303</v>
      </c>
      <c r="M294" s="110" t="inlineStr">
        <is>
          <t>HeckerCreatives</t>
        </is>
      </c>
      <c r="N294" s="81" t="n">
        <v>0</v>
      </c>
      <c r="O294" s="80" t="inlineStr">
        <is>
          <t>P1-ART-14, P1-ART-15, P1-ART-16, P1-ART-17</t>
        </is>
      </c>
      <c r="P294" s="80" t="inlineStr">
        <is>
          <t>Every /admin route renders on the stage (27 desks walked, no console errors, no horizontal overflow at 390px); drawers and dialogs are dark in both themes; no read, write or role rule changes; frontend tests, lint and build green</t>
        </is>
      </c>
      <c r="Q294" s="82" t="inlineStr">
        <is>
          <t>docs/superpowers/specs/2026-10-07-admin-portal-stage-design.md</t>
        </is>
      </c>
      <c r="R294" s="111" t="inlineStr">
        <is>
          <t>Raised 2026-10-07 on the owner's request (HeckerCreatives, via Claude). portal-shell.tsx `stage`, stage-portals.tsx, globals.css `.sx-ops` skin. Also adds optional CLERK_CLOCK_SKEW_MS (API + Next middleware) for a drifted dev clock. Branch feature/P1-ART-18-admin-portal-stage (stacked on P1-ART-17). Moved to Done by the owner 2026-10-08.</t>
        </is>
      </c>
    </row>
    <row r="295" s="75">
      <c r="A295" s="104" t="n">
        <v>32.997</v>
      </c>
      <c r="B295" s="105" t="inlineStr">
        <is>
          <t>P1-FE-31</t>
        </is>
      </c>
      <c r="C295" s="81" t="n">
        <v>1</v>
      </c>
      <c r="D295" s="82" t="inlineStr">
        <is>
          <t>UI Scaffold on Fixtures</t>
        </is>
      </c>
      <c r="E295" s="139" t="inlineStr">
        <is>
          <t>FE</t>
        </is>
      </c>
      <c r="F295" s="120" t="inlineStr">
        <is>
          <t>Code</t>
        </is>
      </c>
      <c r="G295" s="80" t="inlineStr">
        <is>
          <t>Admin desks — every list a server-paged table</t>
        </is>
      </c>
      <c r="H295" s="107" t="inlineStr">
        <is>
          <t>Raised 2026-10-07 by the programme owner: page the admin desks' remaining whole-list tables by the house rules, as tables only where that makes them easier on the eyes. Ten desks read a whole list (or the API's silent 100–500 cap), some counting tabs from the rows in view: audit log, briefs, sponsor requests, property verification, payouts, refunds, delivery issues, guardian handoffs, closed accounts, offers. Nine become one shared stage table (StageTable / PagedTable: a real &lt;table&gt;, the house pager above and below, stacked on a phone); briefs stays rows but is paged. The API gains the house pager on every one of those lists with counts over the whole scope; offers' tab rules and delivery issues' lists move to the server; /onboarding answers every tab's count in one read; the audit log gets a counted page; /briefs gains ?sport=, counts and a sports facet.</t>
        </is>
      </c>
      <c r="I295" s="108" t="inlineStr">
        <is>
          <t>Done</t>
        </is>
      </c>
      <c r="J295" s="108" t="n">
        <v>2</v>
      </c>
      <c r="K295" s="109" t="n">
        <v>46302</v>
      </c>
      <c r="L295" s="109" t="n">
        <v>46303</v>
      </c>
      <c r="M295" s="110" t="inlineStr">
        <is>
          <t>HeckerCreatives</t>
        </is>
      </c>
      <c r="N295" s="81" t="n">
        <v>0</v>
      </c>
      <c r="O295" s="80" t="inlineStr">
        <is>
          <t>P1-ART-18</t>
        </is>
      </c>
      <c r="P295" s="80" t="inlineStr">
        <is>
          <t>None of the ten desks reads a whole list; every count is the API's; each renders a table (or the briefs' rows) with the pager above and below, or an empty state; no console error, no horizontal overflow; backend static scope tests and one paged-shape test per endpoint green; frontend tests, lint, build green</t>
        </is>
      </c>
      <c r="Q295" s="82" t="inlineStr">
        <is>
          <t>docs/superpowers/specs/2026-10-07-admin-lists-paged-tables-design.md</t>
        </is>
      </c>
      <c r="R295" s="111" t="inlineStr">
        <is>
          <t>Raised 2026-10-07 on the owner's request (HeckerCreatives, via Claude). frontend/src/components/stage-table.tsx, backend/src/lib/paging.ts on ten more endpoints, e2e/admin-lists-paged.spec.ts. Branch feature/P1-FE-31-admin-lists-paged (stacked on P1-ART-18). Moved to Done by the owner 2026-10-08.</t>
        </is>
      </c>
    </row>
    <row r="296" s="75">
      <c r="A296" s="104" t="n">
        <v>32.998</v>
      </c>
      <c r="B296" s="105" t="inlineStr">
        <is>
          <t>P1-ART-19</t>
        </is>
      </c>
      <c r="C296" s="81" t="n">
        <v>1</v>
      </c>
      <c r="D296" s="82" t="inlineStr">
        <is>
          <t>UI Scaffold on Fixtures</t>
        </is>
      </c>
      <c r="E296" s="139" t="inlineStr">
        <is>
          <t>ART</t>
        </is>
      </c>
      <c r="F296" s="120" t="inlineStr">
        <is>
          <t>Code</t>
        </is>
      </c>
      <c r="G296" s="80" t="inlineStr">
        <is>
          <t>Commission desk — the split strip, one kind's rules as a table, add / revise in a dialog</t>
        </is>
      </c>
      <c r="H296" s="107" t="inlineStr">
        <is>
          <t>Raised 2026-10-07 by the programme owner: /admin/commission had too much space (six tall mostly-empty cards, an always-open form, the sample order under it all). Restructured as the commission desk: six tiles in the order money comes off a sale, each headlining the rate for everyone with one line under it; the picked kind's rules as one stage table (applies to, rate, priority, since, version; earlier versions unfold); the sample order beside it, sticky, with the split as a waterfall; add and revise in a dialog (named dropdowns, nothing typed that isn't a choice) that previews the unsaved rule against the sample order. Structure and visuals only: the API still decides which rule applies, versions and the split.</t>
        </is>
      </c>
      <c r="I296" s="108" t="inlineStr">
        <is>
          <t>Done</t>
        </is>
      </c>
      <c r="J296" s="108" t="n">
        <v>1</v>
      </c>
      <c r="K296" s="109" t="n">
        <v>46302</v>
      </c>
      <c r="L296" s="109" t="n">
        <v>46303</v>
      </c>
      <c r="M296" s="110" t="inlineStr">
        <is>
          <t>HeckerCreatives</t>
        </is>
      </c>
      <c r="N296" s="81" t="n">
        <v>0</v>
      </c>
      <c r="O296" s="80" t="inlineStr">
        <is>
          <t>P1-ART-18, P1-FE-31</t>
        </is>
      </c>
      <c r="P296" s="80" t="inlineStr">
        <is>
          <t>One screen at 1440 for a desk with rules; the strip headlines every kind's rate for everyone; add and revise open a dialog with a preview against the sample order; no console error, no horizontal overflow at 390; unit tests, lint, tsc and build green</t>
        </is>
      </c>
      <c r="Q296" s="82" t="inlineStr">
        <is>
          <t>docs/superpowers/specs/2026-10-07-commission-desk-design.md</t>
        </is>
      </c>
      <c r="R296" s="111" t="inlineStr">
        <is>
          <t>Raised 2026-10-07 on the owner's request (HeckerCreatives, via Claude). frontend/src/components/commission-editor.tsx, commission-preview.tsx, commission-rule-dialog.tsx; ComboBox exported from place-dialog.tsx; kindSummary in lib/commission-live.ts. Branch feature/P1-ART-19-commission-desk (stacked on P1-FE-31). Moved to Done by the owner 2026-10-08.</t>
        </is>
      </c>
    </row>
    <row r="297" s="75">
      <c r="A297" s="104" t="n">
        <v>32.999</v>
      </c>
      <c r="B297" s="105" t="inlineStr">
        <is>
          <t>P1-ART-20</t>
        </is>
      </c>
      <c r="C297" s="81" t="n">
        <v>1</v>
      </c>
      <c r="D297" s="82" t="inlineStr">
        <is>
          <t>UI Scaffold on Fixtures</t>
        </is>
      </c>
      <c r="E297" s="139" t="inlineStr">
        <is>
          <t>ART</t>
        </is>
      </c>
      <c r="F297" s="120" t="inlineStr">
        <is>
          <t>Code</t>
        </is>
      </c>
      <c r="G297" s="80" t="inlineStr">
        <is>
          <t>Marketplace desk — the queue strip, one queue's rows as a panel</t>
        </is>
      </c>
      <c r="H297" s="107" t="inlineStr">
        <is>
          <t>Raised 2026-10-07 by the programme owner: /admin/marketplace had six stat tiles and then six stacked cards each mostly 'nothing here' — the same number said twice, two screens to learn that four queues are empty. Restructured as the marketplace desk: a queue strip of five tiles (one per queue, in the order BTG works them, each with its count, one line of context and a tone for work waiting) that is the navigation, and one panel under it — the picked queue's rows as a stage table (applications, orders, failed payments, payout problems) or the listing desks' inline-action rows under their three tabs. Disputes become one line. ?queue= in the URL; the listing emails' ?listings=…#listing-… links still land on the right row. Reads unchanged in substance; two now use the house pager so the counts are the API's.</t>
        </is>
      </c>
      <c r="I297" s="108" t="inlineStr">
        <is>
          <t>Done</t>
        </is>
      </c>
      <c r="J297" s="108" t="n">
        <v>1</v>
      </c>
      <c r="K297" s="109" t="n">
        <v>46302</v>
      </c>
      <c r="L297" s="109" t="n">
        <v>46303</v>
      </c>
      <c r="M297" s="110" t="inlineStr">
        <is>
          <t>HeckerCreatives</t>
        </is>
      </c>
      <c r="N297" s="81" t="n">
        <v>0</v>
      </c>
      <c r="O297" s="80" t="inlineStr">
        <is>
          <t>P1-ART-18, P1-FE-31</t>
        </is>
      </c>
      <c r="P297" s="80" t="inlineStr">
        <is>
          <t>One screen at 1440; every tile's count is the API's; a tile switches the panel in place and writes the URL; the listing emails' links still work; no console error, no horizontal overflow at 390; unit tests, lint, tsc and build green</t>
        </is>
      </c>
      <c r="Q297" s="82" t="inlineStr">
        <is>
          <t>docs/superpowers/specs/2026-10-07-marketplace-desk-design.md</t>
        </is>
      </c>
      <c r="R297" s="111" t="inlineStr">
        <is>
          <t>Raised 2026-10-07 on the owner's request (HeckerCreatives, via Claude). frontend/src/components/marketplace-desk.tsx, QUEUES / queueKey / firstBusyQueue in lib/marketplace-ops-live.ts, e2e/admin-marketplace-desk.spec.ts. Branch feature/P1-ART-20-marketplace-desk (stacked on P1-ART-19). Moved to Done by the owner 2026-10-08.</t>
        </is>
      </c>
    </row>
    <row r="298" s="75">
      <c r="A298" s="104" t="n">
        <v>32.9995</v>
      </c>
      <c r="B298" s="105" t="inlineStr">
        <is>
          <t>P1-ART-21</t>
        </is>
      </c>
      <c r="C298" s="81" t="n">
        <v>1</v>
      </c>
      <c r="D298" s="82" t="inlineStr">
        <is>
          <t>UI Scaffold on Fixtures</t>
        </is>
      </c>
      <c r="E298" s="139" t="inlineStr">
        <is>
          <t>ART</t>
        </is>
      </c>
      <c r="F298" s="120" t="inlineStr">
        <is>
          <t>Code</t>
        </is>
      </c>
      <c r="G298" s="80" t="inlineStr">
        <is>
          <t>Admin sidebar — the desks in collapsible groups, sorted</t>
        </is>
      </c>
      <c r="H298" s="107" t="inlineStr">
        <is>
          <t>Raised 2026-10-07 by the programme owner: the admin sidebar's 29 links were too many, in build order, and needed collapsing and sorting. Seven groups in the order BTG works (Intake, Campaigns, Marketplace, Money, Accounts, NEXT, System), Dashboard on top, each group's desks A → Z; the per-role filter unchanged. A group header (caret, name, count) opens and closes its desks; the group holding the open page is open on arrival; the viewer's other choices are remembered per browser (useSyncExternalStore, no hydration mismatch). The phone drawer lists the groups with their desks two to a row. Mechanics in lib/nav-groups.ts (pure, unit-tested; NavItem.group); a nav with no groups renders flat, so the other portals are untouched.</t>
        </is>
      </c>
      <c r="I298" s="108" t="inlineStr">
        <is>
          <t>Done</t>
        </is>
      </c>
      <c r="J298" s="108" t="n">
        <v>0.5</v>
      </c>
      <c r="K298" s="109" t="n">
        <v>46302</v>
      </c>
      <c r="L298" s="109" t="n">
        <v>46303</v>
      </c>
      <c r="M298" s="110" t="inlineStr">
        <is>
          <t>HeckerCreatives</t>
        </is>
      </c>
      <c r="N298" s="81" t="n">
        <v>0</v>
      </c>
      <c r="O298" s="80" t="inlineStr">
        <is>
          <t>P1-ART-18</t>
        </is>
      </c>
      <c r="P298" s="80" t="inlineStr">
        <is>
          <t>The dashboard shows Dashboard and seven closed groups; a desk opens only its own group; a header toggles and the choice survives a reload; every desk still reachable by every role it's for; tests, lint, tsc and build green</t>
        </is>
      </c>
      <c r="Q298" s="82" t="inlineStr">
        <is>
          <t>docs/superpowers/specs/2026-10-07-admin-sidebar-groups-design.md</t>
        </is>
      </c>
      <c r="R298" s="111" t="inlineStr">
        <is>
          <t>Raised 2026-10-07 on the owner's request (HeckerCreatives, via Claude). frontend/src/lib/nav-groups.ts, components/portal-nav.tsx, components/mobile-nav.tsx, app/(app)/admin/layout.tsx, tests/nav-groups.test.ts, e2e/admin-sidebar-groups.spec.ts. Branch feature/P1-ART-21-admin-sidebar-groups (stacked on P1-ART-20). Moved to Done by the owner 2026-10-08.</t>
        </is>
      </c>
    </row>
    <row r="299">
      <c r="A299" s="104" t="n">
        <v>32.99975</v>
      </c>
      <c r="B299" s="105" t="inlineStr">
        <is>
          <t>P1-ART-22</t>
        </is>
      </c>
      <c r="C299" s="81" t="n">
        <v>1</v>
      </c>
      <c r="D299" s="82" t="inlineStr">
        <is>
          <t>UI Scaffold on Fixtures</t>
        </is>
      </c>
      <c r="E299" s="139" t="inlineStr">
        <is>
          <t>ART</t>
        </is>
      </c>
      <c r="F299" s="120" t="inlineStr">
        <is>
          <t>Code</t>
        </is>
      </c>
      <c r="G299" s="80" t="inlineStr">
        <is>
          <t>Athlete portal — the Arena: every page a dashboard, every list server-paged</t>
        </is>
      </c>
      <c r="H299" s="107" t="inlineStr">
        <is>
          <t>Raised 2026-10-11 by the programme owner: redo the whole athlete portal the way the admin portal was redone (P1-ART-14…21, P1-FE-31) — dashboard structure, every table server-paged by the house rules — but with its own identity, clearly not the admin's. The Arena: a theme-aware stage (Frost stays light), rounded plates with a slanted speed bar, italic jersey numerals, floodlights and track lanes on the ground, entrances that slide in from the left (components/arena-stage.tsx, arena-fx.tsx, the .sx-arena block in globals.css; PortalShell stage="arena"). Every athlete page: a small title with a provenance pill, KPI plates from the API's own counts, then the work — dashboard, offers, invitations, deliverables, earnings, inventory, listings, orders, payouts, team, guardian requests, profile, settings and the detail pages. Sidebar folded into Campaigns / Money / Shop / Account. API: ?page= on GET /inventory, /listings, /sales, /seller-approvals and the athlete's /offers tabs (open | closed), guardian/athlete counts on /guardian-handoffs, and two new reads GET /payouts/me/orders and /payouts/me/history; the unpaged answers are unchanged.</t>
        </is>
      </c>
      <c r="I299" s="108" t="inlineStr">
        <is>
          <t>Done</t>
        </is>
      </c>
      <c r="J299" s="108" t="n">
        <v>2</v>
      </c>
      <c r="K299" s="109" t="n">
        <v>46306</v>
      </c>
      <c r="L299" s="109" t="n">
        <v>46310</v>
      </c>
      <c r="M299" s="110" t="inlineStr">
        <is>
          <t>HeckerCreatives</t>
        </is>
      </c>
      <c r="N299" s="81" t="n"/>
      <c r="O299" s="80" t="inlineStr">
        <is>
          <t>P1-ART-21, P1-FE-31</t>
        </is>
      </c>
      <c r="P299" s="80" t="inlineStr">
        <is>
          <t>Every athlete list is server-paged (12/24/60, pager above and below, counts from the API, never the rows in view); each page has the dashboard anatomy (title + pill + KPI plates, no hero); the athlete portal reads as its own identity in dark and Frost; no horizontal overflow at 390px; tsc, eslint, frontend and backend suites green.</t>
        </is>
      </c>
      <c r="Q299" s="82" t="inlineStr">
        <is>
          <t>docs/superpowers/specs/2026-10-11-athlete-arena-design.md</t>
        </is>
      </c>
      <c r="R299" s="111" t="inlineStr">
        <is>
          <t>Team log Memory/2026-10-11/tasks-completed.md. Done 2026-10-15 (owner's call); P1-ART-22's QA fixes of 10-11 committed and pushed 2026-10-15.</t>
        </is>
      </c>
    </row>
    <row r="300">
      <c r="A300" s="104" t="n">
        <v>32.9999375</v>
      </c>
      <c r="B300" s="105" t="inlineStr">
        <is>
          <t>P1-ART-23</t>
        </is>
      </c>
      <c r="C300" s="81" t="n">
        <v>1</v>
      </c>
      <c r="D300" s="82" t="inlineStr">
        <is>
          <t>UI Scaffold on Fixtures</t>
        </is>
      </c>
      <c r="E300" s="139" t="inlineStr">
        <is>
          <t>ART</t>
        </is>
      </c>
      <c r="F300" s="120" t="inlineStr">
        <is>
          <t>Code</t>
        </is>
      </c>
      <c r="G300" s="80" t="inlineStr">
        <is>
          <t>Sponsor portal — the Stadium Board: every page a dashboard, every list server-paged</t>
        </is>
      </c>
      <c r="H300" s="107" t="inlineStr">
        <is>
          <t>Raised 2026-10-11 by the programme owner: redesign every sponsor page the way the admin (Mission Control) and athlete (the Arena) portals were redone — dashboard structure, statistics first, every list server-paged with the house pager — with its own look and in plain words a non-technical sponsor reads. The Stadium Board: fixed-dark LED-board stage in sponsor orange (panels with scan-lines, glowing numerals, a live ticker, power-on entrance), grouped sidebar (Campaigns, Marketplace, Account), a plain-words map for every status, '?' explainers. Dashboard: ticker, five stats with change vs the previous period, a trend chart (7/30/90 days/all), what waits on the sponsor, fan journey, cost per 1,000 checked views, top athletes and cities, paged campaigns. Every other page rebuilt on the same kit; new /sponsor/requests. Backend: GET /sponsor/overview (one scoped read, verified and unverified never blended), /marketplace-orders paged + summary, /marketplace/search paged after restrictions, /campaigns?review=true.</t>
        </is>
      </c>
      <c r="I300" s="108" t="inlineStr">
        <is>
          <t>Done</t>
        </is>
      </c>
      <c r="J300" s="108" t="n">
        <v>3</v>
      </c>
      <c r="K300" s="109" t="n">
        <v>46306</v>
      </c>
      <c r="L300" s="109" t="n">
        <v>46310</v>
      </c>
      <c r="M300" s="110" t="inlineStr">
        <is>
          <t>HeckerCreatives</t>
        </is>
      </c>
      <c r="N300" s="81" t="n"/>
      <c r="O300" s="80" t="inlineStr">
        <is>
          <t>P1-ART-22, P1-FE-31</t>
        </is>
      </c>
      <c r="P300" s="80" t="inlineStr">
        <is>
          <t>Every sponsor page has a small title, an Updated pill, tiles from summary/overview reads and then the work; every growing list is server-paged (12/24/60, pager above and below); no raw enum or jargon on screen; verified and self-reported reach never summed; sponsors and BTG only on the overview, money gated as /campaigns/summary; no horizontal overflow at 390; reduced motion respected; unit tests, lint, tsc and build green</t>
        </is>
      </c>
      <c r="Q300" s="82" t="inlineStr">
        <is>
          <t>docs/superpowers/specs/2026-10-11-sponsor-stadium-design.md</t>
        </is>
      </c>
      <c r="R300" s="111" t="inlineStr">
        <is>
          <t>Raised 2026-10-11 on the owner's request (HeckerCreatives, via Claude). Plan docs/superpowers/plans/2026-10-11-sponsor-stadium.md. Kit: components/stadium-*.tsx, date-range-picker.tsx, app/(app)/sponsor/stadium.css, lib/sponsor-words.ts. Branch feature/P1-ART-23-sponsor-stadium (stacked on P1-ART-22). Team log Memory/2026-10-12/sponsor-stadium.md. Done 2026-10-15 (owner's call); P1-ART-22's QA fixes of 10-11 committed and pushed 2026-10-15.</t>
        </is>
      </c>
    </row>
    <row r="301">
      <c r="A301" s="104" t="n">
        <v>32.99996875</v>
      </c>
      <c r="B301" s="105" t="inlineStr">
        <is>
          <t>P1-ART-24</t>
        </is>
      </c>
      <c r="C301" s="81" t="n">
        <v>1</v>
      </c>
      <c r="D301" s="82" t="inlineStr">
        <is>
          <t>UI Scaffold on Fixtures</t>
        </is>
      </c>
      <c r="E301" s="139" t="inlineStr">
        <is>
          <t>ART</t>
        </is>
      </c>
      <c r="F301" s="120" t="inlineStr">
        <is>
          <t>Code</t>
        </is>
      </c>
      <c r="G301" s="80" t="inlineStr">
        <is>
          <t>Mobile navigation — a floating dock and the LED menu, in each portal's own look</t>
        </is>
      </c>
      <c r="H301" s="107" t="inlineStr">
        <is>
          <t>Raised 2026-10-12 by the programme owner: 'add a wow factor + awwwaaard on mobile view navigation', for all three staged portals, choosing the dock + LED menu pattern. Below md, admin, athlete and sponsor get a floating one-thumb dock (four destinations + Menu, a lit puck on the current section, hides on scroll down, safe-area aware) in place of the top-bar hamburger, and a rebuilt full-screen menu: a Dashboard hero tile, each group's desks as icon tiles with the current one lit, 'soon' desks dimmed, the account card at the bottom. One structure, three looks: Mission Control (chamfers, brackets, rise, one scan sweep), the Arena (rounded plates, speed bar, slide-in), the Stadium Board (LED panels, scan-lines, power-on). Property, NEXT and advisor keep the old menu.</t>
        </is>
      </c>
      <c r="I301" s="108" t="inlineStr">
        <is>
          <t>Done</t>
        </is>
      </c>
      <c r="J301" s="108" t="n">
        <v>1</v>
      </c>
      <c r="K301" s="109" t="n">
        <v>46307</v>
      </c>
      <c r="L301" s="109" t="n">
        <v>46310</v>
      </c>
      <c r="M301" s="110" t="inlineStr">
        <is>
          <t>HeckerCreatives</t>
        </is>
      </c>
      <c r="N301" s="81" t="n"/>
      <c r="O301" s="80" t="inlineStr">
        <is>
          <t>P1-ART-22, P1-ART-23</t>
        </is>
      </c>
      <c r="P301" s="80" t="inlineStr">
        <is>
          <t>At 390 on each staged portal the dock is visible and nothing hides under it; menu opens and closes with focus trapped and returned; the current page is lit in dock and menu; reduced motion honoured; no horizontal overflow; other portals unchanged; unit tests, lint and tsc green</t>
        </is>
      </c>
      <c r="Q301" s="82" t="inlineStr">
        <is>
          <t>docs/superpowers/specs/2026-10-12-mobile-dock-design.md</t>
        </is>
      </c>
      <c r="R301" s="111" t="inlineStr">
        <is>
          <t>Raised 2026-10-12 on the owner's request (HeckerCreatives, via Claude). components/mobile-dock.tsx, lib/mobile-dock.ts, app/mobile-nav.css, components/mobile-nav.tsx. Branch feature/P1-ART-24-mobile-dock. Team log Memory/2026-10-12/mobile-dock.md. Done 2026-10-15 (owner's call); P1-ART-22's QA fixes of 10-11 committed and pushed 2026-10-15.</t>
        </is>
      </c>
    </row>
    <row r="302" s="75">
      <c r="A302" s="104" t="n">
        <v>33.49996875</v>
      </c>
      <c r="B302" s="105" t="inlineStr">
        <is>
          <t>P1-ART-25</t>
        </is>
      </c>
      <c r="C302" s="81" t="n">
        <v>1</v>
      </c>
      <c r="D302" s="82" t="inlineStr">
        <is>
          <t>UI Scaffold on Fixtures</t>
        </is>
      </c>
      <c r="E302" s="139" t="inlineStr">
        <is>
          <t>ART</t>
        </is>
      </c>
      <c r="F302" s="120" t="inlineStr">
        <is>
          <t>Code</t>
        </is>
      </c>
      <c r="G302" s="80" t="inlineStr">
        <is>
          <t>Finance: the Vault — Treasury home + money desks on their own look</t>
        </is>
      </c>
      <c r="H302" s="107" t="inlineStr">
        <is>
          <t>Finance's own home (Treasury, /admin/finance) and look (the Vault: bank green, brushed gold, guilloché, double-rule frames, serif numerals, dial) inside the admin portal; Finance-only users land on it; Payouts, Refunds, Payment events, Disputes, Commission restyled and server-paged; new GET /finance/overview (money in/out, owed, BTG kept, split, needs-you).</t>
        </is>
      </c>
      <c r="I302" s="108" t="inlineStr">
        <is>
          <t>Done</t>
        </is>
      </c>
      <c r="J302" s="108" t="n">
        <v>1</v>
      </c>
      <c r="K302" s="109" t="n">
        <v>46307</v>
      </c>
      <c r="L302" s="109" t="n">
        <v>46307</v>
      </c>
      <c r="M302" s="110" t="inlineStr">
        <is>
          <t>HeckerCreatives</t>
        </is>
      </c>
      <c r="N302" s="81" t="n">
        <v>0</v>
      </c>
      <c r="O302" s="80" t="inlineStr">
        <is>
          <t>P1-ART-21, P1-ART-24</t>
        </is>
      </c>
      <c r="P302" s="80" t="inlineStr">
        <is>
          <t>Finance-only users land on the Vault at /admin/finance; Payouts, Refunds, Payment events, Disputes and Commission render in Vault styling (bank green, brushed gold, guilloché, double-rule frames, engraved serif numerals, the dial) and are server-paged; GET /finance/overview answers money in/out, owed, BTG kept, split and needs-you from one scoped read; no admin chamfers/brackets or another portal's motifs appear on a Vault screen; reduced motion honoured; no horizontal overflow at 390; unit tests, lint, tsc and build green.</t>
        </is>
      </c>
      <c r="Q302" s="82" t="inlineStr">
        <is>
          <t>docs/superpowers/specs/2026-10-12-finance-vault-design.md</t>
        </is>
      </c>
      <c r="R302" s="111" t="inlineStr">
        <is>
          <t>Raised 2026-10-12 on the owner's request (HeckerCreatives, via Claude). Branch feature/P1-ART-25-finance-vault (stacked on feature/P1-ART-24-mobile-dock). New GET /finance/overview; Vault components under the .sx-vault look restyle Payouts, Refunds, Payment events, Disputes and Commission. Done 2026-10-15 (owner's call); P1-ART-22's QA fixes of 10-11 committed and pushed 2026-10-15.</t>
        </is>
      </c>
    </row>
    <row r="303" s="75">
      <c r="A303" s="104" t="n">
        <v>33.59996875</v>
      </c>
      <c r="B303" s="105" t="inlineStr">
        <is>
          <t>P1-ART-26</t>
        </is>
      </c>
      <c r="C303" s="81" t="n">
        <v>1</v>
      </c>
      <c r="D303" s="82" t="inlineStr">
        <is>
          <t>UI Scaffold on Fixtures</t>
        </is>
      </c>
      <c r="E303" s="139" t="inlineStr">
        <is>
          <t>ART</t>
        </is>
      </c>
      <c r="F303" s="120" t="inlineStr">
        <is>
          <t>Code</t>
        </is>
      </c>
      <c r="G303" s="80" t="inlineStr">
        <is>
          <t>One theme — remove the day/night toggle</t>
        </is>
      </c>
      <c r="H303" s="107" t="inlineStr">
        <is>
          <t>Raised 2026-10-14 by the programme owner: remove day/night mode from the whole web app; the default (dark) is the only theme. The sun/moon button leaves every portal header, a stored localStorage sx-theme=light is no longer applied, and the Arena's light-only styling goes. The Frost light tokens stay for paper only — the schools proposal prints on them (lib/print-light.ts, P1-FE-26).</t>
        </is>
      </c>
      <c r="I303" s="108" t="inlineStr">
        <is>
          <t>Done</t>
        </is>
      </c>
      <c r="J303" s="108" t="n">
        <v>0.5</v>
      </c>
      <c r="K303" s="109" t="n">
        <v>46309</v>
      </c>
      <c r="L303" s="109" t="n">
        <v>46309</v>
      </c>
      <c r="M303" s="110" t="inlineStr">
        <is>
          <t>HeckerCreatives</t>
        </is>
      </c>
      <c r="N303" s="81" t="n">
        <v>0</v>
      </c>
      <c r="O303" s="80" t="n"/>
      <c r="P303" s="80" t="inlineStr">
        <is>
          <t>No screen offers a theme switch; every screen renders dark even with an old stored 'light'; the schools proposal still prints light; tests, lint, tsc and build green</t>
        </is>
      </c>
      <c r="Q303" s="82" t="inlineStr">
        <is>
          <t>A2 (reverses P1-FE-02's on-screen light theme)</t>
        </is>
      </c>
      <c r="R303" s="111" t="inlineStr">
        <is>
          <t>Built 2026-10-14: theme-toggle.tsx deleted, portal-shell no longer renders it, root layout's pre-paint sx-theme script removed, [data-theme=light] Arena/dock/sheet rules removed from globals.css and mobile-nav.css; light tokens kept for print. QA 2026-10-14 on the production build with an old sx-theme=light pre-set in every browser: 232 page visits (8 roles — public, BTG admin, athlete, sponsor, Finance, property manager, advisor, student — desktop + mobile; 116 screens incl. detail pages): 0 theme buttons, 0 data-theme on &lt;html&gt;, --sx-bg dark on every page, 0 page errors, 0 5xx, 0 horizontal overflow. Schools proposal print still switches to light and back. Frontend 139 files / 1,528 tests, lint, tsc, next build green. Guardian shell not walked (no QA guardian login).</t>
        </is>
      </c>
    </row>
    <row r="304" s="75">
      <c r="A304" s="104" t="n">
        <v>33.69996875</v>
      </c>
      <c r="B304" s="105" t="inlineStr">
        <is>
          <t>P1-ART-27</t>
        </is>
      </c>
      <c r="C304" s="81" t="n">
        <v>1</v>
      </c>
      <c r="D304" s="82" t="inlineStr">
        <is>
          <t>UI Scaffold on Fixtures</t>
        </is>
      </c>
      <c r="E304" s="139" t="inlineStr">
        <is>
          <t>ART</t>
        </is>
      </c>
      <c r="F304" s="120" t="inlineStr">
        <is>
          <t>Code</t>
        </is>
      </c>
      <c r="G304" s="80" t="inlineStr">
        <is>
          <t>Public site — signed-in visitors get "&lt;Role&gt; Dashboard" instead of Login / Get Started</t>
        </is>
      </c>
      <c r="H304" s="107" t="inlineStr">
        <is>
          <t>Raised 2026-10-14 by the programme owner: on the landing page, someone already signed in (session not expired) sees their own dashboard button instead of Login and Get Started. Header, phone menu, hero and closing CTA; every public page shares the header. Portal from the Postgres roles (portalFor), named by lib/dashboard-link.ts; asked only when Clerk says the session is live, so the landing stays static.</t>
        </is>
      </c>
      <c r="I304" s="108" t="inlineStr">
        <is>
          <t>Done</t>
        </is>
      </c>
      <c r="J304" s="108" t="n">
        <v>0.5</v>
      </c>
      <c r="K304" s="109" t="n">
        <v>46309</v>
      </c>
      <c r="L304" s="109" t="n">
        <v>46309</v>
      </c>
      <c r="M304" s="110" t="inlineStr">
        <is>
          <t>HeckerCreatives</t>
        </is>
      </c>
      <c r="N304" s="81" t="n">
        <v>0</v>
      </c>
      <c r="O304" s="80" t="n"/>
      <c r="P304" s="80" t="inlineStr">
        <is>
          <t>Signed in with a live session: Login gone, Get Started reads '&lt;Role&gt; Dashboard' and opens that portal, in the header, phone menu, hero and closing CTA; signed out or session ended: unchanged; landing stays static; tests, lint, tsc and build green</t>
        </is>
      </c>
      <c r="Q304" s="82" t="inlineStr">
        <is>
          <t>§9.2 (post-sign-in routing)</t>
        </is>
      </c>
      <c r="R304" s="111" t="inlineStr">
        <is>
          <t>Built 2026-10-14: lib/dashboard-link.ts (portal -&gt; label, Guardian named for a guardian; tests/dashboard-link.test.ts, 3), server/my-dashboard.ts (server action: fetchActor + portalFor; anything short of a linked account -&gt; null), components/my-dashboard.tsx (useMyDashboard: Clerk useAuth decides live session, one call per page shared by all buttons; DashboardCta), HeaderActions + menu in site-nav.tsx, hero and closing CTAs. '/' still prerendered static. QA 2026-10-14 on the production build: 18/18 walks (desktop + mobile) — signed out unchanged; each of admin, athlete, sponsor, Finance, property, advisor, student sees '&lt;Role&gt; Dashboard' on header + hero + closing (3 links, all to their portal), Login gone, phone menu one full-width button, header click lands in the portal, /packages header too; a revoked Clerk session reverts to Login / Get Started. Screens after the loader at 1366/412/360 px reviewed by eye (no overflow, button clear of the logo). Frontend 140 files / 1,531 tests, eslint, tsc, next build green. Footer 'Sign In' link left as is.</t>
        </is>
      </c>
    </row>
    <row r="305" s="75">
      <c r="A305" s="104" t="n">
        <v>157.5</v>
      </c>
      <c r="B305" s="105" t="inlineStr">
        <is>
          <t>P8-BE-01</t>
        </is>
      </c>
      <c r="C305" s="81" t="n">
        <v>8</v>
      </c>
      <c r="D305" s="82" t="inlineStr">
        <is>
          <t>Integration, Hardening &amp; Launch</t>
        </is>
      </c>
      <c r="E305" s="139" t="inlineStr">
        <is>
          <t>BE</t>
        </is>
      </c>
      <c r="F305" s="120" t="inlineStr">
        <is>
          <t>Code</t>
        </is>
      </c>
      <c r="G305" s="80" t="inlineStr">
        <is>
          <t>A NIL job catalogue per tenant</t>
        </is>
      </c>
      <c r="H305" s="107" t="inlineStr">
        <is>
          <t>Raised by P8-QA-01's finding: a job's ID (SX-02) was unique across the whole database, so only one tenant could hold the SX catalogue.</t>
        </is>
      </c>
      <c r="I305" s="108" t="inlineStr">
        <is>
          <t>Done</t>
        </is>
      </c>
      <c r="J305" s="108" t="n">
        <v>1</v>
      </c>
      <c r="K305" s="163" t="n">
        <v>46314</v>
      </c>
      <c r="L305" s="163" t="n">
        <v>46314</v>
      </c>
      <c r="M305" s="110" t="inlineStr">
        <is>
          <t>rcfworks</t>
        </is>
      </c>
      <c r="N305" s="81" t="n">
        <v>0</v>
      </c>
      <c r="O305" s="80" t="inlineStr">
        <is>
          <t>P8-QA-01</t>
        </is>
      </c>
      <c r="P305" s="80" t="inlineStr">
        <is>
          <t>A second tenant can hold and price its own SX jobs, and no record can point at another tenant's job</t>
        </is>
      </c>
      <c r="Q305" s="82" t="inlineStr">
        <is>
          <t>§30</t>
        </is>
      </c>
      <c r="R305" s="111" t="inlineStr">
        <is>
          <t>2026-10-19 DONE (rcfworks): merged in #255, acceptance met (tests green on CI). | 2026-10-19 (rcfworks): NilJob keyed by (tenantId, id); AthleteRate/CampaignInvite/CampaignOrder/Offer reference it by (tenantId, jobId), so the database refuses a link to another tenant's job. Migration 20261019100000_nil_job_per_tenant pre-checks for cross-tenant links and stops with the list. Catalogue loader, campaign desk and invitation email read the record's own tenant's job; the pricing engine prefers it. tests/nil-job-per-tenant.test.ts; phase1-acceptance.test.ts now holds its own catalogue (ends its race over SX-04/SX-05).</t>
        </is>
      </c>
    </row>
    <row r="306" s="75">
      <c r="A306" s="104" t="n">
        <v>157.6</v>
      </c>
      <c r="B306" s="105" t="inlineStr">
        <is>
          <t>P8-BE-02</t>
        </is>
      </c>
      <c r="C306" s="81" t="n">
        <v>8</v>
      </c>
      <c r="D306" s="82" t="inlineStr">
        <is>
          <t>Integration, Hardening &amp; Launch</t>
        </is>
      </c>
      <c r="E306" s="139" t="inlineStr">
        <is>
          <t>BE</t>
        </is>
      </c>
      <c r="F306" s="120" t="inlineStr">
        <is>
          <t>Code</t>
        </is>
      </c>
      <c r="G306" s="80" t="inlineStr">
        <is>
          <t>The athlete's own rules are their responsibility</t>
        </is>
      </c>
      <c r="H306" s="107" t="inlineStr">
        <is>
          <t>Raised by P0-LEG-06's redefinition (2026-10-20). SponsorX does not research every school's, league's or country's rules: the athlete confirms they follow their own (for a minor, the guardian). Built-in limits stay for everyone.</t>
        </is>
      </c>
      <c r="I306" s="108" t="inlineStr">
        <is>
          <t>Done</t>
        </is>
      </c>
      <c r="J306" s="108" t="n">
        <v>1</v>
      </c>
      <c r="K306" s="163" t="n">
        <v>46315</v>
      </c>
      <c r="L306" s="163" t="n">
        <v>46315</v>
      </c>
      <c r="M306" s="110" t="inlineStr">
        <is>
          <t>rcfworks</t>
        </is>
      </c>
      <c r="N306" s="81" t="n">
        <v>3</v>
      </c>
      <c r="O306" s="80" t="n"/>
      <c r="P306" s="80" t="inlineStr">
        <is>
          <t>The wording is served with its version; an adult confirms on the application or from their login, a minor's guardian on their page or acting for them (a minor's own tick doesn't count, their own login is refused); a stale wording is refused; with BTG's per-tenant switch on, accepting a deal or listing an item waits on a confirmation that counts, and with it off nothing changes</t>
        </is>
      </c>
      <c r="Q306" s="82" t="inlineStr">
        <is>
          <t>§4, §26</t>
        </is>
      </c>
      <c r="R306" s="111" t="inlineStr">
        <is>
          <t>2026-10-20 DONE (rcfworks): merged in #273, acceptance met (CI green). | 2026-10-20 (rcfworks): rules-attestation.ts (wording v2026-10-20, GET /public/rules-attestation); recorded on the application, the guardian's agreement step and GET/POST /me/rules-attestation; Tenant.requireRulesAttestation in /signup-rules/settings, enforced in assertMayCommit. tests/deal-disputes.test.ts. Frontend: the tick on /join and the guardian page, the portal prompt — the switch stays off until they ship.</t>
        </is>
      </c>
    </row>
    <row r="307" s="75">
      <c r="A307" s="104" t="n">
        <v>157.7</v>
      </c>
      <c r="B307" s="105" t="inlineStr">
        <is>
          <t>P8-BE-03</t>
        </is>
      </c>
      <c r="C307" s="81" t="n">
        <v>8</v>
      </c>
      <c r="D307" s="82" t="inlineStr">
        <is>
          <t>Integration, Hardening &amp; Launch</t>
        </is>
      </c>
      <c r="E307" s="139" t="inlineStr">
        <is>
          <t>BE</t>
        </is>
      </c>
      <c r="F307" s="120" t="inlineStr">
        <is>
          <t>Code</t>
        </is>
      </c>
      <c r="G307" s="80" t="inlineStr">
        <is>
          <t>A concern raised about a deal pauses it</t>
        </is>
      </c>
      <c r="H307" s="107" t="inlineStr">
        <is>
          <t>Raised by P0-LEG-06's redefinition (2026-10-20): "if there are disputes, that's the time we should be strict with forms". BTG pauses the deal and asks the athlete for documents; then resumes or cancels it.</t>
        </is>
      </c>
      <c r="I307" s="108" t="inlineStr">
        <is>
          <t>Done</t>
        </is>
      </c>
      <c r="J307" s="108" t="n">
        <v>2</v>
      </c>
      <c r="K307" s="163" t="n">
        <v>46315</v>
      </c>
      <c r="L307" s="163" t="n">
        <v>46315</v>
      </c>
      <c r="M307" s="110" t="inlineStr">
        <is>
          <t>rcfworks</t>
        </is>
      </c>
      <c r="N307" s="81" t="n">
        <v>2</v>
      </c>
      <c r="O307" s="80" t="inlineStr">
        <is>
          <t>P8-BE-02</t>
        </is>
      </c>
      <c r="P307" s="80" t="inlineStr">
        <is>
          <t>BTG opens a dispute on a sent, accepted or active order; while open no deliverable moves, the order can only be cancelled and the earning is held; the athlete (the guardian, for a minor) is emailed what was raised and what to send, sends documents through the private upload, and BTG's admins are emailed; BTG opens them through audited links and resumes (earning back) or cancels (order cancelled, earning left held); sponsors see none of it</t>
        </is>
      </c>
      <c r="Q307" s="82" t="inlineStr">
        <is>
          <t>§4, §21, §26</t>
        </is>
      </c>
      <c r="R307" s="111" t="inlineStr">
        <is>
          <t>2026-10-23 QA (HeckerCreatives): the ten-document cap counted abandoned starts; now counts documents that arrived (tests/qa-p8-disputes-collab.test.ts). | 2026-10-20 DONE (rcfworks): merged in #273, acceptance met (CI green). | 2026-10-20 (rcfworks): DealDispute + DealDisputeDocument (migration 20261020120000), deal-disputes.ts, deal-pause.ts called from order, deliverable and earning moves; /orders/{id}/disputes and /deal-disputes…; RBAC §39 (resource dealDispute). tests/deal-disputes.test.ts + tenant-isolation sweep. Frontend: BTG's dispute desk, the athlete's order banner and upload.</t>
        </is>
      </c>
    </row>
    <row r="308" s="75">
      <c r="A308" s="104" t="n">
        <v>157.8</v>
      </c>
      <c r="B308" s="105" t="inlineStr">
        <is>
          <t>P8-FE-03</t>
        </is>
      </c>
      <c r="C308" s="81" t="n">
        <v>8</v>
      </c>
      <c r="D308" s="82" t="inlineStr">
        <is>
          <t>Integration, Hardening &amp; Launch</t>
        </is>
      </c>
      <c r="E308" s="139" t="inlineStr">
        <is>
          <t>FE</t>
        </is>
      </c>
      <c r="F308" s="120" t="inlineStr">
        <is>
          <t>Code</t>
        </is>
      </c>
      <c r="G308" s="80" t="inlineStr">
        <is>
          <t>The rules tick on the sign-up page and the guardian's page</t>
        </is>
      </c>
      <c r="H308" s="107" t="inlineStr">
        <is>
          <t>Raised with P8-BE-02 (2026-10-20). Show the rules wording from GET /public/rules-attestation as a tick box on /join and on the guardian's set-up page, and send its version with the application (rulesAttestationVersion) and with the guardian agreement acceptance. Once this ships, BTG can switch on 'athletes confirm their own rules' in sign-up settings.</t>
        </is>
      </c>
      <c r="I308" s="108" t="inlineStr">
        <is>
          <t>Done</t>
        </is>
      </c>
      <c r="J308" s="108" t="n">
        <v>1</v>
      </c>
      <c r="K308" s="163" t="n">
        <v>46318</v>
      </c>
      <c r="L308" s="163" t="n">
        <v>46318</v>
      </c>
      <c r="M308" s="110" t="inlineStr">
        <is>
          <t>HeckerCreatives</t>
        </is>
      </c>
      <c r="N308" s="81" t="n">
        <v>0</v>
      </c>
      <c r="O308" s="80" t="inlineStr">
        <is>
          <t>P8-BE-02</t>
        </is>
      </c>
      <c r="P308" s="80" t="inlineStr">
        <is>
          <t>/join and /guardian/setup show the wording and send its version when ticked; a 422 rules_attestation_stale reloads the wording and asks again; for a minor, the guardian's page asks, not the minor's application</t>
        </is>
      </c>
      <c r="Q308" s="82" t="inlineStr">
        <is>
          <t>§4, §26</t>
        </is>
      </c>
      <c r="R308" s="111" t="inlineStr">
        <is>
          <t>2026-10-23 QA (HeckerCreatives): browser probe — join/guardian ticks hold; nothing found. | 2026-10-23 DONE (HeckerCreatives): /join shows the rules wording as a second tick for an adult and sends rulesAttestationVersion; a minor sees that the guardian confirms; the guardian set-up page asks for the ward and sends the version; 422 rules_attestation_stale refreshes and asks again. Walked on the local stack. | 2026-10-20 (rcfworks): raised with P8-BE-02/03 (PR #273) — frontend, for HeckerCreatives.</t>
        </is>
      </c>
    </row>
    <row r="309" s="75">
      <c r="A309" s="104" t="n">
        <v>157.9</v>
      </c>
      <c r="B309" s="105" t="inlineStr">
        <is>
          <t>P8-FE-04</t>
        </is>
      </c>
      <c r="C309" s="81" t="n">
        <v>8</v>
      </c>
      <c r="D309" s="82" t="inlineStr">
        <is>
          <t>Integration, Hardening &amp; Launch</t>
        </is>
      </c>
      <c r="E309" s="139" t="inlineStr">
        <is>
          <t>FE</t>
        </is>
      </c>
      <c r="F309" s="120" t="inlineStr">
        <is>
          <t>Code</t>
        </is>
      </c>
      <c r="G309" s="80" t="inlineStr">
        <is>
          <t>The rules prompt in the athlete portal</t>
        </is>
      </c>
      <c r="H309" s="107" t="inlineStr">
        <is>
          <t>Raised with P8-BE-02. Existing athletes (and guardians acting for a minor) confirm from their login: GET/POST /me/rules-attestation. Show a prompt when it isn't current, and turn a 409 rules_attestation_required on accepting a deal into that prompt. Add the switch to BTG's sign-up settings screen (requireRulesAttestation).</t>
        </is>
      </c>
      <c r="I309" s="108" t="inlineStr">
        <is>
          <t>Done</t>
        </is>
      </c>
      <c r="J309" s="108" t="n">
        <v>1</v>
      </c>
      <c r="K309" s="163" t="n">
        <v>46318</v>
      </c>
      <c r="L309" s="163" t="n">
        <v>46318</v>
      </c>
      <c r="M309" s="110" t="inlineStr">
        <is>
          <t>HeckerCreatives</t>
        </is>
      </c>
      <c r="N309" s="81" t="n">
        <v>0</v>
      </c>
      <c r="O309" s="80" t="inlineStr">
        <is>
          <t>P8-BE-02</t>
        </is>
      </c>
      <c r="P309" s="80" t="inlineStr">
        <is>
          <t>The portal shows the prompt when current is false, confirms with the version, and a refused accept leads to it; a minor's own login sees that the guardian confirms; BTG's sign-up settings show both switches</t>
        </is>
      </c>
      <c r="Q309" s="82" t="inlineStr">
        <is>
          <t>§4, §26</t>
        </is>
      </c>
      <c r="R309" s="111" t="inlineStr">
        <is>
          <t>2026-10-23 QA (HeckerCreatives): open redirect via /\host on ?return fixed; back-nav tick, double-click guard, minor's contradictory 'waits' line fixed. | 2026-10-23 DONE (HeckerCreatives): /athlete/confirmations (GET/POST /me/rules-attestation), the home banner, a minor's own login reads that the guardian confirms; requireRulesAttestation switch on /admin/new-signups/rules. A 409 rules_attestation_required on accept links to the page. Walked: confirm + switch on/off. | 2026-10-20 (rcfworks): raised with P8-BE-02/03 (PR #273) — frontend, for HeckerCreatives.</t>
        </is>
      </c>
    </row>
    <row r="310" s="75">
      <c r="A310" s="104" t="n">
        <v>157.91</v>
      </c>
      <c r="B310" s="105" t="inlineStr">
        <is>
          <t>P8-FE-05</t>
        </is>
      </c>
      <c r="C310" s="81" t="n">
        <v>8</v>
      </c>
      <c r="D310" s="82" t="inlineStr">
        <is>
          <t>Integration, Hardening &amp; Launch</t>
        </is>
      </c>
      <c r="E310" s="139" t="inlineStr">
        <is>
          <t>FE</t>
        </is>
      </c>
      <c r="F310" s="120" t="inlineStr">
        <is>
          <t>Code</t>
        </is>
      </c>
      <c r="G310" s="80" t="inlineStr">
        <is>
          <t>BTG's deal dispute desk</t>
        </is>
      </c>
      <c r="H310" s="107" t="inlineStr">
        <is>
          <t>Raised with P8-BE-03. BTG admin opens a dispute from an order (POST /orders/{id}/disputes: who raised it, the concern, what to send), lists and opens disputes (GET /deal-disputes, /deal-disputes/{id}), opens documents through the audited link, and resumes or cancels with a note (POST /deal-disputes/{id}/resolve).</t>
        </is>
      </c>
      <c r="I310" s="108" t="inlineStr">
        <is>
          <t>Done</t>
        </is>
      </c>
      <c r="J310" s="108" t="n">
        <v>2</v>
      </c>
      <c r="K310" s="163" t="n">
        <v>46318</v>
      </c>
      <c r="L310" s="163" t="n">
        <v>46318</v>
      </c>
      <c r="M310" s="110" t="inlineStr">
        <is>
          <t>HeckerCreatives</t>
        </is>
      </c>
      <c r="N310" s="81" t="n">
        <v>0</v>
      </c>
      <c r="O310" s="80" t="inlineStr">
        <is>
          <t>P8-BE-03</t>
        </is>
      </c>
      <c r="P310" s="80" t="inlineStr">
        <is>
          <t>BTG can open, list, read, view documents and resolve a dispute from the admin workspace; campaign managers and Finance see it read-only; paused orders and held earnings show why</t>
        </is>
      </c>
      <c r="Q310" s="82" t="inlineStr">
        <is>
          <t>§4, §26</t>
        </is>
      </c>
      <c r="R310" s="111" t="inlineStr">
        <is>
          <t>2026-10-23 QA (HeckerCreatives): viewer clipped by backdrop-filter, mobile document rows, typo'd order id wording, malformed id role message, double-click guard fixed; pause joins now read OPEN+DOCUMENTS_IN. | 2026-10-23 DONE (HeckerCreatives): /admin/deal-disputes list + detail, open from the campaign roster or by order id, audited document viewer, Resume/Cancel with a note; /finance/deal-disputes read-only; paused roster rows and HELD earnings (admin Finance Workspace, Treasury) show why. Walked end to end. | 2026-10-20 (rcfworks): raised with P8-BE-02/03 (PR #273) — frontend, for HeckerCreatives.</t>
        </is>
      </c>
    </row>
    <row r="311" s="75">
      <c r="A311" s="104" t="n">
        <v>157.92</v>
      </c>
      <c r="B311" s="105" t="inlineStr">
        <is>
          <t>P8-FE-06</t>
        </is>
      </c>
      <c r="C311" s="81" t="n">
        <v>8</v>
      </c>
      <c r="D311" s="82" t="inlineStr">
        <is>
          <t>Integration, Hardening &amp; Launch</t>
        </is>
      </c>
      <c r="E311" s="139" t="inlineStr">
        <is>
          <t>FE</t>
        </is>
      </c>
      <c r="F311" s="120" t="inlineStr">
        <is>
          <t>Code</t>
        </is>
      </c>
      <c r="G311" s="80" t="inlineStr">
        <is>
          <t>The paused-deal banner and upload on the athlete's order</t>
        </is>
      </c>
      <c r="H311" s="107" t="inlineStr">
        <is>
          <t>Raised with P8-BE-03. On the athlete's order page (and the guardian's, acting for a minor), show that the deal is paused, the concern and what BTG asked for, and the documents sent; upload through POST /deal-disputes/{id}/documents then …/confirm. Show the outcome when decided. A 409 deal_paused anywhere on the order explains the pause.</t>
        </is>
      </c>
      <c r="I311" s="108" t="inlineStr">
        <is>
          <t>Done</t>
        </is>
      </c>
      <c r="J311" s="108" t="n">
        <v>1</v>
      </c>
      <c r="K311" s="163" t="n">
        <v>46318</v>
      </c>
      <c r="L311" s="163" t="n">
        <v>46318</v>
      </c>
      <c r="M311" s="110" t="inlineStr">
        <is>
          <t>HeckerCreatives</t>
        </is>
      </c>
      <c r="N311" s="81" t="n">
        <v>0</v>
      </c>
      <c r="O311" s="80" t="inlineStr">
        <is>
          <t>P8-BE-03</t>
        </is>
      </c>
      <c r="P311" s="80" t="inlineStr">
        <is>
          <t>The order page shows the pause, the request and the outcome; the athlete or guardian uploads a document (PDF, JPEG, PNG or WebP, at most 10 MB) and sees it listed; actions refused with deal_paused say why</t>
        </is>
      </c>
      <c r="Q311" s="82" t="inlineStr">
        <is>
          <t>§4, §26</t>
        </is>
      </c>
      <c r="R311" s="111" t="inlineStr">
        <is>
          <t>2026-10-23 QA (HeckerCreatives): 13,000 px overflow on a long concern, Confirm-now overlap, athlete upload 403 wording fixed. | 2026-10-23 DONE (HeckerCreatives): the athlete's order joins GET /deal-disputes: pause banner, the concern, what BTG asked for, documents (presigned upload + confirm, 10 MB, 10 max), the outcome; 409 deal_paused on accept and deliverable moves says why; a guardian acting for a minor can accept. Walked: upload + resume. | 2026-10-20 (rcfworks): raised with P8-BE-02/03 (PR #273) — frontend, for HeckerCreatives.</t>
        </is>
      </c>
    </row>
    <row r="312" s="75">
      <c r="A312" s="104" t="n">
        <v>157.75</v>
      </c>
      <c r="B312" s="105" t="inlineStr">
        <is>
          <t>P8-BE-04</t>
        </is>
      </c>
      <c r="C312" s="81" t="n">
        <v>8</v>
      </c>
      <c r="D312" s="82" t="inlineStr">
        <is>
          <t>Integration, Hardening &amp; Launch</t>
        </is>
      </c>
      <c r="E312" s="139" t="inlineStr">
        <is>
          <t>BE</t>
        </is>
      </c>
      <c r="F312" s="120" t="inlineStr">
        <is>
          <t>Code</t>
        </is>
      </c>
      <c r="G312" s="80" t="inlineStr">
        <is>
          <t>The athlete's Content Collaboration Agreement is recorded</t>
        </is>
      </c>
      <c r="H312" s="107" t="inlineStr">
        <is>
          <t>Raised 2026-10-21: a gap found while drafting P0-LEG-01. /join showed the agreement, but nothing reached the server — no text file, no acceptance — so a counsel-approved agreement would have no proof anyone accepted it.</t>
        </is>
      </c>
      <c r="I312" s="108" t="inlineStr">
        <is>
          <t>Done</t>
        </is>
      </c>
      <c r="J312" s="108" t="n">
        <v>1</v>
      </c>
      <c r="K312" s="163" t="n">
        <v>46316</v>
      </c>
      <c r="L312" s="163" t="n">
        <v>46316</v>
      </c>
      <c r="M312" s="110" t="inlineStr">
        <is>
          <t>rcfworks</t>
        </is>
      </c>
      <c r="N312" s="81" t="n">
        <v>1</v>
      </c>
      <c r="O312" s="80" t="n"/>
      <c r="P312" s="80" t="inlineStr">
        <is>
          <t>The agreement in force is served with its version, text and fingerprint (registered from agreements/COLLAB.v&lt;n&gt;.txt); the application records the acceptance with the fingerprint, time, IP and browser, refusing changed text or a superseded agreement; an existing athlete accepts from their login and the application's acceptance counts once they have one; a minor is covered by their guardian's agreement; with BTG's switch on a new deal waits for it (accepting the agreement itself never does), off nothing changes</t>
        </is>
      </c>
      <c r="Q312" s="82" t="inlineStr">
        <is>
          <t>§12, §4</t>
        </is>
      </c>
      <c r="R312" s="111" t="inlineStr">
        <is>
          <t>2026-10-23 QA (HeckerCreatives): POST /agreements/accept let a sponsor/BTG admin accept COLLAB (201 + audit row); refused now unless the actor is the athlete or the guardian acting. | 2026-10-21 DONE (rcfworks): merged in #276, acceptance met (CI green). | 2026-10-21 (rcfworks): collab-agreement.ts + current-agreement.ts (shared with the guardian agreement); agreements/COLLAB.v1.txt (today's /join wording, draft); GET /public/agreements/collab, the application's `agreement` field, GET /me/collab-agreement; Tenant.requireCollabAcceptance (/signup-rules/settings) in assertMayCommit. tests/collab-agreement.test.ts.</t>
        </is>
      </c>
    </row>
    <row r="313" s="75">
      <c r="A313" s="104" t="n">
        <v>157.93</v>
      </c>
      <c r="B313" s="105" t="inlineStr">
        <is>
          <t>P8-FE-07</t>
        </is>
      </c>
      <c r="C313" s="81" t="n">
        <v>8</v>
      </c>
      <c r="D313" s="82" t="inlineStr">
        <is>
          <t>Integration, Hardening &amp; Launch</t>
        </is>
      </c>
      <c r="E313" s="139" t="inlineStr">
        <is>
          <t>FE</t>
        </is>
      </c>
      <c r="F313" s="120" t="inlineStr">
        <is>
          <t>Code</t>
        </is>
      </c>
      <c r="G313" s="80" t="inlineStr">
        <is>
          <t>Show the real agreement on /join and record it</t>
        </is>
      </c>
      <c r="H313" s="107" t="inlineStr">
        <is>
          <t>Raised with P8-BE-04. /join shows the text from GET /public/agreements/collab (replacing the hard-coded v0.4 clauses) and sends agreement {agreementId, bodyHashShown} when ticked; the portal prompts an athlete whose GET /me/collab-agreement says current false and accepts through POST /agreements/accept; the requireCollabAcceptance switch on BTG's sign-up settings.</t>
        </is>
      </c>
      <c r="I313" s="108" t="inlineStr">
        <is>
          <t>Done</t>
        </is>
      </c>
      <c r="J313" s="108" t="n">
        <v>1</v>
      </c>
      <c r="K313" s="163" t="n">
        <v>46317</v>
      </c>
      <c r="L313" s="163" t="n">
        <v>46318</v>
      </c>
      <c r="M313" s="110" t="inlineStr">
        <is>
          <t>rcfworks, HeckerCreatives</t>
        </is>
      </c>
      <c r="N313" s="81" t="n">
        <v>0</v>
      </c>
      <c r="O313" s="80" t="inlineStr">
        <is>
          <t>P8-BE-04</t>
        </is>
      </c>
      <c r="P313" s="80" t="inlineStr">
        <is>
          <t>/join shows the served text and version and a ticked application records the acceptance; agreement_text_changed or not_collab_agreement reloads the text; the portal prompt appears when needed and accepts; the switch is on the settings screen</t>
        </is>
      </c>
      <c r="Q313" s="82" t="inlineStr">
        <is>
          <t>§12</t>
        </is>
      </c>
      <c r="R313" s="111" t="inlineStr">
        <is>
          <t>2026-10-23 QA (HeckerCreatives): backend — anyone with agreement.write could accept the collab agreement; now the athlete's (or guardian acting) only. | 2026-10-23 DONE (HeckerCreatives): the portal half — /athlete/confirmations accepts the current agreement (GET /me/collab-agreement, POST /agreements/accept); requireCollabAcceptance switch on sign-up settings; /join reloads the text on not_collab_agreement or the uncoded text-changed 409 and sends signer headers. Wording half by rcfworks 2026-10-22. | Wording and recording done 2026-10-22 (rcfworks, at the user's request): /join shows the served v2 agreement and sends its id and hash. Still open: the athlete-portal prompt and the requireCollabAcceptance switch.</t>
        </is>
      </c>
    </row>
    <row r="314" s="75">
      <c r="A314" s="104" t="n">
        <v>157.76</v>
      </c>
      <c r="B314" s="105" t="inlineStr">
        <is>
          <t>P8-BE-05</t>
        </is>
      </c>
      <c r="C314" s="81" t="n">
        <v>8</v>
      </c>
      <c r="D314" s="82" t="inlineStr">
        <is>
          <t>Integration, Hardening &amp; Launch</t>
        </is>
      </c>
      <c r="E314" s="139" t="inlineStr">
        <is>
          <t>BE</t>
        </is>
      </c>
      <c r="F314" s="120" t="inlineStr">
        <is>
          <t>Code</t>
        </is>
      </c>
      <c r="G314" s="80" t="inlineStr">
        <is>
          <t>A fan's email is deleted after 90 days</t>
        </is>
      </c>
      <c r="H314" s="107" t="inlineStr">
        <is>
          <t>Raised 2026-10-21: a gap found while drafting P0-LEG-04 — a fan's optional email was kept forever. Owner's decision: 90 days.</t>
        </is>
      </c>
      <c r="I314" s="108" t="inlineStr">
        <is>
          <t>Done</t>
        </is>
      </c>
      <c r="J314" s="108" t="n">
        <v>0.5</v>
      </c>
      <c r="K314" s="163" t="n">
        <v>46316</v>
      </c>
      <c r="L314" s="163" t="n">
        <v>46316</v>
      </c>
      <c r="M314" s="110" t="inlineStr">
        <is>
          <t>rcfworks</t>
        </is>
      </c>
      <c r="N314" s="81" t="n">
        <v>0</v>
      </c>
      <c r="O314" s="80" t="n"/>
      <c r="P314" s="80" t="inlineStr">
        <is>
          <t>90 days after the claim every copy SponsorX holds is gone (the claim's, the sent-email log's, the queued-email record's) and nothing newer or of another kind; the consent record and counts stay; each tenant's sweep audited, a second finds nothing; an old unsubscribe link still answers done</t>
        </is>
      </c>
      <c r="Q314" s="82" t="inlineStr">
        <is>
          <t>§16, §26</t>
        </is>
      </c>
      <c r="R314" s="111" t="inlineStr">
        <is>
          <t>2026-10-21 DONE (rcfworks): merged in #276, acceptance met (CI green). | 2026-10-21 (rcfworks): fan-data-retention.ts, run hourly by the worker's retention job; unsubscribe answers without reading an address (fan-pii.test.ts). tests/fan-data-retention.test.ts. A lead already in BTG's Zoho is outside SponsorX.</t>
        </is>
      </c>
    </row>
    <row r="315" s="75">
      <c r="A315" s="104" t="n">
        <v>157.77</v>
      </c>
      <c r="B315" s="105" t="inlineStr">
        <is>
          <t>P8-BE-06</t>
        </is>
      </c>
      <c r="C315" s="81" t="n">
        <v>8</v>
      </c>
      <c r="D315" s="82" t="inlineStr">
        <is>
          <t>Integration, Hardening &amp; Launch</t>
        </is>
      </c>
      <c r="E315" s="139" t="inlineStr">
        <is>
          <t>BE</t>
        </is>
      </c>
      <c r="F315" s="120" t="inlineStr">
        <is>
          <t>Code</t>
        </is>
      </c>
      <c r="G315" s="80" t="inlineStr">
        <is>
          <t>A team's or venue's terms acceptance keeps the IP and browser</t>
        </is>
      </c>
      <c r="H315" s="107" t="inlineStr">
        <is>
          <t>Raised 2026-10-21: a gap found while drafting 2S0-LEG-01 — an organisation's terms acceptance saved only the version, fingerprint and time; every other acceptance also keeps the IP and browser and is audited.</t>
        </is>
      </c>
      <c r="I315" s="108" t="inlineStr">
        <is>
          <t>Done</t>
        </is>
      </c>
      <c r="J315" s="108" t="n">
        <v>0.5</v>
      </c>
      <c r="K315" s="163" t="n">
        <v>46316</v>
      </c>
      <c r="L315" s="163" t="n">
        <v>46316</v>
      </c>
      <c r="M315" s="110" t="inlineStr">
        <is>
          <t>rcfworks</t>
        </is>
      </c>
      <c r="N315" s="81" t="n">
        <v>0</v>
      </c>
      <c r="O315" s="80" t="n"/>
      <c r="P315" s="80" t="inlineStr">
        <is>
          <t>The terms step records the request's IP and browser on the onboarding row beside the fingerprint and time; it is audited like every other acceptance (which terms, version, fingerprint); a stale version is still refused; past acceptances are left without evidence rather than given invented evidence</t>
        </is>
      </c>
      <c r="Q315" s="82" t="inlineStr">
        <is>
          <t>§12</t>
        </is>
      </c>
      <c r="R315" s="111" t="inlineStr">
        <is>
          <t>2026-10-21 DONE (rcfworks): merged in #277, main CI green incl. e2e, deployed to staging. | 2026-10-21 (rcfworks): PropertyOnboarding.termsIp/termsUserAgent (migration 20261021120000); saveStep takes the request's evidence and audits agreement.accept. tests/property-onboarding.test.ts.</t>
        </is>
      </c>
    </row>
    <row r="316" s="75">
      <c r="A316" s="104" t="n">
        <v>157.78</v>
      </c>
      <c r="B316" s="105" t="inlineStr">
        <is>
          <t>P8-OPS-03</t>
        </is>
      </c>
      <c r="C316" s="81" t="n">
        <v>8</v>
      </c>
      <c r="D316" s="82" t="inlineStr">
        <is>
          <t>Integration, Hardening &amp; Launch</t>
        </is>
      </c>
      <c r="E316" s="139" t="inlineStr">
        <is>
          <t>OPS</t>
        </is>
      </c>
      <c r="F316" s="120" t="inlineStr">
        <is>
          <t>Code</t>
        </is>
      </c>
      <c r="G316" s="80" t="inlineStr">
        <is>
          <t>Stripe and Zoho webhooks reach production's private API</t>
        </is>
      </c>
      <c r="H316" s="107" t="inlineStr">
        <is>
          <t>Raised 2026-10-21 preparing Stripe go-live: production's API has no public address and sponsorx.net forwarded only three paths, so Stripe's and Zoho's webhooks could never reach it — a card payment would succeed at Stripe and the order never turn PAID. Staging hid it (its API is public).</t>
        </is>
      </c>
      <c r="I316" s="108" t="inlineStr">
        <is>
          <t>Code review</t>
        </is>
      </c>
      <c r="J316" s="108" t="n">
        <v>0.5</v>
      </c>
      <c r="K316" s="163" t="n">
        <v>46316</v>
      </c>
      <c r="L316" s="163" t="n"/>
      <c r="M316" s="110" t="inlineStr">
        <is>
          <t>rcfworks</t>
        </is>
      </c>
      <c r="N316" s="81" t="n">
        <v>0</v>
      </c>
      <c r="O316" s="80" t="n"/>
      <c r="P316" s="80" t="inlineStr">
        <is>
          <t>sponsorx.net forwards exactly /api/v1/webhooks/payments/stripe, /zoho/invoice and /zoho/crm to the private API untouched; the API's signature checks pass on a forwarded signed delivery and refuse a bad one; nothing else forwarded, no wildcards; the Stripe go-live steps name the production URL</t>
        </is>
      </c>
      <c r="Q316" s="82" t="inlineStr">
        <is>
          <t>§18, §38</t>
        </is>
      </c>
      <c r="R316" s="111" t="inlineStr">
        <is>
          <t>2026-10-21 (rcfworks): frontend/next.config.ts WEBHOOK_PATHS, pinned by frontend/tests/security-review.test.ts; SponsorX-Stripe-Integration.md §3/§6.</t>
        </is>
      </c>
    </row>
    <row r="317" s="75">
      <c r="A317" s="104" t="n">
        <v>157.79</v>
      </c>
      <c r="B317" s="105" t="inlineStr">
        <is>
          <t>P8-BE-07</t>
        </is>
      </c>
      <c r="C317" s="81" t="n">
        <v>8</v>
      </c>
      <c r="D317" s="82" t="inlineStr">
        <is>
          <t>Integration, Hardening &amp; Launch</t>
        </is>
      </c>
      <c r="E317" s="139" t="inlineStr">
        <is>
          <t>BE</t>
        </is>
      </c>
      <c r="F317" s="120" t="inlineStr">
        <is>
          <t>Code</t>
        </is>
      </c>
      <c r="G317" s="80" t="inlineStr">
        <is>
          <t>Issue the approved legal wording in the app</t>
        </is>
      </c>
      <c r="H317" s="107" t="inlineStr">
        <is>
          <t>Raised 2026-10-22, when the legal drafts in the SponsorX Legal folder (documents 1–7) were approved by rcfworks with Rodney's delegated authority. What people accept is fingerprinted, so the approved words become v2 of each agreement: Content Collaboration Agreement, Campaign Order, Guardian Agreement, Marketplace Seller and Payout Terms, Marketplace Order Terms. Every loader registers the newest file on first use. The fan page's consent boxes are re-versioned 2026-10-22, with the sponsor named in box 2. Also new: the notice under the button, the fan email footer, the fan privacy notice (GET /public/fan-privacy) and the 'Campaign Results Report' title and foot note. Governing law is left out until BTG names it (a v3). BTG's postal address is a go-live switch (BTG_POSTAL_ADDRESS).</t>
        </is>
      </c>
      <c r="I317" s="108" t="inlineStr">
        <is>
          <t>Done</t>
        </is>
      </c>
      <c r="J317" s="108" t="n">
        <v>1</v>
      </c>
      <c r="K317" s="163" t="n">
        <v>46317</v>
      </c>
      <c r="L317" s="163" t="n">
        <v>46317</v>
      </c>
      <c r="M317" s="110" t="inlineStr">
        <is>
          <t>rcfworks</t>
        </is>
      </c>
      <c r="N317" s="81" t="n">
        <v>1</v>
      </c>
      <c r="O317" s="80" t="inlineStr">
        <is>
          <t>P0-LEG-01…06, 2S0-LEG-01, 2S0-LEG-02, 3S0-LEG-01 (all approved 2026-10-22)</t>
        </is>
      </c>
      <c r="P317" s="80" t="inlineStr">
        <is>
          <t>Every agreement has an approved v2 with no counsel brackets, draft banners or blanks (v1 kept). v2 is in force for every tenant without a manual step. The fan wording is re-versioned, with the notice, footer and privacy notice served by the API. The rendered report is the Campaign Results Report with the approved foot note. Full backend suite green.</t>
        </is>
      </c>
      <c r="Q317" s="82" t="inlineStr">
        <is>
          <t>§12, §16, §22, §26</t>
        </is>
      </c>
      <c r="R317" s="111" t="inlineStr">
        <is>
          <t>Tests: approved-legal-wording.test.ts; suites that pinned v1 now read the version in force (tests/support/agreements.ts).</t>
        </is>
      </c>
    </row>
    <row r="318" s="75">
      <c r="A318" s="104" t="n">
        <v>157.94</v>
      </c>
      <c r="B318" s="105" t="inlineStr">
        <is>
          <t>P8-FE-08</t>
        </is>
      </c>
      <c r="C318" s="81" t="n">
        <v>8</v>
      </c>
      <c r="D318" s="82" t="inlineStr">
        <is>
          <t>Integration, Hardening &amp; Launch</t>
        </is>
      </c>
      <c r="E318" s="139" t="inlineStr">
        <is>
          <t>FE</t>
        </is>
      </c>
      <c r="F318" s="120" t="inlineStr">
        <is>
          <t>Code</t>
        </is>
      </c>
      <c r="G318" s="80" t="inlineStr">
        <is>
          <t>Show the approved fan-page and results wording</t>
        </is>
      </c>
      <c r="H318" s="107" t="inlineStr">
        <is>
          <t>Raised with P8-BE-07 (2026-10-22). Fan reward page: show `notice` and `eligibilityCheck`, the email-field label, and a link to the fan privacy notice. Unsubscribe confirmation page: the approved wording. Guardian set-up page: the approved acceptance box. Sponsor results screen and report page: the approved labels, captions and foot note, retitled Campaign Results Report with no 'ROI'.</t>
        </is>
      </c>
      <c r="I318" s="108" t="inlineStr">
        <is>
          <t>Done</t>
        </is>
      </c>
      <c r="J318" s="108" t="n">
        <v>1</v>
      </c>
      <c r="K318" s="163" t="n">
        <v>46317</v>
      </c>
      <c r="L318" s="163" t="n">
        <v>46317</v>
      </c>
      <c r="M318" s="110" t="inlineStr">
        <is>
          <t>rcfworks</t>
        </is>
      </c>
      <c r="N318" s="81" t="n">
        <v>0</v>
      </c>
      <c r="O318" s="80" t="inlineStr">
        <is>
          <t>P8-BE-07</t>
        </is>
      </c>
      <c r="P318" s="80" t="inlineStr">
        <is>
          <t>Each screen shows the approved words, taken from the API where the API serves them. No sponsor screen says 'ROI'.</t>
        </is>
      </c>
      <c r="Q318" s="82" t="inlineStr">
        <is>
          <t>§16, §22, Legal folder documents 3 and 5</t>
        </is>
      </c>
      <c r="R318" s="111" t="inlineStr">
        <is>
          <t>Done 2026-10-22 (rcfworks, at the user's request): fan page notice, eligibility check, email label, /r/privacy page, unsubscribe wording, guardian acceptance line (handoff page now shows the served agreement), no 'ROI' on sponsor screens, confidence caption and results foot note. Merged in #287 with all four CI checks green.</t>
        </is>
      </c>
    </row>
    <row r="319" s="75">
      <c r="A319" s="104" t="n">
        <v>157.95</v>
      </c>
      <c r="B319" s="105" t="inlineStr">
        <is>
          <t>P8-SEC-04</t>
        </is>
      </c>
      <c r="C319" s="81" t="n">
        <v>8</v>
      </c>
      <c r="D319" s="82" t="inlineStr">
        <is>
          <t>Integration, Hardening &amp; Launch</t>
        </is>
      </c>
      <c r="E319" s="139" t="inlineStr">
        <is>
          <t>SEC</t>
        </is>
      </c>
      <c r="F319" s="120" t="inlineStr">
        <is>
          <t>Code</t>
        </is>
      </c>
      <c r="G319" s="80" t="inlineStr">
        <is>
          <t>Patch the Next.js and DOMPurify advisories</t>
        </is>
      </c>
      <c r="H319" s="107" t="inlineStr">
        <is>
          <t>Raised 2026-10-23: new advisories turned CI red on every branch. Next.js 16.3.8 had two critical unauthenticated RCEs (GHSA-2464-fhr4-w9xw, GHSA-673q-mjm6-r5xr) and a high DoS (GHSA-p3m5-59mp-jv5r); DOMPurify 3.4.16, via jspdf, one critical and one high. Upgraded next and eslint-config-next to 16.4.2 and dompurify to 3.4.17.</t>
        </is>
      </c>
      <c r="I319" s="108" t="inlineStr">
        <is>
          <t>Done</t>
        </is>
      </c>
      <c r="J319" s="108" t="n">
        <v>0.5</v>
      </c>
      <c r="K319" s="163" t="n">
        <v>46318</v>
      </c>
      <c r="L319" s="163" t="n">
        <v>46318</v>
      </c>
      <c r="M319" s="110" t="inlineStr">
        <is>
          <t>rcfworks</t>
        </is>
      </c>
      <c r="N319" s="81" t="n">
        <v>0</v>
      </c>
      <c r="O319" s="80" t="n"/>
      <c r="P319" s="80" t="inlineStr">
        <is>
          <t>npm run audit:check is clean; builds, lint and every frontend, backend and runnable e2e test pass; staging and production run the patched build.</t>
        </is>
      </c>
      <c r="Q319" s="82" t="inlineStr">
        <is>
          <t>§26</t>
        </is>
      </c>
      <c r="R319" s="111" t="inlineStr">
        <is>
          <t>Merged in #292, synced to main in #293 (all CI green). Deployed to staging and production at 38f800e, 2026-10-23 11:55 UTC; both healthy.</t>
        </is>
      </c>
    </row>
    <row r="320" s="75">
      <c r="A320" s="104" t="n">
        <v>157.96</v>
      </c>
      <c r="B320" s="105" t="inlineStr">
        <is>
          <t>P8-OPS-04</t>
        </is>
      </c>
      <c r="C320" s="81" t="n">
        <v>8</v>
      </c>
      <c r="D320" s="82" t="inlineStr">
        <is>
          <t>Integration, Hardening &amp; Launch</t>
        </is>
      </c>
      <c r="E320" s="139" t="inlineStr">
        <is>
          <t>OPS</t>
        </is>
      </c>
      <c r="F320" s="120" t="inlineStr">
        <is>
          <t>Code + console</t>
        </is>
      </c>
      <c r="G320" s="80" t="inlineStr">
        <is>
          <t>Zoho Books sends invoice changes to SponsorX</t>
        </is>
      </c>
      <c r="H320" s="107" t="inlineStr">
        <is>
          <t>Raised 2026-10-25: SponsorX's invoice webhook had no caller, because the Books workflow planned on 2026-10-02 was never built. Built in Books org The Coffee Stage: the CRM Deal ID invoice field, the custom function sponsorx_send_invoice (signed with ZOHO_WEBHOOK_SECRET) and the workflow rule Send to SponsorX.</t>
        </is>
      </c>
      <c r="I320" s="108" t="inlineStr">
        <is>
          <t>Done</t>
        </is>
      </c>
      <c r="J320" s="108" t="n">
        <v>0.5</v>
      </c>
      <c r="K320" s="163" t="n">
        <v>46320</v>
      </c>
      <c r="L320" s="163" t="n">
        <v>46320</v>
      </c>
      <c r="M320" s="110" t="inlineStr">
        <is>
          <t>rcfworks</t>
        </is>
      </c>
      <c r="N320" s="81" t="inlineStr">
        <is>
          <t>0</t>
        </is>
      </c>
      <c r="O320" s="80" t="n"/>
      <c r="P320" s="80" t="inlineStr">
        <is>
          <t>A draft, a sent and a paid invoice each reach staging signed and APPLIED; staging's copy follows draft -&gt; sent -&gt; paid; a paid invoice carries its paid date</t>
        </is>
      </c>
      <c r="Q320" s="82" t="inlineStr">
        <is>
          <t>§18</t>
        </is>
      </c>
      <c r="R320" s="111" t="inlineStr">
        <is>
          <t>Done 2026-10-25 (rcfworks). Tested on staging with INV-000001 (deal 7554807000012994002): draft, sent and paid each arrived signed and APPLIED, and the order invoice went draft -&gt; sent -&gt; paid. Paid date fixed: the function reads the full invoice when the workflow copy has no last_payment_date; the retest at 04:32 UTC carried paidAt 2026-10-25. Not shown: AWAITING_PAYMENT -&gt; PAID (the test order was already PAID).</t>
        </is>
      </c>
    </row>
    <row r="321" s="75">
      <c r="A321" s="104" t="n">
        <v>157.97</v>
      </c>
      <c r="B321" s="105" t="inlineStr">
        <is>
          <t>P8-SEC-05</t>
        </is>
      </c>
      <c r="C321" s="81" t="n">
        <v>8</v>
      </c>
      <c r="D321" s="82" t="inlineStr">
        <is>
          <t>Integration, Hardening &amp; Launch</t>
        </is>
      </c>
      <c r="E321" s="139" t="inlineStr">
        <is>
          <t>SEC</t>
        </is>
      </c>
      <c r="F321" s="120" t="inlineStr">
        <is>
          <t>Code</t>
        </is>
      </c>
      <c r="G321" s="80" t="inlineStr">
        <is>
          <t>Patch the body-parser, zod and fast-uri advisories</t>
        </is>
      </c>
      <c r="H321" s="107" t="inlineStr">
        <is>
          <t>Raised 2026-10-25: new advisories turned CI's dependency scan red on every branch. body-parser 2.3.0 (high, production, via express), zod 4.6.5 (high, production), fast-uri 3.1.8 (moderate x4, dev only).</t>
        </is>
      </c>
      <c r="I321" s="108" t="inlineStr">
        <is>
          <t>Done</t>
        </is>
      </c>
      <c r="J321" s="108" t="n">
        <v>0.5</v>
      </c>
      <c r="K321" s="163" t="n">
        <v>46320</v>
      </c>
      <c r="L321" s="163" t="n">
        <v>46320</v>
      </c>
      <c r="M321" s="110" t="inlineStr">
        <is>
          <t>rcfworks</t>
        </is>
      </c>
      <c r="N321" s="81" t="inlineStr">
        <is>
          <t>0</t>
        </is>
      </c>
      <c r="O321" s="80" t="n"/>
      <c r="P321" s="80" t="inlineStr">
        <is>
          <t>npm run audit:check is clean; builds, lint and every frontend, backend and runnable e2e test pass; staging and production run the patched build</t>
        </is>
      </c>
      <c r="Q321" s="82" t="inlineStr">
        <is>
          <t>§26</t>
        </is>
      </c>
      <c r="R321" s="111" t="inlineStr">
        <is>
          <t>Done 2026-10-25 (rcfworks): #298, synced in #299. body-parser 2.4.0, zod 4.6.7, fast-uri 3.1.9. Local: FE 1,681, BE 3,511, e2e 31 pass. CI pinned to ubuntu-24.04 (Playwright 1.63 can't install Chromium on 26.04). release -&gt; a87b4713; all four services deployed; staging runs zod@4.6.7 / body-parser@2.4.0; health, /join, webhooks (401) and protected API (401) checked in both environments.</t>
        </is>
      </c>
    </row>
    <row r="322" s="75">
      <c r="A322" s="104" t="n">
        <v>157.98</v>
      </c>
      <c r="B322" s="105" t="inlineStr">
        <is>
          <t>P8-FE-09</t>
        </is>
      </c>
      <c r="C322" s="81" t="n">
        <v>8</v>
      </c>
      <c r="D322" s="82" t="inlineStr">
        <is>
          <t>Integration, Hardening &amp; Launch</t>
        </is>
      </c>
      <c r="E322" s="139" t="inlineStr">
        <is>
          <t>FE</t>
        </is>
      </c>
      <c r="F322" s="120" t="inlineStr">
        <is>
          <t>Code</t>
        </is>
      </c>
      <c r="G322" s="80" t="inlineStr">
        <is>
          <t>Fix the screen findings from the tester-guide dry run</t>
        </is>
      </c>
      <c r="H322" s="107" t="inlineStr">
        <is>
          <t>Raised 2026-10-26 from the tester-guide dry run on staging. Seven screen problems: (1) a real campaign's results page had no PDF / Excel export, only the samples did; (2) the home page's 'Trusted by leading brands' strip showed the mockup's brands (Nike, adidas, Red Bull, Monster Energy, Under Armour) as if they were partners; (3) 'Postgres · read &lt;time&gt;' showed on athlete pages; (4) the offer title said the sponsor twice when the campaign name starts with it; (5) BTG's approvals desk called a PNG draft 'Video · v1'; (6) 'This goes live as soon as the checks pass.' appeared twice under Submit on a new listing; (7) the admin's order view said 'Complete' while the athlete's page still said 'Published — BTG verifying'.</t>
        </is>
      </c>
      <c r="I322" s="108" t="inlineStr">
        <is>
          <t>Done</t>
        </is>
      </c>
      <c r="J322" s="108" t="n">
        <v>1</v>
      </c>
      <c r="K322" s="163" t="n">
        <v>46321</v>
      </c>
      <c r="L322" s="163" t="n">
        <v>46322</v>
      </c>
      <c r="M322" s="110" t="inlineStr">
        <is>
          <t>HeckerCreatives</t>
        </is>
      </c>
      <c r="N322" s="81" t="inlineStr">
        <is>
          <t>0</t>
        </is>
      </c>
      <c r="O322" s="80" t="n"/>
      <c r="P322" s="80" t="inlineStr">
        <is>
          <t>A real campaign's results page exports a PDF and an Excel workbook from its own report read, with reach by source kept apart; the home page shows no brand that hasn't agreed to be named; no athlete page names the database; each finding is fixed and covered by a test where the logic allows.</t>
        </is>
      </c>
      <c r="Q322" s="82" t="inlineStr">
        <is>
          <t>§9, §21, §22</t>
        </is>
      </c>
      <c r="R322" s="111" t="inlineStr">
        <is>
          <t>2026-10-27 (HeckerCreatives): public pages for the inert nav items, built on the landing's parts - /get-started (Get Started no longer goes to /login), /how-it-works and /about (BTG Sports Group, values, the four desks, SponsorX + NEXT); nav items live, page-transition + route map + e2e sweep updated. Device-matrix QA x2 (1,751 + 464 loads, 7 roles, 320-2560 + WebKit iPhone SE/iPad Mini, public pages also signed in). Fixed: iPad (768) sideways scroll on 11 table desks (sr-only column header escaped .sx-table-scroll - now position:relative); /login hydration mismatch under load (Clerk &lt;SignIn&gt; now mounts after hydration); signed-in header '&lt;Role&gt; Dashboard' overflow below 380px (reads 'Dashboard'); lg-only grids on 13 detail layouts + rules board (grid-cols-1); roster at 320; payout chip at 768; Safari select overflow (global rule); loader exit overflow; plus the morning's six 320px fixes. FE tsc + lint clean, vitest 1,712 (security-review graph test is load-sensitive near its 5 s timeout). Merged to main_development and main. | 2026-10-27 QA pass 4 (HeckerCreatives): found local node_modules predated P8-SEC-04/05 (next 16.3.8 vs 16.4.2 etc.) - npm ci, all checks re-run on the lockfile versions. Production build (next start) against the api container (boots with the shared env; OpenAPI lists /public/network-stats as public): walk 5/5, 0 console errors; axe on changed pages found only a pre-existing &lt;dl&gt; issue in the Arena tiles. Third review: stale comments, dead fixtures/buildReportFunnel, a vacuous test, untested Complete rule (now orderJourney + tests), route test for the public endpoint, docs updated. FE 1,712 / BE 3,503 (4 Windows-only); Next 16.4.2 build and lint clean. | 2026-10-26 QA pass 3 (HeckerCreatives): team e2e (public, public-links, landing-city, redeem-flow, P4/P5/P7 loops, marketplace-path) 35 passed; 2 blocked by the Clerk dev user cap, 2 first-compile timeouts passed on re-run. Checked tenant scope and the rate limit of /public/network-stats, viewer-timezone 'Updated' pill, hung-API timeout, property draft listing. Fixed: sample roster 'demo' job; campaignAfterSponsor on punctuation; approvals card 'job' label; internal names in demo views; sample report now exports through campaign-results labelled (sample), old fixture export deleted. FE 1,707 / BE 3,498 tests; build and lint clean. | 2026-10-26 QA pass 2 (HeckerCreatives): independent code review + wider walk (20 athlete pages desktop/phone, approvals edge cases, Complete flipping as posts verify, listing editor, student/advisor/public pages, console errors). Fixed: untyped uploads no longer called images; 'Postgres' removed for sponsors, public property page, student and advisor portals; sponsor roster duplicate React key (rows keyed by athlete+job, job shown, in export too); sponsor name no longer repeated on athlete list sub-lines or the admin approvals drawer; 'goes live' said once on listing pages (athlete and property). FE 1,704 / BE 3,499 tests (4 Windows-only files fail); build and lint clean; walk 6/6, 0 console errors. | 2026-10-26 follow-up (HeckerCreatives): QA findings fixed. Home 'Real Impact' card, closing 'The numbers' panel and /login figures now read GET /public/network-stats (athletes ACTIVE+FEATURED, campaigns COMPLETED, deliverables VERIFIED, rewards REDEEMED; zeros left out, hidden with no read; 'Attributed fan value' dropped, no source); docker-compose worker shares the api's env (was crash-looping on missing Clerk keys); unused variable removed, lint clean. FE 1,701 / BE 3,499 tests; build passes; walked live with the API up and down. Open for the owner: the home page's Featured athletes panel still shows sample athletes. | 2026-10-26 QA (HeckerCreatives): root build and lint pass; FE 1,694 tests; BE 3,497 pass on sponsorx_test (only the four known Windows-only files fail). Playwright walk as QA athlete, admin and sponsor on seeded qa_fe09_* rows (removed after) confirmed all seven fixes, incl. a real PDF and XLSX download. Found and fixed in QA: two 'POSTGRES' chips on athlete earnings (now 'SponsorX records'); the PDF's cost per 1,000 now prints cents like the screen. Not deployed. | 2026-10-26 (HeckerCreatives): on branch fix/P8-FE-09-dry-run-screen-findings. Real-campaign export built from GET /campaigns/{id}/report (campaign-results-report.ts + PDF/XLSX renderers); trustedBrands emptied and the strip hidden while empty; athlete pills read 'Updated &lt;time&gt;' (ArenaUpdated); campaignWithSponsor drops a repeated sponsor; GET /deliverables sends latestAsset.contentType and the desk names the upload's kind; duplicate listing sentence removed; GET /campaigns/{id}/ops sends a per-athlete verified count and 'Complete' waits for it. Frontend build, lint and 1,694 tests pass; backend typecheck and the ops / deliverables read tests pass.</t>
        </is>
      </c>
    </row>
    <row r="323" s="75">
      <c r="A323" s="104" t="n">
        <v>157.99</v>
      </c>
      <c r="B323" s="105" t="inlineStr">
        <is>
          <t>P8-BE-08</t>
        </is>
      </c>
      <c r="C323" s="81" t="n">
        <v>8</v>
      </c>
      <c r="D323" s="82" t="inlineStr">
        <is>
          <t>Integration, Hardening &amp; Launch</t>
        </is>
      </c>
      <c r="E323" s="139" t="inlineStr">
        <is>
          <t>BE</t>
        </is>
      </c>
      <c r="F323" s="120" t="inlineStr">
        <is>
          <t>Code</t>
        </is>
      </c>
      <c r="G323" s="80" t="inlineStr">
        <is>
          <t>Featured athletes list for the home page</t>
        </is>
      </c>
      <c r="H323" s="107" t="inlineStr">
        <is>
          <t>Public list of up to 4 athletes by the approved criteria (photo and every public field required); BTG pin, remove and approve.</t>
        </is>
      </c>
      <c r="I323" s="108" t="inlineStr">
        <is>
          <t>Done</t>
        </is>
      </c>
      <c r="J323" s="108" t="n">
        <v>3</v>
      </c>
      <c r="K323" s="163" t="n">
        <v>46322</v>
      </c>
      <c r="L323" s="163" t="n">
        <v>46322</v>
      </c>
      <c r="M323" s="110" t="inlineStr">
        <is>
          <t>rcfworks</t>
        </is>
      </c>
      <c r="N323" s="81" t="n">
        <v>1</v>
      </c>
      <c r="O323" s="80" t="n"/>
      <c r="P323" s="80" t="inlineStr">
        <is>
          <t>Only qualifying athletes, pinned first, at most 4; minors need approval; removed stay off; nothing private; tenant and role tests</t>
        </is>
      </c>
      <c r="Q323" s="82" t="inlineStr">
        <is>
          <t>§9, §11, §26</t>
        </is>
      </c>
      <c r="R323" s="111" t="inlineStr">
        <is>
          <t>2026-10-27 DONE (rcfworks): criteria approved by the user. Photo upload added (athletes had none). 3,540 backend tests pass.</t>
        </is>
      </c>
    </row>
    <row r="324" s="75">
      <c r="A324" s="104" t="n">
        <v>157.995</v>
      </c>
      <c r="B324" s="105" t="inlineStr">
        <is>
          <t>P8-FE-10</t>
        </is>
      </c>
      <c r="C324" s="81" t="n">
        <v>8</v>
      </c>
      <c r="D324" s="82" t="inlineStr">
        <is>
          <t>Integration, Hardening &amp; Launch</t>
        </is>
      </c>
      <c r="E324" s="139" t="inlineStr">
        <is>
          <t>FE</t>
        </is>
      </c>
      <c r="F324" s="120" t="inlineStr">
        <is>
          <t>Code</t>
        </is>
      </c>
      <c r="G324" s="80" t="inlineStr">
        <is>
          <t>Home page Featured athletes from the API</t>
        </is>
      </c>
      <c r="H324" s="107" t="inlineStr">
        <is>
          <t>Panel reads the API instead of samples; athlete photo upload; BTG pin, remove and approve controls.</t>
        </is>
      </c>
      <c r="I324" s="108" t="inlineStr">
        <is>
          <t>Done</t>
        </is>
      </c>
      <c r="J324" s="108" t="n">
        <v>3</v>
      </c>
      <c r="K324" s="163" t="n">
        <v>46322</v>
      </c>
      <c r="L324" s="163" t="n">
        <v>46322</v>
      </c>
      <c r="M324" s="110" t="inlineStr">
        <is>
          <t>HeckerCreatives</t>
        </is>
      </c>
      <c r="N324" s="81" t="n">
        <v>0</v>
      </c>
      <c r="O324" s="80" t="inlineStr">
        <is>
          <t>P8-BE-08</t>
        </is>
      </c>
      <c r="P324" s="80" t="inlineStr">
        <is>
          <t>Panel shows the API list and hides when empty; photo upload works; controls for BTG admin and Network Manager only</t>
        </is>
      </c>
      <c r="Q324" s="82" t="inlineStr">
        <is>
          <t>§9, §10</t>
        </is>
      </c>
      <c r="R324" s="111" t="inlineStr">
        <is>
          <t>2026-10-27 DONE (HeckerCreatives): five QA passes green; merged to main_development and promoted to main. | 2026-10-27 QA5 (HeckerCreatives): no bugs. Storage-level upload security 12/12 (presigned PUT pinned to type/size/key; SVG, .., other-tenant keys refused); BE/FE contract alignment 7/7; team e2e (public, landing-city, loop-p3-application, public@mobile) 11 passed; latest commit under next start 7/7 incl. the drawer's server action; API 33/33; BE suite 3,526 + 4 Windows-only. | 2026-10-27 QA4 (HeckerCreatives): full regression green (API 33, browser 101, drawer 8, roles 8, robustness 5, extras 17); applications desk unaffected (tabs, Escape/focus, decision bar, axe on drawer); NM uploads from the drawer; missing photo object, reduced motion, no-JS HTML ok. Fixed: 2,147,483,647 followers printed '2147M' - now '2.1B'. | 2026-10-27 QA3 (HeckerCreatives): found the Network Manager couldn't reach the controls (/admin/new-signups is BTG-admin only) - fixed: the Home page section now also opens in the approved athlete's drawer on /admin/applications. Prod server (next start) ok; NM, super, guardian, other-tenant roles ok; stale tab, double-click, focus, hostile name ok. Notes: CSP is report-only - enforcing it needs R2_PUBLIC_BASE_URL on the web service; guardians have no photo screen (pre-existing demo editor). | 2026-10-27 QA (HeckerCreatives): 33 live API probes + 94 browser checks on 11 devices (WebKit incl.) on a staged scenario (restored byte-for-byte); axe clean x3; API-down home still loads without the panel; minor approve/withdraw live. Fixed: /athletes/me reached the public bucket from the route (payments-pii would fail on CI) - now athletePhotoUrl() in the domain; 'Under 18' shown for no-age athletes - now 'Under 18 or no age on file'. npm run build green (worktree); BE suite 3,525 pass + known Windows-only files. | 2026-10-27 (HeckerCreatives): on feature/P8-FE-10-featured-athletes. Home panel reads GET /public/featured-athletes (server/featured-athletes.ts, 1-min keep, edge forward); rows show photo, name, sport/position, city/state, followers tagged Verified/Self-reported; job tag + sample figures dropped; no read or empty list hides it. Athlete photo editor (upload/change/remove, browser type/size check, direct PUT to the public bucket) on the athlete's edit page and BTG's athlete page. BTG 'Home page' section on /admin/new-signups/athletes/{id}: on-panel state, every reason off (missing fields named, minor awaiting approval), pin/unpin, remove/restore, approve/withdraw; drawn only when GET /athletes/{id}/home-page answers (BTG admin, Network Manager). Backend: GET /athletes/me returns photoUrl. FE vitest 1,729; BE DB tests 42/42 on sponsorx_test; walked live on MinIO (QA athlete restored after). | Raised 2026-10-27. API details in the Phase 1 doc.</t>
        </is>
      </c>
    </row>
    <row r="325" s="75">
      <c r="A325" s="104" t="n">
        <v>157.996</v>
      </c>
      <c r="B325" s="105" t="inlineStr">
        <is>
          <t>P8-BE-09</t>
        </is>
      </c>
      <c r="C325" s="81" t="n">
        <v>8</v>
      </c>
      <c r="D325" s="82" t="inlineStr">
        <is>
          <t>Integration, Hardening &amp; Launch</t>
        </is>
      </c>
      <c r="E325" s="139" t="inlineStr">
        <is>
          <t>BE</t>
        </is>
      </c>
      <c r="F325" s="120" t="inlineStr">
        <is>
          <t>Code</t>
        </is>
      </c>
      <c r="G325" s="80" t="inlineStr">
        <is>
          <t>Every document upload checked for a usable file</t>
        </is>
      </c>
      <c r="H325" s="107" t="inlineStr">
        <is>
          <t>Found 2026-10-28: an ID arrived as a near-black blurred photo and nothing stopped it. At the confirm step of all ten document uploads, open the file: real type (first bytes), opens, photo/scanned page not too small, dark, washed out, blank or blurred; PDF not password-locked, has pages. Refused files are deleted and audited, with the reason in plain words.</t>
        </is>
      </c>
      <c r="I325" s="108" t="inlineStr">
        <is>
          <t>Done</t>
        </is>
      </c>
      <c r="J325" s="108" t="n">
        <v>2</v>
      </c>
      <c r="K325" s="163" t="n">
        <v>46323</v>
      </c>
      <c r="L325" s="163" t="n">
        <v>46323</v>
      </c>
      <c r="M325" s="110" t="inlineStr">
        <is>
          <t>rcfworks</t>
        </is>
      </c>
      <c r="N325" s="81" t="n">
        <v>2</v>
      </c>
      <c r="O325" s="80" t="n"/>
      <c r="P325" s="80" t="inlineStr">
        <is>
          <t>Each of the ten uploads refuses a dark, blurred, blank, too-small, renamed, damaged or locked file with its reason, deletes and audits it; good files pass; tests cover every rule and flow</t>
        </is>
      </c>
      <c r="Q325" s="82" t="inlineStr">
        <is>
          <t>§26; 2S8-SEC-03</t>
        </is>
      </c>
      <c r="R325" s="111" t="inlineStr">
        <is>
          <t>2026-10-28 DONE (rcfworks): every document confirm (10 uploads) opens the file: renamed, damaged, locked, too small, dark, washed out, blank or blurred refused in words, deleted, audited. Limits calibrated on the real near-black upload. 3,592 backend tests pass. | 2026-10-28 (rcfworks): raised and started. The user: "do 1 and 2", "do A and B", all documents.</t>
        </is>
      </c>
    </row>
    <row r="326" s="75">
      <c r="A326" s="104" t="n">
        <v>157.997</v>
      </c>
      <c r="B326" s="105" t="inlineStr">
        <is>
          <t>P8-BE-10</t>
        </is>
      </c>
      <c r="C326" s="81" t="n">
        <v>8</v>
      </c>
      <c r="D326" s="82" t="inlineStr">
        <is>
          <t>Integration, Hardening &amp; Launch</t>
        </is>
      </c>
      <c r="E326" s="139" t="inlineStr">
        <is>
          <t>BE</t>
        </is>
      </c>
      <c r="F326" s="120" t="inlineStr">
        <is>
          <t>Code</t>
        </is>
      </c>
      <c r="G326" s="80" t="inlineStr">
        <is>
          <t>BTG sends a document back</t>
        </is>
      </c>
      <c r="H326" s="107" t="inlineStr">
        <is>
          <t>BTG sends any document it reviews back with a reason (sign-up IDs and guardian papers, coming-of-age ID, new legal name ID, handoff papers, organisation papers, sponsor proof of business): it stops counting, the file is deleted, the person is emailed the reason and their upload link, and the checks re-run on the new one.</t>
        </is>
      </c>
      <c r="I326" s="108" t="inlineStr">
        <is>
          <t>Done</t>
        </is>
      </c>
      <c r="J326" s="108" t="n">
        <v>2</v>
      </c>
      <c r="K326" s="163" t="n">
        <v>46323</v>
      </c>
      <c r="L326" s="163" t="n">
        <v>46323</v>
      </c>
      <c r="M326" s="110" t="inlineStr">
        <is>
          <t>rcfworks</t>
        </is>
      </c>
      <c r="N326" s="81" t="n">
        <v>1</v>
      </c>
      <c r="O326" s="80" t="inlineStr">
        <is>
          <t>P8-BE-09</t>
        </is>
      </c>
      <c r="P326" s="80" t="inlineStr">
        <is>
          <t>BTG can send back each kind with a reason; it stops counting and the file is gone; the person is emailed; a new upload re-runs the checks; other roles and tenants refused; tests per flow</t>
        </is>
      </c>
      <c r="Q326" s="82" t="inlineStr">
        <is>
          <t>§10, §26</t>
        </is>
      </c>
      <c r="R326" s="111" t="inlineStr">
        <is>
          <t>2026-10-28 DONE (rcfworks): BTG send-back with a reason on sign-ups (athlete and guardian), organisations, sponsor requests, handoffs and legal-name IDs: stops counting, file deleted, person emailed the reason and their upload link, flow back to waiting, audited. | 2026-10-28 (rcfworks): raised and started (the user: "do 1 and 2").</t>
        </is>
      </c>
    </row>
    <row r="327" s="75">
      <c r="A327" s="104" t="n">
        <v>157.998</v>
      </c>
      <c r="B327" s="105" t="inlineStr">
        <is>
          <t>P8-BE-11</t>
        </is>
      </c>
      <c r="C327" s="81" t="n">
        <v>8</v>
      </c>
      <c r="D327" s="82" t="inlineStr">
        <is>
          <t>Integration, Hardening &amp; Launch</t>
        </is>
      </c>
      <c r="E327" s="139" t="inlineStr">
        <is>
          <t>BE</t>
        </is>
      </c>
      <c r="F327" s="120" t="inlineStr">
        <is>
          <t>Code</t>
        </is>
      </c>
      <c r="G327" s="80" t="inlineStr">
        <is>
          <t>Documents read and compared</t>
        </is>
      </c>
      <c r="H327" s="107" t="inlineStr">
        <is>
          <t>After P8-BE-09 the server reads the document (PDF text, or OCR on our own server; nothing sent out, no text kept) and compares: the right name, the right kind, not expired, the athlete's date of birth. Result clear / flagged (findings in words) / unread. Flagged or unread holds the automatic approval (sign-up, organisation, sponsor request, guardian handoff, legal name) for BTG with the findings as reasons. BTG reads results via GET /document-checks.</t>
        </is>
      </c>
      <c r="I327" s="108" t="inlineStr">
        <is>
          <t>Done</t>
        </is>
      </c>
      <c r="J327" s="108" t="n">
        <v>3</v>
      </c>
      <c r="K327" s="163" t="n">
        <v>46323</v>
      </c>
      <c r="L327" s="163" t="n">
        <v>46323</v>
      </c>
      <c r="M327" s="110" t="inlineStr">
        <is>
          <t>rcfworks</t>
        </is>
      </c>
      <c r="N327" s="81" t="n">
        <v>1</v>
      </c>
      <c r="O327" s="80" t="inlineStr">
        <is>
          <t>P8-BE-09</t>
        </is>
      </c>
      <c r="P327" s="80" t="inlineStr">
        <is>
          <t>Every listed document gets a result; wrong name, kind, expired date or date of birth flagged in words; no text stored; each automatic approval held when flagged and unchanged when clear; BTG reads results; held legal name can be applied or rejected; tests for rules, flows, roles, tenants</t>
        </is>
      </c>
      <c r="Q327" s="82" t="inlineStr">
        <is>
          <t>§10, §26; Phase 2 automation rule</t>
        </is>
      </c>
      <c r="R327" s="111" t="inlineStr">
        <is>
          <t>2026-10-28 DONE (rcfworks): documents read on our own server (PDF text or tesseract OCR; no text stored); name, kind, expiry, birth date compared; flagged/unread holds sign-up, organisation, sponsor request, handoff and legal name for BTG with reasons; BTG apply/decline for a held legal name. | 2026-10-28 (rcfworks): raised and started (the user: "do A and B").</t>
        </is>
      </c>
    </row>
    <row r="328" s="75">
      <c r="A328" s="104" t="n">
        <v>157.999</v>
      </c>
      <c r="B328" s="105" t="inlineStr">
        <is>
          <t>P8-FE-11</t>
        </is>
      </c>
      <c r="C328" s="81" t="n">
        <v>8</v>
      </c>
      <c r="D328" s="82" t="inlineStr">
        <is>
          <t>Integration, Hardening &amp; Launch</t>
        </is>
      </c>
      <c r="E328" s="139" t="inlineStr">
        <is>
          <t>FE</t>
        </is>
      </c>
      <c r="F328" s="120" t="inlineStr">
        <is>
          <t>Code</t>
        </is>
      </c>
      <c r="G328" s="80" t="inlineStr">
        <is>
          <t>Document checks on screen</t>
        </is>
      </c>
      <c r="H328" s="107" t="inlineStr">
        <is>
          <t>Upload screens show the refusal reason and "Checking your document…" while confirming; BTG review screens show each document's check (Clear / Flagged with findings / Couldn't read) and a Send back button with a reason; a held legal name can be applied or rejected.</t>
        </is>
      </c>
      <c r="I328" s="108" t="inlineStr">
        <is>
          <t>Ready</t>
        </is>
      </c>
      <c r="J328" s="108" t="n">
        <v>2</v>
      </c>
      <c r="K328" s="163" t="n"/>
      <c r="L328" s="163" t="n"/>
      <c r="M328" s="110" t="inlineStr">
        <is>
          <t>HeckerCreatives</t>
        </is>
      </c>
      <c r="N328" s="81" t="n">
        <v>0</v>
      </c>
      <c r="O328" s="80" t="inlineStr">
        <is>
          <t>P8-BE-09, P8-BE-10, P8-BE-11</t>
        </is>
      </c>
      <c r="P328" s="80" t="inlineStr">
        <is>
          <t>People see why a file was refused; BTG sees each result and can send a document back; a held legal name can be applied or rejected</t>
        </is>
      </c>
      <c r="Q328" s="82" t="inlineStr">
        <is>
          <t>§10</t>
        </is>
      </c>
      <c r="R328" s="111" t="inlineStr">
        <is>
          <t>2026-10-28 (rcfworks): unblocked — P8-BE-09/10/11 done; every route and field is in the Phase 1 doc. | 2026-10-28 (rcfworks): raised with P8-BE-09/10/11 — frontend, for HeckerCreatives. API details in the Phase 1 doc.</t>
        </is>
      </c>
    </row>
    <row r="329" s="75">
      <c r="A329" s="104" t="n">
        <v>157.9991</v>
      </c>
      <c r="B329" s="105" t="inlineStr">
        <is>
          <t>P8-BE-12</t>
        </is>
      </c>
      <c r="C329" s="81" t="n">
        <v>8</v>
      </c>
      <c r="D329" s="82" t="inlineStr">
        <is>
          <t>Integration, Hardening &amp; Launch</t>
        </is>
      </c>
      <c r="E329" s="139" t="inlineStr">
        <is>
          <t>BE</t>
        </is>
      </c>
      <c r="F329" s="120" t="inlineStr">
        <is>
          <t>Code</t>
        </is>
      </c>
      <c r="G329" s="80" t="inlineStr">
        <is>
          <t>Cancel and change a campaign, automatically</t>
        </is>
      </c>
      <c r="H329" s="107" t="inlineStr">
        <is>
          <t>Rodney's questions (2026-10-28). Impact read before acting (cancel-impact, change-impact: every affected product grouped with its outcome, and the money). Cancel settles everything under the campaign: unaccepted offers/invites withdrawn, accepted orders not started cancelled (athletes emailed), delivered work still paid, rewards paused, placements released, NEXT ads released or refunded, Zoho Closed Lost. Change: name, dates, budget (not below committed). Applied at once when nothing is in progress; otherwise held for BTG with reasons and BTG admins emailed; BTG approves or declines. Sponsor admin (own) and BTG.</t>
        </is>
      </c>
      <c r="I329" s="108" t="inlineStr">
        <is>
          <t>Ready</t>
        </is>
      </c>
      <c r="J329" s="108" t="n">
        <v>3</v>
      </c>
      <c r="K329" s="163" t="n"/>
      <c r="L329" s="163" t="n"/>
      <c r="M329" s="110" t="inlineStr">
        <is>
          <t>rcfworks</t>
        </is>
      </c>
      <c r="N329" s="81" t="n">
        <v>1</v>
      </c>
      <c r="O329" s="80" t="n"/>
      <c r="P329" s="80" t="inlineStr">
        <is>
          <t>Impact lists every affected product, outcome and money; safe cancel/change applies at once and settles everything under the campaign; unsafe ones held with reasons and BTG emailed; BTG approves or declines; sponsor reaches only own campaigns; tests for outcomes, roles, tenants</t>
        </is>
      </c>
      <c r="Q329" s="82" t="inlineStr">
        <is>
          <t>§7, §21; Phase 2 automation rule</t>
        </is>
      </c>
      <c r="R329" s="111" t="inlineStr">
        <is>
          <t>2026-10-28 (rcfworks): raised from Rodney's questions; the user: automate, email BTG when it won't go through, show what's affected first. API contract in the Phase 1 doc.</t>
        </is>
      </c>
    </row>
    <row r="330" s="75">
      <c r="A330" s="104" t="n">
        <v>157.9992</v>
      </c>
      <c r="B330" s="105" t="inlineStr">
        <is>
          <t>P8-FE-12</t>
        </is>
      </c>
      <c r="C330" s="81" t="n">
        <v>8</v>
      </c>
      <c r="D330" s="82" t="inlineStr">
        <is>
          <t>Integration, Hardening &amp; Launch</t>
        </is>
      </c>
      <c r="E330" s="139" t="inlineStr">
        <is>
          <t>FE</t>
        </is>
      </c>
      <c r="F330" s="120" t="inlineStr">
        <is>
          <t>Code</t>
        </is>
      </c>
      <c r="G330" s="80" t="inlineStr">
        <is>
          <t>Cancel and Change buttons, with what they affect</t>
        </is>
      </c>
      <c r="H330" s="107" t="inlineStr">
        <is>
          <t>Change campaign and Cancel campaign on the sponsor's and BTG's campaign page (Edit campaign, which saves nothing, becomes Change). Before confirming, a modal: 'This affects N products', each group with its count and outcome, the money, BTG-approval note and refusals; Cancel asks for a reason; then the outcome (cancelled / saved / sent to BTG). BTG's Campaign requests list with Approve and Decline.</t>
        </is>
      </c>
      <c r="I330" s="108" t="inlineStr">
        <is>
          <t>Ready</t>
        </is>
      </c>
      <c r="J330" s="108" t="n">
        <v>2</v>
      </c>
      <c r="K330" s="163" t="n"/>
      <c r="L330" s="163" t="n"/>
      <c r="M330" s="110" t="inlineStr">
        <is>
          <t>HeckerCreatives</t>
        </is>
      </c>
      <c r="N330" s="81" t="n">
        <v>0</v>
      </c>
      <c r="O330" s="80" t="inlineStr">
        <is>
          <t>P8-BE-12</t>
        </is>
      </c>
      <c r="P330" s="80" t="inlineStr">
        <is>
          <t>Sponsor admin and BTG can cancel and change from the campaign page; the modal shows affected products, outcomes and money before confirming; held requests say they went to BTG; BTG approves or declines; other roles see no buttons</t>
        </is>
      </c>
      <c r="Q330" s="82" t="inlineStr">
        <is>
          <t>§7, §10</t>
        </is>
      </c>
      <c r="R330" s="111" t="inlineStr">
        <is>
          <t>2026-10-28 (rcfworks): raised for HeckerCreatives (the user). Build against the P8-BE-12 contract in the Phase 1 doc; wire when it lands.</t>
        </is>
      </c>
    </row>
  </sheetData>
  <autoFilter ref="A4:R330"/>
  <mergeCells count="2">
    <mergeCell ref="A2:R2"/>
    <mergeCell ref="A1:R1"/>
  </mergeCells>
  <conditionalFormatting sqref="I5:I330">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330">
    <cfRule type="expression" rank="0" priority="7" equalAverage="0" aboveAverage="0" dxfId="32" text="" percent="0" bottom="0">
      <formula>$I5="Done"</formula>
    </cfRule>
  </conditionalFormatting>
  <conditionalFormatting sqref="N5:N330">
    <cfRule type="cellIs" rank="0" priority="8" equalAverage="0" operator="greaterThanOrEqual" aboveAverage="0" dxfId="33" text="" percent="0" bottom="0">
      <formula>50</formula>
    </cfRule>
  </conditionalFormatting>
  <dataValidations count="1">
    <dataValidation sqref="I5:I330" showDropDown="0" showInputMessage="0" showErrorMessage="0" allowBlank="0" type="list" errorStyle="stop" operator="between">
      <formula1>"Ready,In progress,Code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R14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44" t="inlineStr">
        <is>
          <t>SponsorX — Phase 2 · Marketplace &amp; Athlete Commerce</t>
        </is>
      </c>
    </row>
    <row r="2" ht="15" customHeight="1" s="75">
      <c r="A2" s="77" t="inlineStr">
        <is>
          <t>66 tasks across 9 sprints · external properties, listings, payments, ledger, payouts, wallet</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32.8" customHeight="1" s="75">
      <c r="A5" s="104" t="n">
        <v>1</v>
      </c>
      <c r="B5" s="105" t="inlineStr">
        <is>
          <t>2S0-PMO-01</t>
        </is>
      </c>
      <c r="C5" s="81" t="n">
        <v>0</v>
      </c>
      <c r="D5" s="82" t="inlineStr">
        <is>
          <t>Sprint 0 · Architecture &amp; design</t>
        </is>
      </c>
      <c r="E5" s="104" t="inlineStr">
        <is>
          <t>PMO</t>
        </is>
      </c>
      <c r="F5" s="106" t="inlineStr">
        <is>
          <t>Document</t>
        </is>
      </c>
      <c r="G5" s="80" t="inlineStr">
        <is>
          <t>Define the marketplace state machines</t>
        </is>
      </c>
      <c r="H5" s="107" t="inlineStr">
        <is>
          <t>Write down every lifecycle before code: onboarding, listing, reservation, order, payment, payout, dispute. Phase 2 has far more states than Phase 1 and they interlock — an order cannot pay out if a dispute is open.</t>
        </is>
      </c>
      <c r="I5" s="108" t="inlineStr">
        <is>
          <t>Done</t>
        </is>
      </c>
      <c r="J5" s="108" t="n">
        <v>3</v>
      </c>
      <c r="K5" s="109" t="inlineStr">
        <is>
          <t>2026-09-28</t>
        </is>
      </c>
      <c r="L5" s="109" t="inlineStr">
        <is>
          <t>2026-09-28</t>
        </is>
      </c>
      <c r="M5" s="110" t="inlineStr">
        <is>
          <t>rcfworks</t>
        </is>
      </c>
      <c r="N5" s="81" t="n">
        <v>0</v>
      </c>
      <c r="O5" s="80" t="inlineStr">
        <is>
          <t>Phase 1 complete</t>
        </is>
      </c>
      <c r="P5" s="80" t="inlineStr">
        <is>
          <t>All Phase 2 state machines diagrammed and agreed, with the illegal transitions named explicitly</t>
        </is>
      </c>
      <c r="Q5" s="82" t="inlineStr">
        <is>
          <t>Spec §7, §12</t>
        </is>
      </c>
      <c r="R5" s="111" t="inlineStr">
        <is>
          <t>2026-09-28: SIMULATED — documentation/SponsorX-Phase2-State-Machines.md: onboarding, listing, reservation, order, payment, payout and dispute, each with legal moves and the illegal ones named, plus the interlocks (an open dispute holds every payout). Onboarding implemented exactly as written (2S1-BE-01/03); the rest are the working design for their tasks. For BTG to confirm. | 2026-09-28: Done at the user's instruction — acceptance met, CI green.</t>
        </is>
      </c>
    </row>
    <row r="6" ht="43.25" customHeight="1" s="75">
      <c r="A6" s="112" t="n">
        <v>2</v>
      </c>
      <c r="B6" s="113" t="inlineStr">
        <is>
          <t>2S0-PMO-02</t>
        </is>
      </c>
      <c r="C6" s="85" t="n">
        <v>0</v>
      </c>
      <c r="D6" s="86" t="inlineStr">
        <is>
          <t>Sprint 0 · Architecture &amp; design</t>
        </is>
      </c>
      <c r="E6" s="112" t="inlineStr">
        <is>
          <t>PMO</t>
        </is>
      </c>
      <c r="F6" s="130" t="inlineStr">
        <is>
          <t>Document</t>
        </is>
      </c>
      <c r="G6" s="84" t="inlineStr">
        <is>
          <t>Design the financial ledger model</t>
        </is>
      </c>
      <c r="H6" s="116" t="inlineStr">
        <is>
          <t>The single most important design decision in Phase 2. Order revenue must become ledger entries at contract time, never be recalculated at payout time. Gross → discounts → platform fee → management fee → processing → property share → referral → reserve → available.</t>
        </is>
      </c>
      <c r="I6" s="108" t="inlineStr">
        <is>
          <t>Done</t>
        </is>
      </c>
      <c r="J6" s="108" t="n">
        <v>5</v>
      </c>
      <c r="K6" s="109" t="inlineStr">
        <is>
          <t>2026-09-28</t>
        </is>
      </c>
      <c r="L6" s="109" t="inlineStr">
        <is>
          <t>2026-09-28</t>
        </is>
      </c>
      <c r="M6" s="110" t="inlineStr">
        <is>
          <t>rcfworks</t>
        </is>
      </c>
      <c r="N6" s="85" t="n">
        <v>0</v>
      </c>
      <c r="O6" s="84" t="inlineStr">
        <is>
          <t>Phase 1 complete</t>
        </is>
      </c>
      <c r="P6" s="84" t="inlineStr">
        <is>
          <t>Ledger design reviewed and signed off; the sequential rule order is documented and a worked example reconciles to the cent</t>
        </is>
      </c>
      <c r="Q6" s="86" t="inlineStr">
        <is>
          <t>Spec §7.4</t>
        </is>
      </c>
      <c r="R6" s="111" t="inlineStr">
        <is>
          <t>2026-09-28: SIMULATED design written — documentation/SponsorX-Phase2-Ledger-Design.md: the sequential rule order (gross → discounts → platform → management → processing → property share → referral → reserve → available), rounding (half up; remainders so parts sum exactly), rule precedence, the double-entry accounts and journals, and a worked example that reconciles to the cent (posted and asserted by tests/phase2-ledger.test.ts). Rates are placeholders (commission rules, data not code). WAITING ON: the programme owner's review and sign-off, which is the rest of the acceptance. | 2026-09-28: SIGNED OFF by the programme owner — documentation/SponsorX-Phase2-Ledger-Design.md is the approved design (rule order, rounding, precedence, accounts and journals, worked example to the cent). The RATES remain placeholders for BTG to replace with real ones in /admin/commission (2S5-FE-01); that is data, not a design change.</t>
        </is>
      </c>
    </row>
    <row r="7" ht="43.25" customHeight="1" s="75">
      <c r="A7" s="104" t="n">
        <v>3</v>
      </c>
      <c r="B7" s="105" t="inlineStr">
        <is>
          <t>2S0-PMO-03</t>
        </is>
      </c>
      <c r="C7" s="81" t="n">
        <v>0</v>
      </c>
      <c r="D7" s="82" t="inlineStr">
        <is>
          <t>Sprint 0 · Architecture &amp; design</t>
        </is>
      </c>
      <c r="E7" s="104" t="inlineStr">
        <is>
          <t>PMO</t>
        </is>
      </c>
      <c r="F7" s="136" t="inlineStr">
        <is>
          <t>Vendor console</t>
        </is>
      </c>
      <c r="G7" s="80" t="inlineStr">
        <is>
          <t>Select the marketplace payment provider</t>
        </is>
      </c>
      <c r="H7" s="107" t="inlineStr">
        <is>
          <t>Choose the provider that handles checkout, connected-account onboarding, platform fees, transfers, refunds and disputes. This decision shapes onboarding, payouts and compliance. Use a hosted or embedded flow so you never touch card data.</t>
        </is>
      </c>
      <c r="I7" s="108" t="inlineStr">
        <is>
          <t>Done</t>
        </is>
      </c>
      <c r="J7" s="108" t="n">
        <v>3</v>
      </c>
      <c r="K7" s="109" t="n">
        <v>46301</v>
      </c>
      <c r="L7" s="109" t="n">
        <v>46301</v>
      </c>
      <c r="M7" s="110" t="inlineStr">
        <is>
          <t>rcfworks</t>
        </is>
      </c>
      <c r="N7" s="81" t="n">
        <v>0</v>
      </c>
      <c r="O7" s="80" t="inlineStr">
        <is>
          <t>2S0-PMO-02</t>
        </is>
      </c>
      <c r="P7" s="80" t="inlineStr">
        <is>
          <t>Provider selected, contract in place, sandbox credentials issued, and the adapter interface agreed so it stays swappable</t>
        </is>
      </c>
      <c r="Q7" s="82" t="inlineStr">
        <is>
          <t>Spec §10</t>
        </is>
      </c>
      <c r="R7" s="111" t="inlineStr">
        <is>
          <t>2026-09-28 WAITING ON: the programme owner's decision — choose the payment provider, put the contract in place and issue sandbox credentials. Its dependency, the ledger design (2S0-PMO-02), is signed off. This one decision unblocks checkout, webhooks, payout accounts, refunds and disputes, payouts and wallet passes. | Stripe chosen by the owner 2026-10-06. Connect set up as a marketplace (you collect payments and pay recipients) in the BTG sandbox; sandbox keys stored in Railway staging (STRIPE_SECRET_KEY on api, STRIPE_PUBLISHABLE_KEY on api and web), never in chat. Contract: the Stripe Services Agreement accepted on BTG account. Adapter interface: backend/src/lib/payment-provider.ts.</t>
        </is>
      </c>
    </row>
    <row r="8" ht="32.8" customHeight="1" s="75">
      <c r="A8" s="112" t="n">
        <v>6</v>
      </c>
      <c r="B8" s="113" t="inlineStr">
        <is>
          <t>2S0-SEC-01</t>
        </is>
      </c>
      <c r="C8" s="85" t="n">
        <v>0</v>
      </c>
      <c r="D8" s="86" t="inlineStr">
        <is>
          <t>Sprint 0 · Architecture &amp; design</t>
        </is>
      </c>
      <c r="E8" s="142" t="inlineStr">
        <is>
          <t>SEC</t>
        </is>
      </c>
      <c r="F8" s="122" t="inlineStr">
        <is>
          <t>Code</t>
        </is>
      </c>
      <c r="G8" s="84" t="inlineStr">
        <is>
          <t>Payments and PII security review</t>
        </is>
      </c>
      <c r="H8" s="116" t="inlineStr">
        <is>
          <t>Review the design before build: card data never touches your servers, payout account data stays at the provider, verification documents are in private storage, PII is masked in logs.</t>
        </is>
      </c>
      <c r="I8" s="108" t="inlineStr">
        <is>
          <t>Done</t>
        </is>
      </c>
      <c r="J8" s="108" t="n">
        <v>3</v>
      </c>
      <c r="K8" s="109" t="n">
        <v>46301</v>
      </c>
      <c r="L8" s="109" t="n">
        <v>46301</v>
      </c>
      <c r="M8" s="110" t="inlineStr">
        <is>
          <t>rcfworks</t>
        </is>
      </c>
      <c r="N8" s="85" t="n">
        <v>0</v>
      </c>
      <c r="O8" s="84" t="inlineStr">
        <is>
          <t>2S0-PMO-03</t>
        </is>
      </c>
      <c r="P8" s="84" t="inlineStr">
        <is>
          <t>Security review complete with findings closed or accepted in writing</t>
        </is>
      </c>
      <c r="Q8" s="86" t="inlineStr">
        <is>
          <t>Spec §3, §38</t>
        </is>
      </c>
      <c r="R8" s="111" t="inlineStr">
        <is>
          <t>2026-09-28 WAITING ON: the payment provider choice (2S0-PMO-03 — the programme owner's decision: provider, contract, sandbox credentials). | Unblocked 2026-10-06: its only dependency, 2S0-PMO-03, is Done. | Review in documentation/SponsorX-Payments-PII-Review-2026-10.md. Card data: pass (hosted Checkout; webhook payloads minimised; refused webhooks no longer store raw events, migration 20261006043000). Payout account data: pass (id + status only). Verification documents: pass (private bucket, audited 5-min links; bucket-separation boot guard). Logs: fixed (logError/redactForLog on every console.error; Stripe scrub masks emails). Owner decisions 2026-10-06: O1 (support files by link not email), O2 (attachment retention), O4 (Zoho bodies trimmed after 90 days), O5 (card numbers refused in notes) fixed; O3 and O6 accepted in writing. payments-pii.test (+ phase2-support, tenant-isolation). Backend 2910 tests.</t>
        </is>
      </c>
    </row>
    <row r="9" ht="32.8" customHeight="1" s="75">
      <c r="A9" s="104" t="n">
        <v>7</v>
      </c>
      <c r="B9" s="105" t="inlineStr">
        <is>
          <t>2S0-ART-01</t>
        </is>
      </c>
      <c r="C9" s="81" t="n">
        <v>0</v>
      </c>
      <c r="D9" s="82" t="inlineStr">
        <is>
          <t>Sprint 0 · Architecture &amp; design</t>
        </is>
      </c>
      <c r="E9" s="117" t="inlineStr">
        <is>
          <t>ART</t>
        </is>
      </c>
      <c r="F9" s="118" t="inlineStr">
        <is>
          <t>Design tool</t>
        </is>
      </c>
      <c r="G9" s="80" t="inlineStr">
        <is>
          <t>Design the marketplace, onboarding and portal experience</t>
        </is>
      </c>
      <c r="H9" s="107" t="inlineStr">
        <is>
          <t>Fourteen new screens across onboarding, athlete and team portals, listing editor, cart, checkout, earnings and operations. Design before build — checkout in particular is where confusion costs money.</t>
        </is>
      </c>
      <c r="I9" s="108" t="inlineStr">
        <is>
          <t>Done</t>
        </is>
      </c>
      <c r="J9" s="108" t="n">
        <v>5</v>
      </c>
      <c r="K9" s="109" t="n">
        <v>46294</v>
      </c>
      <c r="L9" s="109" t="n">
        <v>46296</v>
      </c>
      <c r="M9" s="110" t="inlineStr">
        <is>
          <t>rcfworks</t>
        </is>
      </c>
      <c r="N9" s="81" t="n">
        <v>0</v>
      </c>
      <c r="O9" s="80" t="inlineStr">
        <is>
          <t>2S0-PMO-01</t>
        </is>
      </c>
      <c r="P9" s="80" t="inlineStr">
        <is>
          <t>All 14 Phase 2 screens designed, with the onboarding wizard and checkout flows walked end to end</t>
        </is>
      </c>
      <c r="Q9" s="82" t="inlineStr">
        <is>
          <t>Spec §6</t>
        </is>
      </c>
      <c r="R9" s="111" t="inlineStr">
        <is>
          <t xml:space="preserve"> Designed 2026-09-29 by Claude Design: https://claude.ai/artifact/RNykbEaHgkiMppTXandrrB — all 14 screens, 144 artboards, onboarding and cart-to-checkout walked as flows.</t>
        </is>
      </c>
    </row>
    <row r="10" ht="32.8" customHeight="1" s="75">
      <c r="A10" s="112" t="n">
        <v>8</v>
      </c>
      <c r="B10" s="113" t="inlineStr">
        <is>
          <t>2S0-OPS-01</t>
        </is>
      </c>
      <c r="C10" s="85" t="n">
        <v>0</v>
      </c>
      <c r="D10" s="86" t="inlineStr">
        <is>
          <t>Sprint 0 · Architecture &amp; design</t>
        </is>
      </c>
      <c r="E10" s="123" t="inlineStr">
        <is>
          <t>OPS</t>
        </is>
      </c>
      <c r="F10" s="130" t="inlineStr">
        <is>
          <t>Document</t>
        </is>
      </c>
      <c r="G10" s="84" t="inlineStr">
        <is>
          <t>Define RPO and RTO targets</t>
        </is>
      </c>
      <c r="H10" s="116" t="inlineStr">
        <is>
          <t>Once real money moves, 'we restore from last night's backup' stops being acceptable. The spec suggests RPO ≤ 1 hour and RTO ≤ 4 hours as an early target.</t>
        </is>
      </c>
      <c r="I10" s="108" t="inlineStr">
        <is>
          <t>Done</t>
        </is>
      </c>
      <c r="J10" s="108" t="n">
        <v>1</v>
      </c>
      <c r="K10" s="109" t="n">
        <v>46302</v>
      </c>
      <c r="L10" s="109" t="n">
        <v>46302</v>
      </c>
      <c r="M10" s="110" t="inlineStr">
        <is>
          <t>rcfworks</t>
        </is>
      </c>
      <c r="N10" s="85" t="n">
        <v>0</v>
      </c>
      <c r="O10" s="84" t="inlineStr">
        <is>
          <t>Phase 1 complete</t>
        </is>
      </c>
      <c r="P10" s="84" t="inlineStr">
        <is>
          <t>Formal RPO/RTO targets agreed and the backup strategy adjusted to meet them</t>
        </is>
      </c>
      <c r="Q10" s="86" t="inlineStr">
        <is>
          <t>Spec §38</t>
        </is>
      </c>
      <c r="R10" s="111" t="inlineStr">
        <is>
          <t>2026-09-28 WAITING ON: Phase 1 completion. | 2026-10-07: owner agreed RPO &lt;= 1 hour, RTO &lt;= 4 hours. Current backups already meet them (PITR on both environments with continuous WAL archiving, last archive minutes old; daily/weekly backups, plus monthly in production), recorded in documentation/SponsorX-Database-Backup-Runbook.md. RTO proven by 2S8-OPS-01.</t>
        </is>
      </c>
    </row>
    <row r="11" ht="32.8" customHeight="1" s="75">
      <c r="A11" s="104" t="n">
        <v>9</v>
      </c>
      <c r="B11" s="105" t="inlineStr">
        <is>
          <t>2S1-BE-01</t>
        </is>
      </c>
      <c r="C11" s="81" t="n">
        <v>1</v>
      </c>
      <c r="D11" s="82" t="inlineStr">
        <is>
          <t>Sprint 1 · External property onboarding</t>
        </is>
      </c>
      <c r="E11" s="139" t="inlineStr">
        <is>
          <t>BE</t>
        </is>
      </c>
      <c r="F11" s="120" t="inlineStr">
        <is>
          <t>Code</t>
        </is>
      </c>
      <c r="G11" s="80" t="inlineStr">
        <is>
          <t>Property onboarding model and wizard API</t>
        </is>
      </c>
      <c r="H11" s="107" t="inlineStr">
        <is>
          <t>The data behind the 5–7 step wizard: organisation, type, contacts, business details, tax and payout details, agreements, review and submit. Required fields vary by organisation type and jurisdiction.</t>
        </is>
      </c>
      <c r="I11" s="108" t="inlineStr">
        <is>
          <t>Done</t>
        </is>
      </c>
      <c r="J11" s="108" t="n">
        <v>5</v>
      </c>
      <c r="K11" s="109" t="inlineStr">
        <is>
          <t>2026-09-28</t>
        </is>
      </c>
      <c r="L11" s="109" t="inlineStr">
        <is>
          <t>2026-09-28</t>
        </is>
      </c>
      <c r="M11" s="110" t="inlineStr">
        <is>
          <t>rcfworks</t>
        </is>
      </c>
      <c r="N11" s="81" t="n">
        <v>0</v>
      </c>
      <c r="O11" s="80" t="inlineStr">
        <is>
          <t>2S0-PMO-01</t>
        </is>
      </c>
      <c r="P11" s="80" t="inlineStr">
        <is>
          <t>An external organisation can complete and submit onboarding through the API without database intervention</t>
        </is>
      </c>
      <c r="Q11" s="82" t="inlineStr">
        <is>
          <t>Spec §7.1, §9</t>
        </is>
      </c>
      <c r="R11" s="111" t="inlineStr">
        <is>
          <t>2026-09-28: PropertyOnboarding + public wizard API by signed resume token (own HMAC purpose): POST /public/onboarding, GET/PATCH /public/onboarding/{token} (organisation · contacts · business · payout · agreements, each saved on its own), POST .../submit (refused with the missing-field list). Required fields vary by org type (TEAM/SCHOOL/EVENT/MEDIA/VIRTUAL strict schemas) and state (registration number in CA/NY/TX/FL/IL for commercial orgs — SIMULATED list). NO tax id / bank details: strict schemas refuse them; payout step records only an acknowledgement that the provider collects them. Test: an organisation completes and submits over HTTP alone (mutation-checked). | 2026-09-28: Done at the user's instruction — acceptance met, CI green.</t>
        </is>
      </c>
    </row>
    <row r="12" ht="32.8" customHeight="1" s="75">
      <c r="A12" s="112" t="n">
        <v>10</v>
      </c>
      <c r="B12" s="113" t="inlineStr">
        <is>
          <t>2S1-BE-02</t>
        </is>
      </c>
      <c r="C12" s="85" t="n">
        <v>1</v>
      </c>
      <c r="D12" s="86" t="inlineStr">
        <is>
          <t>Sprint 1 · External property onboarding</t>
        </is>
      </c>
      <c r="E12" s="137" t="inlineStr">
        <is>
          <t>BE</t>
        </is>
      </c>
      <c r="F12" s="122" t="inlineStr">
        <is>
          <t>Code</t>
        </is>
      </c>
      <c r="G12" s="84" t="inlineStr">
        <is>
          <t>Verification document handling</t>
        </is>
      </c>
      <c r="H12" s="116" t="inlineStr">
        <is>
          <t>Supporting documents — proof of rights to sell inventory, business registration, identity — uploaded to private storage and attached to the onboarding record.</t>
        </is>
      </c>
      <c r="I12" s="108" t="inlineStr">
        <is>
          <t>Done</t>
        </is>
      </c>
      <c r="J12" s="108" t="n">
        <v>3</v>
      </c>
      <c r="K12" s="109" t="inlineStr">
        <is>
          <t>2026-09-28</t>
        </is>
      </c>
      <c r="L12" s="109" t="inlineStr">
        <is>
          <t>2026-09-28</t>
        </is>
      </c>
      <c r="M12" s="110" t="inlineStr">
        <is>
          <t>rcfworks</t>
        </is>
      </c>
      <c r="N12" s="85" t="n">
        <v>0</v>
      </c>
      <c r="O12" s="84" t="inlineStr">
        <is>
          <t>2S1-BE-01</t>
        </is>
      </c>
      <c r="P12" s="84" t="inlineStr">
        <is>
          <t>Documents upload to the private bucket, are reviewable by an admin, and are never publicly reachable</t>
        </is>
      </c>
      <c r="Q12" s="86" t="inlineStr">
        <is>
          <t>Spec §9</t>
        </is>
      </c>
      <c r="R12" s="111" t="inlineStr">
        <is>
          <t>2026-09-28: POST /public/onboarding/{token}/documents hands the applicant a presigned PUT to the PRIVATE bucket for one key (onboarding/&lt;id&gt;/&lt;doc&gt;-&lt;safe name&gt;; PDF/JPEG/PNG, ≤20 MB, ≤12 per application, editable states only), audited as a private upload grant. …/documents/{id}/confirm attaches it only once a HEAD finds the object. BTG reads via GET /onboarding/{id}/documents — each link an audited 15-minute private download grant; sponsors 403, anonymous 401. The applicant never gets a read URL, not even of its own file; no public-bucket path exists in the module. Model OnboardingDocument, migration 20260928130000. Tests: tests/property-onboarding.test.ts (2S1-BE-02 block), mutation-checked.</t>
        </is>
      </c>
    </row>
    <row r="13" ht="35.05" customHeight="1" s="75">
      <c r="A13" s="104" t="n">
        <v>11</v>
      </c>
      <c r="B13" s="105" t="inlineStr">
        <is>
          <t>2S1-BE-03</t>
        </is>
      </c>
      <c r="C13" s="81" t="n">
        <v>1</v>
      </c>
      <c r="D13" s="82" t="inlineStr">
        <is>
          <t>Sprint 1 · External property onboarding</t>
        </is>
      </c>
      <c r="E13" s="139" t="inlineStr">
        <is>
          <t>BE</t>
        </is>
      </c>
      <c r="F13" s="120" t="inlineStr">
        <is>
          <t>Code</t>
        </is>
      </c>
      <c r="G13" s="80" t="inlineStr">
        <is>
          <t>Verification queue and decision workflow</t>
        </is>
      </c>
      <c r="H13" s="107" t="inlineStr">
        <is>
          <t>BTG reviews a submitted property and approves, requests changes, rejects or suspends. Approval is what unlocks listing creation.</t>
        </is>
      </c>
      <c r="I13" s="108" t="inlineStr">
        <is>
          <t>Done</t>
        </is>
      </c>
      <c r="J13" s="108" t="n">
        <v>3</v>
      </c>
      <c r="K13" s="109" t="inlineStr">
        <is>
          <t>2026-09-28</t>
        </is>
      </c>
      <c r="L13" s="109" t="inlineStr">
        <is>
          <t>2026-09-28</t>
        </is>
      </c>
      <c r="M13" s="110" t="inlineStr">
        <is>
          <t>rcfworks</t>
        </is>
      </c>
      <c r="N13" s="81" t="n">
        <v>0</v>
      </c>
      <c r="O13" s="80" t="inlineStr">
        <is>
          <t>2S1-BE-01</t>
        </is>
      </c>
      <c r="P13" s="80" t="inlineStr">
        <is>
          <t>A reviewer can action every decision type; PENDING_REVIEW to APPROVED grants listing access and is audited</t>
        </is>
      </c>
      <c r="Q13" s="82" t="inlineStr">
        <is>
          <t>Spec §7.1</t>
        </is>
      </c>
      <c r="R13" s="111" t="inlineStr">
        <is>
          <t>2026-09-28: GET /onboarding (verification queue), POST /onboarding/{id}/decision — APPROVE, REQUEST_CHANGES, REJECT, SUSPEND, REINSTATE (notes required for the refusals/pause), per the state-machine doc. PENDING_REVIEW → APPROVED creates the Property and grants listing access (Property.listingAccessAt), audited with reviewer and before/after; SUSPEND withdraws access, REINSTATE restores it on the same Property. BTG only (matrix §16 propertyOnboarding). Listing creation will check listingAccessAt when the listing engine lands (2S3-BE-01). | 2026-09-28: Done at the user's instruction — acceptance met, CI green.</t>
        </is>
      </c>
    </row>
    <row r="14" ht="32.8" customHeight="1" s="75">
      <c r="A14" s="112" t="n">
        <v>12</v>
      </c>
      <c r="B14" s="113" t="inlineStr">
        <is>
          <t>2S1-BE-04</t>
        </is>
      </c>
      <c r="C14" s="85" t="n">
        <v>1</v>
      </c>
      <c r="D14" s="86" t="inlineStr">
        <is>
          <t>Sprint 1 · External property onboarding</t>
        </is>
      </c>
      <c r="E14" s="137" t="inlineStr">
        <is>
          <t>BE</t>
        </is>
      </c>
      <c r="F14" s="122" t="inlineStr">
        <is>
          <t>Code</t>
        </is>
      </c>
      <c r="G14" s="84" t="inlineStr">
        <is>
          <t>External tenant provisioning and permissions</t>
        </is>
      </c>
      <c r="H14" s="116" t="inlineStr">
        <is>
          <t>Approving a property creates its tenant and role assignments. This is where Phase 1's tenant scoping gets its real test — outside organisations now hold accounts.</t>
        </is>
      </c>
      <c r="I14" s="108" t="inlineStr">
        <is>
          <t>Done</t>
        </is>
      </c>
      <c r="J14" s="108" t="n">
        <v>5</v>
      </c>
      <c r="K14" s="109" t="inlineStr">
        <is>
          <t>2026-09-28</t>
        </is>
      </c>
      <c r="L14" s="109" t="inlineStr">
        <is>
          <t>2026-09-28</t>
        </is>
      </c>
      <c r="M14" s="110" t="inlineStr">
        <is>
          <t>rcfworks</t>
        </is>
      </c>
      <c r="N14" s="85" t="n">
        <v>0</v>
      </c>
      <c r="O14" s="84" t="inlineStr">
        <is>
          <t>2S1-BE-03</t>
        </is>
      </c>
      <c r="P14" s="84" t="inlineStr">
        <is>
          <t>An approved property's users see only their own tenant's data; cross-tenant tests pass</t>
        </is>
      </c>
      <c r="Q14" s="86" t="inlineStr">
        <is>
          <t>Spec §3, §12</t>
        </is>
      </c>
      <c r="R14" s="111" t="inlineStr">
        <is>
          <t>2026-09-28: the first APPROVE provisions a NEW tenant for the organisation — Tenant, its Property there (listing access), and a PROPERTY_MGR account for the primary contact linked to it (placeholder claimed on first sign-in via resolveActor), all in the decision's transaction, audited (tenant.provision in the new tenant; approval row records tenantId). An address that already has an account is refused 409 and nothing is provisioned. Onboarding record stays with BTG. Tests: property-onboarding.test.ts (two orgs → two tenants; each manager's /me and /properties/mine; no BTG queue/application/document access) and the full cross-tenant sweep (tests/tenant-isolation.test.ts), mutation-checked. RBAC matrix §16 note.</t>
        </is>
      </c>
    </row>
    <row r="15" ht="35.05" customHeight="1" s="75">
      <c r="A15" s="104" t="n">
        <v>13</v>
      </c>
      <c r="B15" s="105" t="inlineStr">
        <is>
          <t>2S1-FE-01</t>
        </is>
      </c>
      <c r="C15" s="81" t="n">
        <v>1</v>
      </c>
      <c r="D15" s="82" t="inlineStr">
        <is>
          <t>Sprint 1 · External property onboarding</t>
        </is>
      </c>
      <c r="E15" s="119" t="inlineStr">
        <is>
          <t>FE</t>
        </is>
      </c>
      <c r="F15" s="120" t="inlineStr">
        <is>
          <t>Code</t>
        </is>
      </c>
      <c r="G15" s="80" t="inlineStr">
        <is>
          <t>Build the property onboarding wizard</t>
        </is>
      </c>
      <c r="H15" s="107" t="inlineStr">
        <is>
          <t>The public-facing multi-step signup. Must save progress — organisations will not complete it in one sitting.</t>
        </is>
      </c>
      <c r="I15" s="108" t="inlineStr">
        <is>
          <t>Done</t>
        </is>
      </c>
      <c r="J15" s="108" t="n">
        <v>5</v>
      </c>
      <c r="K15" s="109" t="n">
        <v>46294</v>
      </c>
      <c r="L15" s="109" t="n">
        <v>46296</v>
      </c>
      <c r="M15" s="110" t="inlineStr">
        <is>
          <t>rcfworks</t>
        </is>
      </c>
      <c r="N15" s="81" t="n">
        <v>0</v>
      </c>
      <c r="O15" s="80" t="inlineStr">
        <is>
          <t>2S0-ART-01</t>
        </is>
      </c>
      <c r="P15" s="80" t="inlineStr">
        <is>
          <t>Wizard completes end to end, saves partial progress, and validates per organisation type</t>
        </is>
      </c>
      <c r="Q15" s="82" t="inlineStr">
        <is>
          <t>Spec §6 P2-01</t>
        </is>
      </c>
      <c r="R15" s="111" t="n"/>
    </row>
    <row r="16" ht="32.8" customHeight="1" s="75">
      <c r="A16" s="112" t="n">
        <v>14</v>
      </c>
      <c r="B16" s="113" t="inlineStr">
        <is>
          <t>2S1-FE-02</t>
        </is>
      </c>
      <c r="C16" s="85" t="n">
        <v>1</v>
      </c>
      <c r="D16" s="86" t="inlineStr">
        <is>
          <t>Sprint 1 · External property onboarding</t>
        </is>
      </c>
      <c r="E16" s="121" t="inlineStr">
        <is>
          <t>FE</t>
        </is>
      </c>
      <c r="F16" s="122" t="inlineStr">
        <is>
          <t>Code</t>
        </is>
      </c>
      <c r="G16" s="84" t="inlineStr">
        <is>
          <t>Build the verification queue screen</t>
        </is>
      </c>
      <c r="H16" s="116" t="inlineStr">
        <is>
          <t>The BTG admin review screen: submitted profile, documents, brand-safety status, payout readiness, and the four decision buttons.</t>
        </is>
      </c>
      <c r="I16" s="108" t="inlineStr">
        <is>
          <t>Done</t>
        </is>
      </c>
      <c r="J16" s="108" t="n">
        <v>3</v>
      </c>
      <c r="K16" s="109" t="n">
        <v>46294</v>
      </c>
      <c r="L16" s="109" t="n">
        <v>46296</v>
      </c>
      <c r="M16" s="110" t="inlineStr">
        <is>
          <t>rcfworks</t>
        </is>
      </c>
      <c r="N16" s="85" t="n">
        <v>0</v>
      </c>
      <c r="O16" s="84" t="inlineStr">
        <is>
          <t>2S1-BE-03</t>
        </is>
      </c>
      <c r="P16" s="84" t="inlineStr">
        <is>
          <t>Reviewer can work the queue and action decisions with reasons recorded</t>
        </is>
      </c>
      <c r="Q16" s="86" t="inlineStr">
        <is>
          <t>Spec §6 P2-02</t>
        </is>
      </c>
      <c r="R16" s="111" t="n"/>
    </row>
    <row r="17" ht="23.85" customHeight="1" s="75">
      <c r="A17" s="104" t="n">
        <v>15</v>
      </c>
      <c r="B17" s="105" t="inlineStr">
        <is>
          <t>2S1-INT-01</t>
        </is>
      </c>
      <c r="C17" s="81" t="n">
        <v>1</v>
      </c>
      <c r="D17" s="82" t="inlineStr">
        <is>
          <t>Sprint 1 · External property onboarding</t>
        </is>
      </c>
      <c r="E17" s="138" t="inlineStr">
        <is>
          <t>INT</t>
        </is>
      </c>
      <c r="F17" s="120" t="inlineStr">
        <is>
          <t>Code</t>
        </is>
      </c>
      <c r="G17" s="80" t="inlineStr">
        <is>
          <t>Onboarding notification jobs</t>
        </is>
      </c>
      <c r="H17" s="107" t="inlineStr">
        <is>
          <t>Emails for submission received, changes requested, approved, rejected and suspended.</t>
        </is>
      </c>
      <c r="I17" s="108" t="inlineStr">
        <is>
          <t>Done</t>
        </is>
      </c>
      <c r="J17" s="108" t="n">
        <v>1</v>
      </c>
      <c r="K17" s="109" t="inlineStr">
        <is>
          <t>2026-09-28</t>
        </is>
      </c>
      <c r="L17" s="109" t="inlineStr">
        <is>
          <t>2026-09-28</t>
        </is>
      </c>
      <c r="M17" s="110" t="inlineStr">
        <is>
          <t>rcfworks</t>
        </is>
      </c>
      <c r="N17" s="81" t="n">
        <v>0</v>
      </c>
      <c r="O17" s="80" t="inlineStr">
        <is>
          <t>2S1-BE-03</t>
        </is>
      </c>
      <c r="P17" s="80" t="inlineStr">
        <is>
          <t>All five notifications send as queued jobs and retry on failure</t>
        </is>
      </c>
      <c r="Q17" s="82" t="inlineStr">
        <is>
          <t>Spec §10</t>
        </is>
      </c>
      <c r="R17" s="111" t="inlineStr">
        <is>
          <t>2026-09-28: five templates — onboarding.received / changesRequested / approved / rejected / suspended — queued via send() inside the submit/decision transaction (a rolled-back decision announces nothing), to the primary contact, reviewer notes quoted, resume link on changes requested, portal link on approval; idempotency key counts the moment, not the clock. Retry: worker/queue-policy.mts gives notify.email retryLimit 6, 30 s exponential backoff, applied create-then-update so existing queues adopt it. tests/email-retry.test.ts proves it on a real pg-boss: vendor refuses attempt 1, retry sends, exactly once. REINSTATE sends none (not one of the five).</t>
        </is>
      </c>
    </row>
    <row r="18" ht="23.85" customHeight="1" s="75">
      <c r="A18" s="112" t="n">
        <v>16</v>
      </c>
      <c r="B18" s="113" t="inlineStr">
        <is>
          <t>2S2-BE-01</t>
        </is>
      </c>
      <c r="C18" s="85" t="n">
        <v>2</v>
      </c>
      <c r="D18" s="86" t="inlineStr">
        <is>
          <t>Sprint 2 · Athlete &amp; team portals</t>
        </is>
      </c>
      <c r="E18" s="137" t="inlineStr">
        <is>
          <t>BE</t>
        </is>
      </c>
      <c r="F18" s="122" t="inlineStr">
        <is>
          <t>Code</t>
        </is>
      </c>
      <c r="G18" s="84" t="inlineStr">
        <is>
          <t>Athlete inventory model</t>
        </is>
      </c>
      <c r="H18" s="116" t="inlineStr">
        <is>
          <t>External athletes define their own NIL items, rates, availability, categories, restrictions and package rules — rather than BTG setting rates for them as in Phase 1.</t>
        </is>
      </c>
      <c r="I18" s="108" t="inlineStr">
        <is>
          <t>Done</t>
        </is>
      </c>
      <c r="J18" s="108" t="n">
        <v>5</v>
      </c>
      <c r="K18" s="109" t="inlineStr">
        <is>
          <t>2026-09-28</t>
        </is>
      </c>
      <c r="L18" s="109" t="inlineStr">
        <is>
          <t>2026-09-28</t>
        </is>
      </c>
      <c r="M18" s="110" t="inlineStr">
        <is>
          <t>rcfworks</t>
        </is>
      </c>
      <c r="N18" s="85" t="n">
        <v>0</v>
      </c>
      <c r="O18" s="84" t="inlineStr">
        <is>
          <t>2S1-BE-04</t>
        </is>
      </c>
      <c r="P18" s="84" t="inlineStr">
        <is>
          <t>An athlete can create, edit and price inventory items scoped to their own account</t>
        </is>
      </c>
      <c r="Q18" s="86" t="inlineStr">
        <is>
          <t>Spec §6 P2-04</t>
        </is>
      </c>
      <c r="R18" s="111" t="inlineStr">
        <is>
          <t>2026-09-28: InventoryItem (athlete- or team-owned, exactly one — DB CHECK): kind, catalogue job, price (whole cents ≥ $1), quantity, availability window, suited/restricted brand categories (never both), strict package rules; version bumps on reprice (audited). GET/POST /inventory, GET/PATCH /inventory/{id}. The owner is always the caller — no request names one (strict body). Another athlete: 403 on read and reprice; BTG reads (operated) but cannot write; an unapproved athlete cannot sell. Price/quantity refused while a listing is PUBLISHED. Tests: tests/phase2-marketplace.test.ts, mutation-checked; cross-tenant sweep extended.</t>
        </is>
      </c>
    </row>
    <row r="19" ht="23.85" customHeight="1" s="75">
      <c r="A19" s="104" t="n">
        <v>17</v>
      </c>
      <c r="B19" s="105" t="inlineStr">
        <is>
          <t>2S2-BE-02</t>
        </is>
      </c>
      <c r="C19" s="81" t="n">
        <v>2</v>
      </c>
      <c r="D19" s="82" t="inlineStr">
        <is>
          <t>Sprint 2 · Athlete &amp; team portals</t>
        </is>
      </c>
      <c r="E19" s="139" t="inlineStr">
        <is>
          <t>BE</t>
        </is>
      </c>
      <c r="F19" s="120" t="inlineStr">
        <is>
          <t>Code</t>
        </is>
      </c>
      <c r="G19" s="80" t="inlineStr">
        <is>
          <t>Brand restrictions and conflict model</t>
        </is>
      </c>
      <c r="H19" s="107" t="inlineStr">
        <is>
          <t>Extends Phase 1's restriction list into a first-class table with category, restriction type and date range — it now has to block purchases, not just invitations.</t>
        </is>
      </c>
      <c r="I19" s="108" t="inlineStr">
        <is>
          <t>Done</t>
        </is>
      </c>
      <c r="J19" s="108" t="n">
        <v>3</v>
      </c>
      <c r="K19" s="109" t="inlineStr">
        <is>
          <t>2026-09-28</t>
        </is>
      </c>
      <c r="L19" s="109" t="inlineStr">
        <is>
          <t>2026-09-28</t>
        </is>
      </c>
      <c r="M19" s="110" t="inlineStr">
        <is>
          <t>rcfworks</t>
        </is>
      </c>
      <c r="N19" s="81" t="n">
        <v>0</v>
      </c>
      <c r="O19" s="80" t="inlineStr">
        <is>
          <t>2S2-BE-01</t>
        </is>
      </c>
      <c r="P19" s="80" t="inlineStr">
        <is>
          <t>A restricted category blocks listing purchase and campaign offer for the overlapping date range</t>
        </is>
      </c>
      <c r="Q19" s="82" t="inlineStr">
        <is>
          <t>Spec §9</t>
        </is>
      </c>
      <c r="R19" s="111" t="inlineStr">
        <is>
          <t>2026-09-28: BrandRestriction (athlete or team, category, type PROHIBITED/LEAGUE_RULE/SCHOOL_POLICY/EXCLUSIVITY, date range — open-ended when null; DB CHECKs); Sponsor.categories (set by BTG only; seed sponsor simulated AUTOMOTIVE). One shared check, restrictionConflicts — athlete's own, their team's (covers the roster), Phase 1 profile restrictedCategories as open-ended — asked by every purchase path (cart line), by the formal offer on draft and again on accept, and by the Phase 1 invitation (no road around it). Windows compared by whole UTC days. An accepted offer with exclusivityDays writes EXCLUSIVITY for the sponsor's categories; contractual — only SUPER_ADMIN removes it. GET/POST/DELETE /restrictions, PUT /sponsors/{id}/categories. Proven: a team league rule blocks the listing purchase in its dates and not outside; an athlete restriction blocks the offer (and invitation) for an overlapping campaign and not a later one; exclusivity blocks a rival. Tests: tests/phase2-purchase.test.ts, mutation-checked.</t>
        </is>
      </c>
    </row>
    <row r="20" ht="32.8" customHeight="1" s="75">
      <c r="A20" s="112" t="n">
        <v>18</v>
      </c>
      <c r="B20" s="113" t="inlineStr">
        <is>
          <t>2S2-BE-03</t>
        </is>
      </c>
      <c r="C20" s="85" t="n">
        <v>2</v>
      </c>
      <c r="D20" s="86" t="inlineStr">
        <is>
          <t>Sprint 2 · Athlete &amp; team portals</t>
        </is>
      </c>
      <c r="E20" s="137" t="inlineStr">
        <is>
          <t>BE</t>
        </is>
      </c>
      <c r="F20" s="122" t="inlineStr">
        <is>
          <t>Code</t>
        </is>
      </c>
      <c r="G20" s="84" t="inlineStr">
        <is>
          <t>Formal athlete offer model</t>
        </is>
      </c>
      <c r="H20" s="116" t="inlineStr">
        <is>
          <t>Phase 2's offer is a commercial instrument, not an invitation: brief, compensation, deliverables, usage rights, exclusivity period, disclosures. Acceptance creates an immutable terms snapshot.</t>
        </is>
      </c>
      <c r="I20" s="108" t="inlineStr">
        <is>
          <t>Done</t>
        </is>
      </c>
      <c r="J20" s="108" t="n">
        <v>5</v>
      </c>
      <c r="K20" s="109" t="inlineStr">
        <is>
          <t>2026-09-28</t>
        </is>
      </c>
      <c r="L20" s="109" t="inlineStr">
        <is>
          <t>2026-09-28</t>
        </is>
      </c>
      <c r="M20" s="110" t="inlineStr">
        <is>
          <t>rcfworks</t>
        </is>
      </c>
      <c r="N20" s="85" t="n">
        <v>0</v>
      </c>
      <c r="O20" s="84" t="inlineStr">
        <is>
          <t>2S2-BE-01</t>
        </is>
      </c>
      <c r="P20" s="84" t="inlineStr">
        <is>
          <t>Accepting an offer freezes commercial terms and schedules deliverables; later rate-card edits do not alter it</t>
        </is>
      </c>
      <c r="Q20" s="86" t="inlineStr">
        <is>
          <t>Spec §7.3</t>
        </is>
      </c>
      <c r="R20" s="111" t="inlineStr">
        <is>
          <t>2026-09-28: Offer (brief, pay, sell price, scheduled deliverables, usage rights, exclusivity days, disclosures, expiry) on a campaign in BTG's tenant; must clear the margin floor and budget. Send hashes and fixes the terms; the athlete accepts the hash shown with agreement evidence (guardian gate via acceptAgreementIn), in ONE transaction: immutable terms snapshot, CampaignOrder created ACCEPTED at the offer's own figures, a NOT_STARTED Deliverable per line, PENDING earning. Postgres trigger offer_terms_immutable refuses any change to terms once SENT and to the snapshot/state once ACCEPTED. Proven: a new rate-card version and an inventory reprice after acceptance leave offer, snapshot and order unchanged. sellPrice withheld from the athlete. Offers stay in one tenant for now (outside-team offers come with 2S4). Tests: tests/phase2-marketplace.test.ts, mutation-checked.</t>
        </is>
      </c>
    </row>
    <row r="21" ht="32.8" customHeight="1" s="75">
      <c r="A21" s="104" t="n">
        <v>19</v>
      </c>
      <c r="B21" s="105" t="inlineStr">
        <is>
          <t>2S2-BE-04</t>
        </is>
      </c>
      <c r="C21" s="81" t="n">
        <v>2</v>
      </c>
      <c r="D21" s="82" t="inlineStr">
        <is>
          <t>Sprint 2 · Athlete &amp; team portals</t>
        </is>
      </c>
      <c r="E21" s="139" t="inlineStr">
        <is>
          <t>BE</t>
        </is>
      </c>
      <c r="F21" s="120" t="inlineStr">
        <is>
          <t>Code</t>
        </is>
      </c>
      <c r="G21" s="80" t="inlineStr">
        <is>
          <t>Team and program roster model</t>
        </is>
      </c>
      <c r="H21" s="107" t="inlineStr">
        <is>
          <t>Teams and programs hold rosters, property inventory, users and revenue shares — a layer above individual athletes.</t>
        </is>
      </c>
      <c r="I21" s="108" t="inlineStr">
        <is>
          <t>Done</t>
        </is>
      </c>
      <c r="J21" s="108" t="n">
        <v>3</v>
      </c>
      <c r="K21" s="109" t="inlineStr">
        <is>
          <t>2026-09-28</t>
        </is>
      </c>
      <c r="L21" s="109" t="inlineStr">
        <is>
          <t>2026-09-28</t>
        </is>
      </c>
      <c r="M21" s="110" t="inlineStr">
        <is>
          <t>rcfworks</t>
        </is>
      </c>
      <c r="N21" s="81" t="inlineStr">
        <is>
          <t>2S2-BE-05</t>
        </is>
      </c>
      <c r="O21" s="80" t="inlineStr">
        <is>
          <t>2S1-BE-04</t>
        </is>
      </c>
      <c r="P21" s="80" t="inlineStr">
        <is>
          <t>A team manager can see their roster and the inventory belonging to it, and nobody else's</t>
        </is>
      </c>
      <c r="Q21" s="82" t="inlineStr">
        <is>
          <t>Spec §6 P2-06</t>
        </is>
      </c>
      <c r="R21" s="111" t="inlineStr">
        <is>
          <t>2026-09-28: GET/POST /team/roster, PATCH /team/roster/{id}. The manager adds athletes into the team's own tenant (Athlete linked to the Property, APPROVED — the verified team vouches; minors still gated at acceptance) with an account claimed by email, and sets the team's revenue share (Athlete.teamShareBps, 0–10000, audited). The roster read returns each athlete with their inventory plus the team's own inventory. Another team's manager sees none of it (403 on every item and share); BTG reads as operator, an unrelated operator does not. New resource teamMember (not athlete write). Tests: tests/phase2-marketplace.test.ts, mutation-checked.</t>
        </is>
      </c>
    </row>
    <row r="22" ht="35.05" customHeight="1" s="75">
      <c r="A22" s="112" t="n">
        <v>20</v>
      </c>
      <c r="B22" s="113" t="inlineStr">
        <is>
          <t>2S2-FE-01</t>
        </is>
      </c>
      <c r="C22" s="85" t="n">
        <v>2</v>
      </c>
      <c r="D22" s="86" t="inlineStr">
        <is>
          <t>Sprint 2 · Athlete &amp; team portals</t>
        </is>
      </c>
      <c r="E22" s="121" t="inlineStr">
        <is>
          <t>FE</t>
        </is>
      </c>
      <c r="F22" s="122" t="inlineStr">
        <is>
          <t>Code</t>
        </is>
      </c>
      <c r="G22" s="84" t="inlineStr">
        <is>
          <t>Build the athlete portal home</t>
        </is>
      </c>
      <c r="H22" s="116" t="inlineStr">
        <is>
          <t>Upcoming campaigns, approval requests, overdue deliverables, earnings to date, payout status and inventory performance in one view.</t>
        </is>
      </c>
      <c r="I22" s="108" t="inlineStr">
        <is>
          <t>Done</t>
        </is>
      </c>
      <c r="J22" s="108" t="n">
        <v>3</v>
      </c>
      <c r="K22" s="109" t="n">
        <v>46296</v>
      </c>
      <c r="L22" s="109" t="n">
        <v>46297</v>
      </c>
      <c r="M22" s="110" t="inlineStr">
        <is>
          <t>rcfworks</t>
        </is>
      </c>
      <c r="N22" s="85" t="n">
        <v>0</v>
      </c>
      <c r="O22" s="84" t="inlineStr">
        <is>
          <t>2S0-ART-01</t>
        </is>
      </c>
      <c r="P22" s="84" t="inlineStr">
        <is>
          <t>Portal home renders live data for the signed-in athlete only</t>
        </is>
      </c>
      <c r="Q22" s="86" t="inlineStr">
        <is>
          <t>Spec §6 P2-03</t>
        </is>
      </c>
      <c r="R22" s="111" t="inlineStr">
        <is>
          <t>Reviewed 2026-10-01: /athlete is live and scoped (P3-FE-06) but is the Phase 1 home — missing inventory performance, payout request status and upcoming campaigns. Unblocked; startable. | Reviewed 2026-10-02: /athlete Phase 2 home — inventory performance (GET /sales/summary), payout status (GET /payouts/me byState, which also fixed paidOutCents counting only 50 payouts), upcoming campaigns and sales; own scope only.</t>
        </is>
      </c>
    </row>
    <row r="23" ht="23.85" customHeight="1" s="75">
      <c r="A23" s="104" t="n">
        <v>21</v>
      </c>
      <c r="B23" s="105" t="inlineStr">
        <is>
          <t>2S2-FE-02</t>
        </is>
      </c>
      <c r="C23" s="81" t="n">
        <v>2</v>
      </c>
      <c r="D23" s="82" t="inlineStr">
        <is>
          <t>Sprint 2 · Athlete &amp; team portals</t>
        </is>
      </c>
      <c r="E23" s="119" t="inlineStr">
        <is>
          <t>FE</t>
        </is>
      </c>
      <c r="F23" s="120" t="inlineStr">
        <is>
          <t>Code</t>
        </is>
      </c>
      <c r="G23" s="80" t="inlineStr">
        <is>
          <t>Build the athlete inventory manager</t>
        </is>
      </c>
      <c r="H23" s="107" t="inlineStr">
        <is>
          <t>Where an athlete creates and prices what they are selling.</t>
        </is>
      </c>
      <c r="I23" s="108" t="inlineStr">
        <is>
          <t>Done</t>
        </is>
      </c>
      <c r="J23" s="108" t="n">
        <v>5</v>
      </c>
      <c r="K23" s="109" t="n">
        <v>46294</v>
      </c>
      <c r="L23" s="109" t="n">
        <v>46296</v>
      </c>
      <c r="M23" s="110" t="inlineStr">
        <is>
          <t>rcfworks</t>
        </is>
      </c>
      <c r="N23" s="81" t="n">
        <v>0</v>
      </c>
      <c r="O23" s="80" t="inlineStr">
        <is>
          <t>2S2-BE-01</t>
        </is>
      </c>
      <c r="P23" s="80" t="inlineStr">
        <is>
          <t>Athlete can create, edit, price and restrict inventory items</t>
        </is>
      </c>
      <c r="Q23" s="82" t="inlineStr">
        <is>
          <t>Spec §6 P2-04</t>
        </is>
      </c>
      <c r="R23" s="111" t="n"/>
    </row>
    <row r="24" ht="23.85" customHeight="1" s="75">
      <c r="A24" s="112" t="n">
        <v>22</v>
      </c>
      <c r="B24" s="113" t="inlineStr">
        <is>
          <t>2S2-FE-03</t>
        </is>
      </c>
      <c r="C24" s="85" t="n">
        <v>2</v>
      </c>
      <c r="D24" s="86" t="inlineStr">
        <is>
          <t>Sprint 2 · Athlete &amp; team portals</t>
        </is>
      </c>
      <c r="E24" s="121" t="inlineStr">
        <is>
          <t>FE</t>
        </is>
      </c>
      <c r="F24" s="122" t="inlineStr">
        <is>
          <t>Code</t>
        </is>
      </c>
      <c r="G24" s="84" t="inlineStr">
        <is>
          <t>Build the campaign offer screen</t>
        </is>
      </c>
      <c r="H24" s="116" t="inlineStr">
        <is>
          <t>The athlete reads the full commercial terms and accepts, declines or requests a change.</t>
        </is>
      </c>
      <c r="I24" s="108" t="inlineStr">
        <is>
          <t>Done</t>
        </is>
      </c>
      <c r="J24" s="108" t="n">
        <v>3</v>
      </c>
      <c r="K24" s="109" t="n">
        <v>46294</v>
      </c>
      <c r="L24" s="109" t="n">
        <v>46296</v>
      </c>
      <c r="M24" s="110" t="inlineStr">
        <is>
          <t>rcfworks</t>
        </is>
      </c>
      <c r="N24" s="85" t="n">
        <v>0</v>
      </c>
      <c r="O24" s="84" t="inlineStr">
        <is>
          <t>2S2-BE-03</t>
        </is>
      </c>
      <c r="P24" s="84" t="inlineStr">
        <is>
          <t>All three actions work; requesting a change routes back to the campaign manager</t>
        </is>
      </c>
      <c r="Q24" s="86" t="inlineStr">
        <is>
          <t>Spec §6 P2-05</t>
        </is>
      </c>
      <c r="R24" s="111" t="inlineStr">
        <is>
          <t>2026-09-29: no request-a-change route in the API — left out (Phase 2 follow-up). | Fixed 2026-10-01: 'Request a change' added — POST /offers/:id/respond REQUEST_CHANGE with a note; saved as OfferChangeRequest, audited, emailed to the offer's author and the tenant's campaign managers (BTG admins if none); the offer stays open to accept or decline. No BTG-side offers screen exists yet (data on GET /offers). Awaiting review. | Backend for BTG answering a change request added 2026-10-01 (3c953ff): keep with a reply (emailed) or revise into a new draft; drafts editable (PATCH /offers/:id, same checks as create); send re-checks terms and emails the athlete. BTG Offers desk screen being designed (Claude Design N12). | BTG Offers desk built 2026-10-01 at /admin/offers (list, offer, new, edit); keep with a reply or revise; the athlete rate floor enforced on create, edit and send, matching the form. Independently reviewed.</t>
        </is>
      </c>
    </row>
    <row r="25" ht="23.85" customHeight="1" s="75">
      <c r="A25" s="104" t="n">
        <v>23</v>
      </c>
      <c r="B25" s="105" t="inlineStr">
        <is>
          <t>2S2-FE-04</t>
        </is>
      </c>
      <c r="C25" s="81" t="n">
        <v>2</v>
      </c>
      <c r="D25" s="82" t="inlineStr">
        <is>
          <t>Sprint 2 · Athlete &amp; team portals</t>
        </is>
      </c>
      <c r="E25" s="119" t="inlineStr">
        <is>
          <t>FE</t>
        </is>
      </c>
      <c r="F25" s="120" t="inlineStr">
        <is>
          <t>Code</t>
        </is>
      </c>
      <c r="G25" s="80" t="inlineStr">
        <is>
          <t>Build the team/program dashboard</t>
        </is>
      </c>
      <c r="H25" s="107" t="inlineStr">
        <is>
          <t>Roster, inventory, campaigns, revenue, tasks and performance for a team or program.</t>
        </is>
      </c>
      <c r="I25" s="108" t="inlineStr">
        <is>
          <t>Done</t>
        </is>
      </c>
      <c r="J25" s="108" t="n">
        <v>5</v>
      </c>
      <c r="K25" s="109" t="n">
        <v>46294</v>
      </c>
      <c r="L25" s="109" t="n">
        <v>46296</v>
      </c>
      <c r="M25" s="110" t="inlineStr">
        <is>
          <t>rcfworks</t>
        </is>
      </c>
      <c r="N25" s="81" t="n">
        <v>0</v>
      </c>
      <c r="O25" s="80" t="inlineStr">
        <is>
          <t>2S2-BE-04</t>
        </is>
      </c>
      <c r="P25" s="80" t="inlineStr">
        <is>
          <t>Team dashboard renders roster-scoped data with revenue shares visible to the manager</t>
        </is>
      </c>
      <c r="Q25" s="82" t="inlineStr">
        <is>
          <t>Spec §6 P2-06</t>
        </is>
      </c>
      <c r="R25" s="111" t="n"/>
    </row>
    <row r="26" ht="23.85" customHeight="1" s="75">
      <c r="A26" s="112" t="n">
        <v>24</v>
      </c>
      <c r="B26" s="113" t="inlineStr">
        <is>
          <t>2S3-BE-01</t>
        </is>
      </c>
      <c r="C26" s="85" t="n">
        <v>3</v>
      </c>
      <c r="D26" s="86" t="inlineStr">
        <is>
          <t>Sprint 3 · Listing engine</t>
        </is>
      </c>
      <c r="E26" s="137" t="inlineStr">
        <is>
          <t>BE</t>
        </is>
      </c>
      <c r="F26" s="122" t="inlineStr">
        <is>
          <t>Code</t>
        </is>
      </c>
      <c r="G26" s="84" t="inlineStr">
        <is>
          <t>Marketplace listing model and lifecycle</t>
        </is>
      </c>
      <c r="H26" s="116" t="inlineStr">
        <is>
          <t>A listing is the public representation of inventory: visibility, status, publish date. Creating inventory and publishing a listing are deliberately separate steps so governance can sit between them.</t>
        </is>
      </c>
      <c r="I26" s="108" t="inlineStr">
        <is>
          <t>Done</t>
        </is>
      </c>
      <c r="J26" s="108" t="n">
        <v>5</v>
      </c>
      <c r="K26" s="109" t="inlineStr">
        <is>
          <t>2026-09-28</t>
        </is>
      </c>
      <c r="L26" s="109" t="inlineStr">
        <is>
          <t>2026-09-28</t>
        </is>
      </c>
      <c r="M26" s="110" t="inlineStr">
        <is>
          <t>rcfworks</t>
        </is>
      </c>
      <c r="N26" s="85" t="n">
        <v>0</v>
      </c>
      <c r="O26" s="84" t="inlineStr">
        <is>
          <t>2S2-BE-01</t>
        </is>
      </c>
      <c r="P26" s="84" t="inlineStr">
        <is>
          <t>A verified property can create a listing but cannot publish it until governance rules are satisfied</t>
        </is>
      </c>
      <c r="Q26" s="86" t="inlineStr">
        <is>
          <t>Spec §9, §12</t>
        </is>
      </c>
      <c r="R26" s="111" t="inlineStr">
        <is>
          <t>2026-09-28: Listing with the state-machine doc's lifecycle (DRAFT → PENDING_APPROVAL → PUBLISHED ⇄ PAUSED → ARCHIVED; changes requested → DRAFT). Only a property whose onboarding is APPROVED with listing access can create one, on its own or a roster athlete's item (one live listing per item — partial unique index). Governance (property access, item active/priced/in stock/in window, title, description, schedule) is checked on submit, on BTG approval and on resume; no road from DRAFT to PUBLISHED; the property cannot approve itself. BTG approves through the new `operated` scope (Tenant.operatorTenantId, set at approval, backfilled) — an unrelated operator is refused. Suspension blocks new listings and resuming. Tests: tests/phase2-marketplace.test.ts, mutation-checked.</t>
        </is>
      </c>
    </row>
    <row r="27" ht="23.85" customHeight="1" s="75">
      <c r="A27" s="104" t="n">
        <v>25</v>
      </c>
      <c r="B27" s="105" t="inlineStr">
        <is>
          <t>2S3-BE-02</t>
        </is>
      </c>
      <c r="C27" s="81" t="n">
        <v>3</v>
      </c>
      <c r="D27" s="82" t="inlineStr">
        <is>
          <t>Sprint 3 · Listing engine</t>
        </is>
      </c>
      <c r="E27" s="139" t="inlineStr">
        <is>
          <t>BE</t>
        </is>
      </c>
      <c r="F27" s="120" t="inlineStr">
        <is>
          <t>Code</t>
        </is>
      </c>
      <c r="G27" s="80" t="inlineStr">
        <is>
          <t>Listing packages and bundles</t>
        </is>
      </c>
      <c r="H27" s="107" t="inlineStr">
        <is>
          <t>Bundled inventory sold as one unit, with quantity and bundle definition.</t>
        </is>
      </c>
      <c r="I27" s="108" t="inlineStr">
        <is>
          <t>Done</t>
        </is>
      </c>
      <c r="J27" s="108" t="n">
        <v>3</v>
      </c>
      <c r="K27" s="109" t="inlineStr">
        <is>
          <t>2026-09-28</t>
        </is>
      </c>
      <c r="L27" s="109" t="inlineStr">
        <is>
          <t>2026-09-28</t>
        </is>
      </c>
      <c r="M27" s="110" t="inlineStr">
        <is>
          <t>rcfworks</t>
        </is>
      </c>
      <c r="N27" s="81" t="n">
        <v>0</v>
      </c>
      <c r="O27" s="80" t="inlineStr">
        <is>
          <t>2S3-BE-01</t>
        </is>
      </c>
      <c r="P27" s="80" t="inlineStr">
        <is>
          <t>A package can be created, priced and purchased as a single line</t>
        </is>
      </c>
      <c r="Q27" s="82" t="inlineStr">
        <is>
          <t>Spec §9</t>
        </is>
      </c>
      <c r="R27" s="111" t="inlineStr">
        <is>
          <t>2026-09-28: PACKAGE inventory kind with BundleComponent rows (1–10 of the owner's own items — a team's: its own and its roster's; no nesting, no duplicates, ≥1 unit each; fixed once created; DB CHECKs). Priced as one; listed and bought as ONE cart line at the package price. The availability check covers the package and every part (quantity × units, dates, restrictions); every commitment writer (reservation, order, offer) expands through unitsTaken, so a package holds its parts. Proven: create/price/list/search/cart as a single line; the hold takes package 2, board ads 4, clinics 2; a part running out refuses the package. Tests: tests/phase2-orders.test.ts, mutation-checked.</t>
        </is>
      </c>
    </row>
    <row r="28" ht="32.8" customHeight="1" s="75">
      <c r="A28" s="112" t="n">
        <v>26</v>
      </c>
      <c r="B28" s="113" t="inlineStr">
        <is>
          <t>2S3-BE-03</t>
        </is>
      </c>
      <c r="C28" s="85" t="n">
        <v>3</v>
      </c>
      <c r="D28" s="86" t="inlineStr">
        <is>
          <t>Sprint 3 · Listing engine</t>
        </is>
      </c>
      <c r="E28" s="137" t="inlineStr">
        <is>
          <t>BE</t>
        </is>
      </c>
      <c r="F28" s="122" t="inlineStr">
        <is>
          <t>Code</t>
        </is>
      </c>
      <c r="G28" s="84" t="inlineStr">
        <is>
          <t>Availability, exclusivity and conflict check service</t>
        </is>
      </c>
      <c r="H28" s="116" t="inlineStr">
        <is>
          <t>One service answers: is this available on these dates, in this quantity, without a category conflict, above the floor price? Every purchase path calls it. The Phase 2 equivalent of Phase 1's matching query, and just as load-bearing.</t>
        </is>
      </c>
      <c r="I28" s="108" t="inlineStr">
        <is>
          <t>Done</t>
        </is>
      </c>
      <c r="J28" s="108" t="n">
        <v>5</v>
      </c>
      <c r="K28" s="109" t="inlineStr">
        <is>
          <t>2026-09-28</t>
        </is>
      </c>
      <c r="L28" s="109" t="inlineStr">
        <is>
          <t>2026-09-28</t>
        </is>
      </c>
      <c r="M28" s="110" t="inlineStr">
        <is>
          <t>rcfworks</t>
        </is>
      </c>
      <c r="N28" s="85" t="n">
        <v>0</v>
      </c>
      <c r="O28" s="84" t="inlineStr">
        <is>
          <t>2S3-BE-01</t>
        </is>
      </c>
      <c r="P28" s="84" t="inlineStr">
        <is>
          <t>Availability check correctly rejects date overlap, quantity overrun, category conflict and sub-floor pricing</t>
        </is>
      </c>
      <c r="Q28" s="86" t="inlineStr">
        <is>
          <t>Spec §7.2, §8</t>
        </is>
      </c>
      <c r="R28" s="111" t="inlineStr">
        <is>
          <t>Updated 2026-09-18 by P0-PMO-13 (margin floor rule at 1.4x with tier-derived sell floors) - see documentation/SponsorX-Pricing-Floor-Decision.md. 'Sub-floor pricing' means the P0-PMO-13 rule: sponsor price below athlete cost x 1.4. Phase 2 enforces the same floor Phase 1's P3-BE-12 establishes. | 2026-09-28: availability.ts — one check (checkInventoryItem / checkListing) returning coded reasons: DATE_OVERLAP (exclusive items vs live commitments, by whole days), QUANTITY_OVERRUN (stock minus live commitments, package max), PACKAGE_RULE (min), CATEGORY_CONFLICT (item's restricted categories + owner restrictions for the dates), SUB_FLOOR (below the owner's price), OUT_OF_WINDOW, NO_CATEGORY, NOT_LISTED. InventoryCommitment table: written by an accepted offer on an item (reservations/orders 2S4 will write here); released rows stop counting. Called by every purchase path that exists: cart add/update, offer draft/accept on an item. Static guard: only cart.ts writes cart lines, each after the check. Error bodies now carry reasons/conflicts/problems/missing. Tests: tests/phase2-purchase.test.ts (each reason through the API + pure), mutation-checked.</t>
        </is>
      </c>
    </row>
    <row r="29" ht="23.85" customHeight="1" s="75">
      <c r="A29" s="104" t="n">
        <v>27</v>
      </c>
      <c r="B29" s="105" t="inlineStr">
        <is>
          <t>2S3-BE-04</t>
        </is>
      </c>
      <c r="C29" s="81" t="n">
        <v>3</v>
      </c>
      <c r="D29" s="82" t="inlineStr">
        <is>
          <t>Sprint 3 · Listing engine</t>
        </is>
      </c>
      <c r="E29" s="139" t="inlineStr">
        <is>
          <t>BE</t>
        </is>
      </c>
      <c r="F29" s="120" t="inlineStr">
        <is>
          <t>Code</t>
        </is>
      </c>
      <c r="G29" s="80" t="inlineStr">
        <is>
          <t>Marketplace search and filtering</t>
        </is>
      </c>
      <c r="H29" s="107" t="inlineStr">
        <is>
          <t>Sponsors browse what is available to them. Visibility rules mean two sponsors see different catalogues.</t>
        </is>
      </c>
      <c r="I29" s="108" t="inlineStr">
        <is>
          <t>Done</t>
        </is>
      </c>
      <c r="J29" s="108" t="n">
        <v>5</v>
      </c>
      <c r="K29" s="109" t="inlineStr">
        <is>
          <t>2026-09-28</t>
        </is>
      </c>
      <c r="L29" s="109" t="inlineStr">
        <is>
          <t>2026-09-28</t>
        </is>
      </c>
      <c r="M29" s="110" t="inlineStr">
        <is>
          <t>rcfworks</t>
        </is>
      </c>
      <c r="N29" s="81" t="n">
        <v>0</v>
      </c>
      <c r="O29" s="80" t="inlineStr">
        <is>
          <t>2S3-BE-01</t>
        </is>
      </c>
      <c r="P29" s="80" t="inlineStr">
        <is>
          <t>Search returns only inventory visible to the requesting sponsor and tenant</t>
        </is>
      </c>
      <c r="Q29" s="82" t="inlineStr">
        <is>
          <t>Spec §12</t>
        </is>
      </c>
      <c r="R29" s="111" t="inlineStr">
        <is>
          <t>2026-09-28: GET /marketplace/search (text, kind, category, sport, state, price, dates). New listing scope `catalog` for SPONSOR_ADMIN/ANALYST: PUBLISHED, PUBLIC, past publishAt, item active, property listing access standing, in the sponsor's own marketplace (its tenant + tenants it operates). Per sponsor, listings restricted against its categories today (item's own, owner restrictions in force) are hidden — two sponsors get different catalogues. BTG searches the tenants it operates through the same live filter; property managers and athletes are refused. Results carry athlete display name/sport/position only. Matrix §19; digest 4f835eba4e8465d1 (old grid unchanged with this batch removed). Tests: tests/phase2-purchase.test.ts, mutation-checked.</t>
        </is>
      </c>
    </row>
    <row r="30" ht="32.8" customHeight="1" s="75">
      <c r="A30" s="112" t="n">
        <v>28</v>
      </c>
      <c r="B30" s="113" t="inlineStr">
        <is>
          <t>2S3-FE-01</t>
        </is>
      </c>
      <c r="C30" s="85" t="n">
        <v>3</v>
      </c>
      <c r="D30" s="86" t="inlineStr">
        <is>
          <t>Sprint 3 · Listing engine</t>
        </is>
      </c>
      <c r="E30" s="121" t="inlineStr">
        <is>
          <t>FE</t>
        </is>
      </c>
      <c r="F30" s="122" t="inlineStr">
        <is>
          <t>Code</t>
        </is>
      </c>
      <c r="G30" s="84" t="inlineStr">
        <is>
          <t>Build the listing editor</t>
        </is>
      </c>
      <c r="H30" s="116" t="inlineStr">
        <is>
          <t>Listing data, pricing, package builder, preview, approval status and visibility settings.</t>
        </is>
      </c>
      <c r="I30" s="108" t="inlineStr">
        <is>
          <t>Done</t>
        </is>
      </c>
      <c r="J30" s="108" t="n">
        <v>5</v>
      </c>
      <c r="K30" s="109" t="n">
        <v>46294</v>
      </c>
      <c r="L30" s="109" t="n">
        <v>46296</v>
      </c>
      <c r="M30" s="110" t="inlineStr">
        <is>
          <t>rcfworks</t>
        </is>
      </c>
      <c r="N30" s="85" t="n">
        <v>0</v>
      </c>
      <c r="O30" s="84" t="inlineStr">
        <is>
          <t>2S0-ART-01</t>
        </is>
      </c>
      <c r="P30" s="84" t="inlineStr">
        <is>
          <t>A property can build, preview and submit a listing for approval</t>
        </is>
      </c>
      <c r="Q30" s="86" t="inlineStr">
        <is>
          <t>Spec §6 P2-07</t>
        </is>
      </c>
      <c r="R30" s="111" t="inlineStr">
        <is>
          <t>Fixed 2026-10-01: preview added at /property/listings/[id]/preview (and /athlete/listings/[id]/preview) using the shop's own card. Awaiting review. | Reviewed 2026-10-01: build, preview (/property/listings/[id]/preview, the shop card) and submit all wired.</t>
        </is>
      </c>
    </row>
    <row r="31" ht="23.85" customHeight="1" s="75">
      <c r="A31" s="104" t="n">
        <v>29</v>
      </c>
      <c r="B31" s="105" t="inlineStr">
        <is>
          <t>2S3-SEC-01</t>
        </is>
      </c>
      <c r="C31" s="81" t="n">
        <v>3</v>
      </c>
      <c r="D31" s="82" t="inlineStr">
        <is>
          <t>Sprint 3 · Listing engine</t>
        </is>
      </c>
      <c r="E31" s="140" t="inlineStr">
        <is>
          <t>SEC</t>
        </is>
      </c>
      <c r="F31" s="120" t="inlineStr">
        <is>
          <t>Code</t>
        </is>
      </c>
      <c r="G31" s="80" t="inlineStr">
        <is>
          <t>Listing visibility and tenant isolation tests</t>
        </is>
      </c>
      <c r="H31" s="107" t="inlineStr">
        <is>
          <t>Prove by test that private listings and cross-tenant inventory never leak into another sponsor's search results.</t>
        </is>
      </c>
      <c r="I31" s="108" t="inlineStr">
        <is>
          <t>Done</t>
        </is>
      </c>
      <c r="J31" s="108" t="n">
        <v>3</v>
      </c>
      <c r="K31" s="109" t="inlineStr">
        <is>
          <t>2026-09-28</t>
        </is>
      </c>
      <c r="L31" s="109" t="inlineStr">
        <is>
          <t>2026-09-28</t>
        </is>
      </c>
      <c r="M31" s="110" t="inlineStr">
        <is>
          <t>rcfworks</t>
        </is>
      </c>
      <c r="N31" s="81" t="n">
        <v>0</v>
      </c>
      <c r="O31" s="80" t="inlineStr">
        <is>
          <t>2S3-BE-04</t>
        </is>
      </c>
      <c r="P31" s="80" t="inlineStr">
        <is>
          <t>Cross-tenant marketplace search tests pass</t>
        </is>
      </c>
      <c r="Q31" s="82" t="inlineStr">
        <is>
          <t>Spec §12</t>
        </is>
      </c>
      <c r="R31" s="111" t="inlineStr">
        <is>
          <t>2026-09-28: tests/phase2-purchase.test.ts (2S3-SEC-01 block) across two operators' marketplaces: private, draft, paused, scheduled-future and suspended-property listings and the other marketplace's never appear in search, are refused on GET /listings/{id}, and cannot be put in a cart; another operator sees only its own; non-buyers refused. The tenant-isolation sweep now covers /marketplace/search, /restrictions, /cart and /cart/lines with tenant-A rows seeded (no success, no leak, tenant A unchanged). Mutation-checked (catalog without visibility, catalog across marketplaces).</t>
        </is>
      </c>
    </row>
    <row r="32" ht="23.85" customHeight="1" s="75">
      <c r="A32" s="112" t="n">
        <v>30</v>
      </c>
      <c r="B32" s="113" t="inlineStr">
        <is>
          <t>2S4-BE-01</t>
        </is>
      </c>
      <c r="C32" s="85" t="n">
        <v>4</v>
      </c>
      <c r="D32" s="86" t="inlineStr">
        <is>
          <t>Sprint 4 · Cart, reservations &amp; orders</t>
        </is>
      </c>
      <c r="E32" s="137" t="inlineStr">
        <is>
          <t>BE</t>
        </is>
      </c>
      <c r="F32" s="122" t="inlineStr">
        <is>
          <t>Code</t>
        </is>
      </c>
      <c r="G32" s="84" t="inlineStr">
        <is>
          <t>Cart model</t>
        </is>
      </c>
      <c r="H32" s="116" t="inlineStr">
        <is>
          <t>A sponsor's shopping session: items, quantities, currency, expiry.</t>
        </is>
      </c>
      <c r="I32" s="108" t="inlineStr">
        <is>
          <t>Done</t>
        </is>
      </c>
      <c r="J32" s="108" t="n">
        <v>3</v>
      </c>
      <c r="K32" s="109" t="inlineStr">
        <is>
          <t>2026-09-28</t>
        </is>
      </c>
      <c r="L32" s="109" t="inlineStr">
        <is>
          <t>2026-09-28</t>
        </is>
      </c>
      <c r="M32" s="110" t="inlineStr">
        <is>
          <t>rcfworks</t>
        </is>
      </c>
      <c r="N32" s="85" t="n">
        <v>0</v>
      </c>
      <c r="O32" s="84" t="inlineStr">
        <is>
          <t>2S3-BE-03</t>
        </is>
      </c>
      <c r="P32" s="84" t="inlineStr">
        <is>
          <t>Sponsor can add, remove and update cart lines; the cart expires cleanly</t>
        </is>
      </c>
      <c r="Q32" s="86" t="inlineStr">
        <is>
          <t>Spec §8, §9</t>
        </is>
      </c>
      <c r="R32" s="111" t="inlineStr">
        <is>
          <t>2026-09-28: Cart + CartLine (sponsor's tenant; one ACTIVE per sponsor — partial unique index; USD). GET/POST /cart, POST/PATCH/DELETE /cart/lines — each add/update runs the availability check at the listing's price and is audited; duplicates refused; totals computed. Analyst reads, cannot write; other sponsors 403. Every change slides expiry 24 h; a cart past expiry reads as gone, refuses changes and is closed; the hourly worker sweep (expireCarts, idempotent, touches only cart state) marks the rest EXPIRED; a fresh cart opens; nothing is held, so nothing is released (reservations are 2S4-BE-02). Tests: tests/phase2-purchase.test.ts, mutation-checked.</t>
        </is>
      </c>
    </row>
    <row r="33" ht="22.35" customHeight="1" s="75">
      <c r="A33" s="104" t="n">
        <v>31</v>
      </c>
      <c r="B33" s="105" t="inlineStr">
        <is>
          <t>2S4-BE-02</t>
        </is>
      </c>
      <c r="C33" s="81" t="n">
        <v>4</v>
      </c>
      <c r="D33" s="82" t="inlineStr">
        <is>
          <t>Sprint 4 · Cart, reservations &amp; orders</t>
        </is>
      </c>
      <c r="E33" s="139" t="inlineStr">
        <is>
          <t>BE</t>
        </is>
      </c>
      <c r="F33" s="120" t="inlineStr">
        <is>
          <t>Code</t>
        </is>
      </c>
      <c r="G33" s="80" t="inlineStr">
        <is>
          <t>Time-limited reservations</t>
        </is>
      </c>
      <c r="H33" s="107" t="inlineStr">
        <is>
          <t>Reservable inventory is held for a window and the available quantity is temporarily reduced. This is what stops overselling, and it must release automatically when the timer expires.</t>
        </is>
      </c>
      <c r="I33" s="108" t="inlineStr">
        <is>
          <t>Done</t>
        </is>
      </c>
      <c r="J33" s="108" t="n">
        <v>5</v>
      </c>
      <c r="K33" s="109" t="inlineStr">
        <is>
          <t>2026-09-28</t>
        </is>
      </c>
      <c r="L33" s="109" t="inlineStr">
        <is>
          <t>2026-09-28</t>
        </is>
      </c>
      <c r="M33" s="110" t="inlineStr">
        <is>
          <t>rcfworks</t>
        </is>
      </c>
      <c r="N33" s="81" t="n">
        <v>0</v>
      </c>
      <c r="O33" s="80" t="inlineStr">
        <is>
          <t>2S4-BE-01</t>
        </is>
      </c>
      <c r="P33" s="80" t="inlineStr">
        <is>
          <t>Reservations prevent overselling and expired reservations release inventory automatically</t>
        </is>
      </c>
      <c r="Q33" s="82" t="inlineStr">
        <is>
          <t>Spec §7.2, §12</t>
        </is>
      </c>
      <c r="R33" s="111" t="inlineStr">
        <is>
          <t>2026-09-28: Reservation (HELD → CONVERTED | EXPIRED | RELEASED, 15-minute hold, one HELD per cart). POST /cart/reserve holds every line all-or-nothing (each line checked, then its hold written, in one transaction); Postgres advisory locks per item (package parts included, fixed order) serialise concurrent holds — proven: two sponsors reserving the last unit at once → exactly one 201, one 409. A held cart is frozen. Holds stop counting the instant expiresAt passes (no sweep needed — proven: stock returns before any sweep, and another sponsor reserves it); the worker sweep (every minute, idempotent) marks EXPIRED and releases the rows; an expired hold cannot become an order; release returns stock at once. Tests: tests/phase2-orders.test.ts, mutation-checked (no locks, lapsed holds counting).</t>
        </is>
      </c>
    </row>
    <row r="34" ht="23.85" customHeight="1" s="75">
      <c r="A34" s="112" t="n">
        <v>32</v>
      </c>
      <c r="B34" s="113" t="inlineStr">
        <is>
          <t>2S4-BE-03</t>
        </is>
      </c>
      <c r="C34" s="85" t="n">
        <v>4</v>
      </c>
      <c r="D34" s="86" t="inlineStr">
        <is>
          <t>Sprint 4 · Cart, reservations &amp; orders</t>
        </is>
      </c>
      <c r="E34" s="137" t="inlineStr">
        <is>
          <t>BE</t>
        </is>
      </c>
      <c r="F34" s="122" t="inlineStr">
        <is>
          <t>Code</t>
        </is>
      </c>
      <c r="G34" s="84" t="inlineStr">
        <is>
          <t>Order model and state machine</t>
        </is>
      </c>
      <c r="H34" s="116" t="inlineStr">
        <is>
          <t>The commercial order: subtotal, fees, total, currency, and its lifecycle through PENDING_APPROVAL, CONTRACTED and beyond.</t>
        </is>
      </c>
      <c r="I34" s="108" t="inlineStr">
        <is>
          <t>Done</t>
        </is>
      </c>
      <c r="J34" s="108" t="n">
        <v>5</v>
      </c>
      <c r="K34" s="109" t="inlineStr">
        <is>
          <t>2026-09-28</t>
        </is>
      </c>
      <c r="L34" s="109" t="inlineStr">
        <is>
          <t>2026-09-28</t>
        </is>
      </c>
      <c r="M34" s="110" t="inlineStr">
        <is>
          <t>rcfworks</t>
        </is>
      </c>
      <c r="N34" s="85" t="n">
        <v>0</v>
      </c>
      <c r="O34" s="84" t="inlineStr">
        <is>
          <t>2S4-BE-02</t>
        </is>
      </c>
      <c r="P34" s="84" t="inlineStr">
        <is>
          <t>Order states enforce correctly; an unapproved order cannot contract inventory</t>
        </is>
      </c>
      <c r="Q34" s="86" t="inlineStr">
        <is>
          <t>Spec §7.2, §9</t>
        </is>
      </c>
      <c r="R34" s="111" t="inlineStr">
        <is>
          <t>2026-09-28: MarketplaceOrder + lines (sponsor's tenant; subtotal, fees — MARKETPLACE_BUYER_FEE_BPS, default 0 —, total, USD). State machine transcribed from the state-machines doc §4 (PENDING_APPROVAL → APPROVED → AWAITING_PAYMENT → PAID → IN_DELIVERY → FULFILLED → CLOSED; CANCELLED before PAID; REFUNDED from PAID/IN_DELIVERY/FULFILLED): PENDING_APPROVAL → AWAITING_PAYMENT, PAID → CANCELLED, APPROVED-by-transition and moves out of terminal states all refused. Placing converts the hold into a non-lapsing, NOT contracted order hold; contracting happens only at approval. Figures and lines immutable from APPROVED on (Postgres triggers). Cancel/refund release the stock. Staff (BTG_ADMIN, FINANCE) move payment/delivery states; the sponsor may only cancel before payment. Tests: tests/phase2-orders.test.ts, mutation-checked.</t>
        </is>
      </c>
    </row>
    <row r="35" ht="32.8" customHeight="1" s="75">
      <c r="A35" s="104" t="n">
        <v>33</v>
      </c>
      <c r="B35" s="105" t="inlineStr">
        <is>
          <t>2S4-BE-04</t>
        </is>
      </c>
      <c r="C35" s="81" t="n">
        <v>4</v>
      </c>
      <c r="D35" s="82" t="inlineStr">
        <is>
          <t>Sprint 4 · Cart, reservations &amp; orders</t>
        </is>
      </c>
      <c r="E35" s="139" t="inlineStr">
        <is>
          <t>BE</t>
        </is>
      </c>
      <c r="F35" s="120" t="inlineStr">
        <is>
          <t>Code</t>
        </is>
      </c>
      <c r="G35" s="80" t="inlineStr">
        <is>
          <t>Order financial snapshot at contract time</t>
        </is>
      </c>
      <c r="H35" s="107" t="inlineStr">
        <is>
          <t>At contract time, freeze the full financial breakdown onto the order line. This is what makes historical payouts immune to future rate-card changes.</t>
        </is>
      </c>
      <c r="I35" s="108" t="inlineStr">
        <is>
          <t>Done</t>
        </is>
      </c>
      <c r="J35" s="108" t="n">
        <v>5</v>
      </c>
      <c r="K35" s="109" t="inlineStr">
        <is>
          <t>2026-09-28</t>
        </is>
      </c>
      <c r="L35" s="109" t="inlineStr">
        <is>
          <t>2026-09-28</t>
        </is>
      </c>
      <c r="M35" s="110" t="inlineStr">
        <is>
          <t>rcfworks</t>
        </is>
      </c>
      <c r="N35" s="81" t="n">
        <v>0</v>
      </c>
      <c r="O35" s="80" t="inlineStr">
        <is>
          <t>2S4-BE-03</t>
        </is>
      </c>
      <c r="P35" s="80" t="inlineStr">
        <is>
          <t>Commission snapshot is created at contract time and does not change when commission rules are later edited</t>
        </is>
      </c>
      <c r="Q35" s="82" t="inlineStr">
        <is>
          <t>Spec §7.4, §12</t>
        </is>
      </c>
      <c r="R35" s="111" t="inlineStr">
        <is>
          <t>2026-09-28: OrderLineFinancials — at contract (inside the approval's transaction) every line's full breakdown (gross, discount, net, platform, management, processing, property share, referral, reserve, available, team/athlete split) is frozen with the exact rule versions that produced it; DB CHECKs the sums, a trigger refuses any update. Nothing is booked before contract. Proven with the ledger design's worked example to the cent; a later rule revision leaves the snapshot byte-identical; the next order records version 2. GET /marketplace-orders/{id}/financials for BTG/Finance only (sponsor and property 403 — it is the margin). Tests: tests/phase2-ledger.test.ts, mutation-checked.</t>
        </is>
      </c>
    </row>
    <row r="36" ht="23.85" customHeight="1" s="75">
      <c r="A36" s="112" t="n">
        <v>34</v>
      </c>
      <c r="B36" s="113" t="inlineStr">
        <is>
          <t>2S4-BE-05</t>
        </is>
      </c>
      <c r="C36" s="85" t="n">
        <v>4</v>
      </c>
      <c r="D36" s="86" t="inlineStr">
        <is>
          <t>Sprint 4 · Cart, reservations &amp; orders</t>
        </is>
      </c>
      <c r="E36" s="137" t="inlineStr">
        <is>
          <t>BE</t>
        </is>
      </c>
      <c r="F36" s="122" t="inlineStr">
        <is>
          <t>Code</t>
        </is>
      </c>
      <c r="G36" s="84" t="inlineStr">
        <is>
          <t>BTG approval gate on orders</t>
        </is>
      </c>
      <c r="H36" s="116" t="inlineStr">
        <is>
          <t>Where policy requires it, an order waits for BTG approval before inventory is contracted — payment may be authorisation or deposit only until then.</t>
        </is>
      </c>
      <c r="I36" s="108" t="inlineStr">
        <is>
          <t>Done</t>
        </is>
      </c>
      <c r="J36" s="108" t="n">
        <v>3</v>
      </c>
      <c r="K36" s="109" t="inlineStr">
        <is>
          <t>2026-09-28</t>
        </is>
      </c>
      <c r="L36" s="109" t="inlineStr">
        <is>
          <t>2026-09-28</t>
        </is>
      </c>
      <c r="M36" s="110" t="inlineStr">
        <is>
          <t>rcfworks</t>
        </is>
      </c>
      <c r="N36" s="85" t="inlineStr">
        <is>
          <t>2S4-BE-06</t>
        </is>
      </c>
      <c r="O36" s="84" t="inlineStr">
        <is>
          <t>2S4-BE-03</t>
        </is>
      </c>
      <c r="P36" s="84" t="inlineStr">
        <is>
          <t>An order requiring approval holds inventory without contracting it, and releases on rejection</t>
        </is>
      </c>
      <c r="Q36" s="86" t="inlineStr">
        <is>
          <t>Spec §7.2</t>
        </is>
      </c>
      <c r="R36" s="111" t="inlineStr">
        <is>
          <t>2026-09-28: approval policy (SIMULATED, threshold set by the programme owner): an order of $1,000 or more (MARKETPLACE_APPROVAL_THRESHOLD_CENTS = 100000), a sponsor's first marketplace order, or a listing with requiresApproval waits in PENDING_APPROVAL with its reasons, holding its stock uncontracted (proven: no other sponsor can buy it; nothing but the decision contracts it). BTG_ADMIN approves (stock contracted, contractedAt, Zoho queued) or rejects with a note (CANCELLED, stock released — proven available again). An order with no reason is approved by policy in the same transaction, recorded as decidedBy system with a null audit actor. Tests: tests/phase2-orders.test.ts, mutation-checked.</t>
        </is>
      </c>
    </row>
    <row r="37" ht="23.85" customHeight="1" s="75">
      <c r="A37" s="104" t="n">
        <v>35</v>
      </c>
      <c r="B37" s="105" t="inlineStr">
        <is>
          <t>2S4-FE-01</t>
        </is>
      </c>
      <c r="C37" s="81" t="n">
        <v>4</v>
      </c>
      <c r="D37" s="82" t="inlineStr">
        <is>
          <t>Sprint 4 · Cart, reservations &amp; orders</t>
        </is>
      </c>
      <c r="E37" s="119" t="inlineStr">
        <is>
          <t>FE</t>
        </is>
      </c>
      <c r="F37" s="120" t="inlineStr">
        <is>
          <t>Code</t>
        </is>
      </c>
      <c r="G37" s="80" t="inlineStr">
        <is>
          <t>Build cart and reservation screens</t>
        </is>
      </c>
      <c r="H37" s="107" t="inlineStr">
        <is>
          <t>Selected inventory, quantities, package summary, price and fees, and the reservation timer where enabled.</t>
        </is>
      </c>
      <c r="I37" s="108" t="inlineStr">
        <is>
          <t>Done</t>
        </is>
      </c>
      <c r="J37" s="108" t="n">
        <v>3</v>
      </c>
      <c r="K37" s="109" t="n">
        <v>46294</v>
      </c>
      <c r="L37" s="109" t="n">
        <v>46296</v>
      </c>
      <c r="M37" s="110" t="inlineStr">
        <is>
          <t>rcfworks</t>
        </is>
      </c>
      <c r="N37" s="81" t="n">
        <v>0</v>
      </c>
      <c r="O37" s="80" t="inlineStr">
        <is>
          <t>2S0-ART-01</t>
        </is>
      </c>
      <c r="P37" s="80" t="inlineStr">
        <is>
          <t>Cart renders live pricing and the reservation countdown</t>
        </is>
      </c>
      <c r="Q37" s="82" t="inlineStr">
        <is>
          <t>Spec §6 P2-08</t>
        </is>
      </c>
      <c r="R37" s="111" t="n"/>
    </row>
    <row r="38" ht="23.85" customHeight="1" s="75">
      <c r="A38" s="112" t="n">
        <v>36</v>
      </c>
      <c r="B38" s="113" t="inlineStr">
        <is>
          <t>2S4-FE-02</t>
        </is>
      </c>
      <c r="C38" s="85" t="n">
        <v>4</v>
      </c>
      <c r="D38" s="86" t="inlineStr">
        <is>
          <t>Sprint 4 · Cart, reservations &amp; orders</t>
        </is>
      </c>
      <c r="E38" s="121" t="inlineStr">
        <is>
          <t>FE</t>
        </is>
      </c>
      <c r="F38" s="122" t="inlineStr">
        <is>
          <t>Code</t>
        </is>
      </c>
      <c r="G38" s="84" t="inlineStr">
        <is>
          <t>Build checkout and contract gate</t>
        </is>
      </c>
      <c r="H38" s="116" t="inlineStr">
        <is>
          <t>Billing details, agreement acceptance, deposit or full payment, and any approval conditions. The highest-stakes screen in Phase 2.</t>
        </is>
      </c>
      <c r="I38" s="108" t="inlineStr">
        <is>
          <t>Done</t>
        </is>
      </c>
      <c r="J38" s="108" t="n">
        <v>5</v>
      </c>
      <c r="K38" s="109" t="n">
        <v>46294</v>
      </c>
      <c r="L38" s="109" t="n">
        <v>46296</v>
      </c>
      <c r="M38" s="110" t="inlineStr">
        <is>
          <t>rcfworks</t>
        </is>
      </c>
      <c r="N38" s="85" t="n">
        <v>0</v>
      </c>
      <c r="O38" s="84" t="inlineStr">
        <is>
          <t>2S4-BE-03</t>
        </is>
      </c>
      <c r="P38" s="84" t="inlineStr">
        <is>
          <t>Sponsor can complete a purchase or reservation through the configured flow</t>
        </is>
      </c>
      <c r="Q38" s="86" t="inlineStr">
        <is>
          <t>Spec §6 P2-09</t>
        </is>
      </c>
      <c r="R38" s="111" t="inlineStr">
        <is>
          <t>2026-09-29: no contract step and no payment in the API — payment shown as not open until the provider is chosen. | Fixed 2026-10-01: checkout now has billing contact and order-terms acceptance (hash-checked server-side, audited, stored on the order, immutable). Terms text MARKETPLACE_ORDER v1 is a placeholder pending counsel. Card payment still uses the stand-in provider until Stripe (2S0-PMO-03). Awaiting review. | Reviewed 2026-10-01: checkout contract gate (billing contact, order terms hash-checked server-side). Card payment via the stand-in until Stripe (2S0-PMO-03); terms text pending counsel.</t>
        </is>
      </c>
    </row>
    <row r="39" ht="22.35" customHeight="1" s="75">
      <c r="A39" s="104" t="n">
        <v>37</v>
      </c>
      <c r="B39" s="105" t="inlineStr">
        <is>
          <t>2S5-INT-01</t>
        </is>
      </c>
      <c r="C39" s="81" t="n">
        <v>5</v>
      </c>
      <c r="D39" s="82" t="inlineStr">
        <is>
          <t>Sprint 5 · Payments, ledger &amp; payouts</t>
        </is>
      </c>
      <c r="E39" s="138" t="inlineStr">
        <is>
          <t>INT</t>
        </is>
      </c>
      <c r="F39" s="136" t="inlineStr">
        <is>
          <t>Code + console</t>
        </is>
      </c>
      <c r="G39" s="80" t="inlineStr">
        <is>
          <t>Payment provider checkout integration</t>
        </is>
      </c>
      <c r="H39" s="107" t="inlineStr">
        <is>
          <t>Hosted or embedded checkout session creation. Card data never reaches your servers.</t>
        </is>
      </c>
      <c r="I39" s="108" t="inlineStr">
        <is>
          <t>Done</t>
        </is>
      </c>
      <c r="J39" s="108" t="n">
        <v>5</v>
      </c>
      <c r="K39" s="109" t="n">
        <v>46295</v>
      </c>
      <c r="L39" s="109" t="n">
        <v>46301</v>
      </c>
      <c r="M39" s="110" t="inlineStr">
        <is>
          <t>rcfworks</t>
        </is>
      </c>
      <c r="N39" s="81" t="inlineStr">
        <is>
          <t>2S5-FE-05</t>
        </is>
      </c>
      <c r="O39" s="80" t="inlineStr">
        <is>
          <t>2S0-PMO-03</t>
        </is>
      </c>
      <c r="P39" s="80" t="inlineStr">
        <is>
          <t>Sponsor can pay through the provider and the order reflects the result</t>
        </is>
      </c>
      <c r="Q39" s="82" t="inlineStr">
        <is>
          <t>Spec §8</t>
        </is>
      </c>
      <c r="R39" s="111" t="inlineStr">
        <is>
          <t>2026-09-28 WAITING ON: the payment provider choice (2S0-PMO-03 — the programme owner's decision: provider, contract, sandbox credentials).
2026-09-30: provider adapter + card-payment flow built and working against the staging stand-in (declines recorded, confirmation marks the order PAID, receipt email). Remaining: connect Stripe once 2S0-PMO-03 is decided. | 2026-10-06: Stripe build started (hosted Checkout, webhook verifier and event mapping). | Proven on staging 2026-10-06 against the Stripe sandbox: test sponsor ordered a listing ($1,000, order SX-BK6HZ86G), paid on checkout.stripe.com (declined card 0002 refused, then 4242 succeeded), SponsorX shows Paid; attempt SUCCEEDED with pi_3UNQsiKA9GZ8RRgK1bwYh0FH; payment event APPLIED within 2s; split exact. Webhooks registered (platform + thin) and PAYMENT_PROVIDER=stripe on staging only.</t>
        </is>
      </c>
    </row>
    <row r="40" ht="23.85" customHeight="1" s="75">
      <c r="A40" s="112" t="n">
        <v>38</v>
      </c>
      <c r="B40" s="113" t="inlineStr">
        <is>
          <t>2S5-INT-02</t>
        </is>
      </c>
      <c r="C40" s="85" t="n">
        <v>5</v>
      </c>
      <c r="D40" s="86" t="inlineStr">
        <is>
          <t>Sprint 5 · Payments, ledger &amp; payouts</t>
        </is>
      </c>
      <c r="E40" s="141" t="inlineStr">
        <is>
          <t>INT</t>
        </is>
      </c>
      <c r="F40" s="122" t="inlineStr">
        <is>
          <t>Code</t>
        </is>
      </c>
      <c r="G40" s="84" t="inlineStr">
        <is>
          <t>Payment webhook handling with idempotency</t>
        </is>
      </c>
      <c r="H40" s="116" t="inlineStr">
        <is>
          <t>Providers retry webhooks and deliver out of order. Every handler must be safe to run twice. This is the single most common source of financial bugs in a marketplace.</t>
        </is>
      </c>
      <c r="I40" s="108" t="inlineStr">
        <is>
          <t>Done</t>
        </is>
      </c>
      <c r="J40" s="108" t="n">
        <v>5</v>
      </c>
      <c r="K40" s="109" t="n">
        <v>46300</v>
      </c>
      <c r="L40" s="109" t="n">
        <v>46300</v>
      </c>
      <c r="M40" s="110" t="inlineStr">
        <is>
          <t>rcfworks</t>
        </is>
      </c>
      <c r="N40" s="85" t="n">
        <v>0</v>
      </c>
      <c r="O40" s="84" t="inlineStr">
        <is>
          <t>2S5-INT-01</t>
        </is>
      </c>
      <c r="P40" s="84" t="inlineStr">
        <is>
          <t>Payment webhooks are idempotent and correctly update order and payment state under duplicate and out-of-order delivery</t>
        </is>
      </c>
      <c r="Q40" s="86" t="inlineStr">
        <is>
          <t>Spec §3, §12</t>
        </is>
      </c>
      <c r="R40" s="111" t="inlineStr">
        <is>
          <t>2026-09-28 WAITING ON: the payment provider choice (2S0-PMO-03 — the programme owner's decision: provider, contract, sandbox credentials). | Started 2026-10-05 against the stand-in payment provider; Stripe plugs in later through 2S5-INT-01. | POST /webhooks/payments/{provider}: signature over the raw body (with _PREVIOUS), 5-minute replay window, PaymentEvent unique per provider event id, applied by the payments.event job; states only move forward, early events deferred, conflicts held for BTG. payment-webhooks.test. Built on the stand-in; the Stripe verifier and event mapping are left for 2S5-INT-01. 2026-10-05</t>
        </is>
      </c>
    </row>
    <row r="41" ht="23.85" customHeight="1" s="75">
      <c r="A41" s="104" t="n">
        <v>39</v>
      </c>
      <c r="B41" s="105" t="inlineStr">
        <is>
          <t>2S5-INT-03</t>
        </is>
      </c>
      <c r="C41" s="81" t="n">
        <v>5</v>
      </c>
      <c r="D41" s="82" t="inlineStr">
        <is>
          <t>Sprint 5 · Payments, ledger &amp; payouts</t>
        </is>
      </c>
      <c r="E41" s="138" t="inlineStr">
        <is>
          <t>INT</t>
        </is>
      </c>
      <c r="F41" s="136" t="inlineStr">
        <is>
          <t>Code + console</t>
        </is>
      </c>
      <c r="G41" s="80" t="inlineStr">
        <is>
          <t>Connected payout account onboarding</t>
        </is>
      </c>
      <c r="H41" s="107" t="inlineStr">
        <is>
          <t>Properties and athletes onboard with the payment provider to receive funds, through the provider's hosted flow. SponsorX stores status only, never credentials.</t>
        </is>
      </c>
      <c r="I41" s="108" t="inlineStr">
        <is>
          <t>Done</t>
        </is>
      </c>
      <c r="J41" s="108" t="n">
        <v>5</v>
      </c>
      <c r="K41" s="109" t="n">
        <v>46295</v>
      </c>
      <c r="L41" s="109" t="n">
        <v>46301</v>
      </c>
      <c r="M41" s="110" t="inlineStr">
        <is>
          <t>rcfworks</t>
        </is>
      </c>
      <c r="N41" s="81" t="n">
        <v>0</v>
      </c>
      <c r="O41" s="80" t="inlineStr">
        <is>
          <t>2S5-INT-01</t>
        </is>
      </c>
      <c r="P41" s="80" t="inlineStr">
        <is>
          <t>A property can complete payout onboarding and SponsorX reflects its readiness status</t>
        </is>
      </c>
      <c r="Q41" s="82" t="inlineStr">
        <is>
          <t>Spec §8, §9</t>
        </is>
      </c>
      <c r="R41" s="111" t="inlineStr">
        <is>
          <t>2026-09-28 WAITING ON: the payment provider choice (2S0-PMO-03 — the programme owner's decision: provider, contract, sandbox credentials).
2026-09-30: payout-account flow built against the staging stand-in (not set up / needs information / ready; SponsorX keeps only the provider's id and status). Remaining: Stripe connected accounts once 2S0-PMO-03 is decided. | 2026-10-06: Stripe Connect Express onboarding build started. | Built and on staging; onboarding link and NEEDS_INFO status proven on staging. Final step (completing Stripe hosted onboarding to READY) needs a person: Stripe shows an hCaptcha to automated browsers. | Proven on staging 2026-10-06: the owner completed Stripe hosted onboarding for test team Stripe Test Hawks (acct_1UNQnWKA9GFzKcrb, test bank 6789); Stripe shows transfers and payouts active; SponsorX recorded READY automatically from the thin webhook at 07:54:46 UTC. Only eventually_due items remain (DOB, SSN last 4), which do not block payouts.</t>
        </is>
      </c>
    </row>
    <row r="42" ht="35.05" customHeight="1" s="75">
      <c r="A42" s="112" t="n">
        <v>40</v>
      </c>
      <c r="B42" s="113" t="inlineStr">
        <is>
          <t>2S5-BE-01</t>
        </is>
      </c>
      <c r="C42" s="85" t="n">
        <v>5</v>
      </c>
      <c r="D42" s="86" t="inlineStr">
        <is>
          <t>Sprint 5 · Payments, ledger &amp; payouts</t>
        </is>
      </c>
      <c r="E42" s="137" t="inlineStr">
        <is>
          <t>BE</t>
        </is>
      </c>
      <c r="F42" s="122" t="inlineStr">
        <is>
          <t>Code</t>
        </is>
      </c>
      <c r="G42" s="84" t="inlineStr">
        <is>
          <t>Commission rule engine</t>
        </is>
      </c>
      <c r="H42" s="116" t="inlineStr">
        <is>
          <t>Versioned rules for platform fee, management fee, property and athlete share, referral fee, by scope and priority.</t>
        </is>
      </c>
      <c r="I42" s="108" t="inlineStr">
        <is>
          <t>Done</t>
        </is>
      </c>
      <c r="J42" s="108" t="n">
        <v>5</v>
      </c>
      <c r="K42" s="109" t="inlineStr">
        <is>
          <t>2026-09-28</t>
        </is>
      </c>
      <c r="L42" s="109" t="inlineStr">
        <is>
          <t>2026-09-28</t>
        </is>
      </c>
      <c r="M42" s="110" t="inlineStr">
        <is>
          <t>rcfworks</t>
        </is>
      </c>
      <c r="N42" s="85" t="n">
        <v>0</v>
      </c>
      <c r="O42" s="84" t="inlineStr">
        <is>
          <t>2S0-PMO-02</t>
        </is>
      </c>
      <c r="P42" s="84" t="inlineStr">
        <is>
          <t>Rules apply in priority order; editing a rule never alters a closed payout</t>
        </is>
      </c>
      <c r="Q42" s="86" t="inlineStr">
        <is>
          <t>Spec §7.4, §9</t>
        </is>
      </c>
      <c r="R42" s="111" t="inlineStr">
        <is>
          <t>2026-09-28: CommissionRule — kinds PLATFORM_FEE, MANAGEMENT_FEE, PROCESSING, REFERRAL, RESERVE, TEAM_SHARE; scopes GLOBAL / PROPERTY_KIND / PROPERTY / SPONSOR; bps + fixed; explicit priority; effective window. GET/POST /commission-rules, POST /commission-rules/{id}/revise (BTG_ADMIN, FINANCE). Proven: the highest-priority matching rule in effect applies (kind rule over global, sponsor rule over both, a future-dated rule only once its window opens); a revision is version n+1 from now with version n's window closed, and the earlier moment still resolves to n. Postgres refuses any other change to a rule row. 'Never alters a closed payout': rules are read in exactly one place — resolveRates at contract time (static guard pins it) — and the result is frozen and booked; proven that a revision leaves every snapshot, every ledger entry (full-row fingerprint) and the property dashboard identical, while the next order uses the new version. Payouts (2S5-BE-04/05) draw on those entries and never ask the rules. Rates are SIMULATED (ledger design §5). Tests: tests/phase2-ledger.test.ts, mutation-checked.</t>
        </is>
      </c>
    </row>
    <row r="43" ht="32.8" customHeight="1" s="75">
      <c r="A43" s="104" t="n">
        <v>41</v>
      </c>
      <c r="B43" s="105" t="inlineStr">
        <is>
          <t>2S5-BE-02</t>
        </is>
      </c>
      <c r="C43" s="81" t="n">
        <v>5</v>
      </c>
      <c r="D43" s="82" t="inlineStr">
        <is>
          <t>Sprint 5 · Payments, ledger &amp; payouts</t>
        </is>
      </c>
      <c r="E43" s="139" t="inlineStr">
        <is>
          <t>BE</t>
        </is>
      </c>
      <c r="F43" s="120" t="inlineStr">
        <is>
          <t>Code</t>
        </is>
      </c>
      <c r="G43" s="80" t="inlineStr">
        <is>
          <t>Financial subledger</t>
        </is>
      </c>
      <c r="H43" s="107" t="inlineStr">
        <is>
          <t>Every financial movement becomes a ledger entry with debit, credit, type and status. The source of truth for what anyone is owed.</t>
        </is>
      </c>
      <c r="I43" s="108" t="inlineStr">
        <is>
          <t>Done</t>
        </is>
      </c>
      <c r="J43" s="108" t="n">
        <v>5</v>
      </c>
      <c r="K43" s="109" t="inlineStr">
        <is>
          <t>2026-09-28</t>
        </is>
      </c>
      <c r="L43" s="109" t="inlineStr">
        <is>
          <t>2026-09-28</t>
        </is>
      </c>
      <c r="M43" s="110" t="inlineStr">
        <is>
          <t>rcfworks</t>
        </is>
      </c>
      <c r="N43" s="81" t="n">
        <v>0</v>
      </c>
      <c r="O43" s="80" t="inlineStr">
        <is>
          <t>2S5-BE-01</t>
        </is>
      </c>
      <c r="P43" s="80" t="inlineStr">
        <is>
          <t>Property dashboard reconciles booked revenue, ledger balance, paid earnings and pending earnings exactly</t>
        </is>
      </c>
      <c r="Q43" s="82" t="inlineStr">
        <is>
          <t>Spec §7.4, §12</t>
        </is>
      </c>
      <c r="R43" s="111" t="inlineStr">
        <is>
          <t>2026-09-28: LedgerEntry — double-entry journals (debits = credits, refused otherwise), account / party / debit-or-credit / type / status; entries in the operator's books naming each party's tenant. BOOKING at contract (one journal per line + buyer fees), payables → AVAILABLE on PAID, RESERVE_RELEASE on CLOSED, REVERSAL (mirror of everything) on cancel/refund after contract; entries never rewritten, status only forward (trigger). GET /team/ledger — the property dashboard: booked, reversed, paid, ledger balance, pending (awaiting sponsor payment / available / reserved) — proven to reconcile exactly (booked − reversed − paid = balance = pending) at contract (151,093¢ as the design's example), after payment, after the reserve's release, and after a refund; another property sees none of it. Payouts post PAYOUT journals when 2S5-BE-05 lands (paid is 0 until then). Tests: tests/phase2-ledger.test.ts, mutation-checked.</t>
        </is>
      </c>
    </row>
    <row r="44" ht="23.85" customHeight="1" s="75">
      <c r="A44" s="112" t="n">
        <v>42</v>
      </c>
      <c r="B44" s="113" t="inlineStr">
        <is>
          <t>2S5-BE-03</t>
        </is>
      </c>
      <c r="C44" s="85" t="n">
        <v>5</v>
      </c>
      <c r="D44" s="86" t="inlineStr">
        <is>
          <t>Sprint 5 · Payments, ledger &amp; payouts</t>
        </is>
      </c>
      <c r="E44" s="137" t="inlineStr">
        <is>
          <t>BE</t>
        </is>
      </c>
      <c r="F44" s="122" t="inlineStr">
        <is>
          <t>Code</t>
        </is>
      </c>
      <c r="G44" s="84" t="inlineStr">
        <is>
          <t>Refunds and disputes</t>
        </is>
      </c>
      <c r="H44" s="116" t="inlineStr">
        <is>
          <t>Exceptions have to exist from day one, because they block payouts. An open dispute freezes the associated funds.</t>
        </is>
      </c>
      <c r="I44" s="108" t="inlineStr">
        <is>
          <t>Done</t>
        </is>
      </c>
      <c r="J44" s="108" t="n">
        <v>3</v>
      </c>
      <c r="K44" s="109" t="n">
        <v>46300</v>
      </c>
      <c r="L44" s="109" t="n">
        <v>46300</v>
      </c>
      <c r="M44" s="110" t="inlineStr">
        <is>
          <t>rcfworks</t>
        </is>
      </c>
      <c r="N44" s="85" t="n">
        <v>0</v>
      </c>
      <c r="O44" s="84" t="inlineStr">
        <is>
          <t>2S5-INT-02</t>
        </is>
      </c>
      <c r="P44" s="84" t="inlineStr">
        <is>
          <t>A refund or dispute correctly reverses ledger entries and blocks the related payout</t>
        </is>
      </c>
      <c r="Q44" s="86" t="inlineStr">
        <is>
          <t>Spec §9</t>
        </is>
      </c>
      <c r="R44" s="111" t="inlineStr">
        <is>
          <t>2026-09-28 WAITING ON: the payment provider choice (2S0-PMO-03 — the programme owner's decision: provider, contract, sandbox credentials). | Started 2026-10-05 against the stand-in payment provider; Stripe plugs in later through 2S5-INT-01. | Provider refunds reverse the ledger and block payouts (partial or mid-send refunds held for BTG); disputes OPEN &gt; UNDER_REVIEW &gt; WON | LOST, never moved by the system: opening freezes the order, BTG resolves to the provider outcome, LOST reverses the books and records money owed back. payment-disputes.test. 2026-10-05</t>
        </is>
      </c>
    </row>
    <row r="45" ht="23.85" customHeight="1" s="75">
      <c r="A45" s="104" t="n">
        <v>43</v>
      </c>
      <c r="B45" s="105" t="inlineStr">
        <is>
          <t>2S5-BE-04</t>
        </is>
      </c>
      <c r="C45" s="81" t="n">
        <v>5</v>
      </c>
      <c r="D45" s="82" t="inlineStr">
        <is>
          <t>Sprint 5 · Payments, ledger &amp; payouts</t>
        </is>
      </c>
      <c r="E45" s="139" t="inlineStr">
        <is>
          <t>BE</t>
        </is>
      </c>
      <c r="F45" s="120" t="inlineStr">
        <is>
          <t>Code</t>
        </is>
      </c>
      <c r="G45" s="80" t="inlineStr">
        <is>
          <t>Payout eligibility and request flow</t>
        </is>
      </c>
      <c r="H45" s="107" t="inlineStr">
        <is>
          <t>Payout depends on payment clearance, deliverable completion, dispute status, provider readiness and the configured holding period. All five, every time.</t>
        </is>
      </c>
      <c r="I45" s="108" t="inlineStr">
        <is>
          <t>Done</t>
        </is>
      </c>
      <c r="J45" s="108" t="n">
        <v>5</v>
      </c>
      <c r="K45" s="109" t="n">
        <v>46295</v>
      </c>
      <c r="L45" s="109" t="n">
        <v>46300</v>
      </c>
      <c r="M45" s="110" t="inlineStr">
        <is>
          <t>rcfworks</t>
        </is>
      </c>
      <c r="N45" s="81" t="inlineStr">
        <is>
          <t>2S5-FE-03</t>
        </is>
      </c>
      <c r="O45" s="80" t="inlineStr">
        <is>
          <t>2S5-BE-02</t>
        </is>
      </c>
      <c r="P45" s="80" t="inlineStr">
        <is>
          <t>Payout cannot be released if payment is unsettled, deliverables are incomplete, onboarding is incomplete, or a dispute is open</t>
        </is>
      </c>
      <c r="Q45" s="82" t="inlineStr">
        <is>
          <t>Spec §7.4, §12</t>
        </is>
      </c>
      <c r="R45" s="111" t="inlineStr">
        <is>
          <t>2026-09-28 WAITING ON: the payment provider (2S0-PMO-03). Its dependency (2S5-BE-02) is Done, but three of its four release checks need parts that come with the provider — payment settlement (2S5-INT-02), payout onboarding (2S5-INT-03) and disputes (2S5-BE-03).
2026-09-30: built — payout requests with the payment-settled, delivered, holding-period and payout-account-ready rules; refunds refused while a payout covers the order. Still open: the 'dispute open' clause waits for 2S5-BE-03 (no dispute model yet). | Reviewed 2026-10-01: every rule built and tested except the open-dispute check, which waits on 2S5-BE-03 (disputes) → 2S5-INT-02 → the payment provider (2S0-PMO-03). | Last clause added: an open dispute freezes the order in the payee balance, adds a fifth payout check (dispute) and stops approval and sending. Every clause has its own test in payout-eligibility.test. 2026-10-05</t>
        </is>
      </c>
    </row>
    <row r="46" ht="23.85" customHeight="1" s="75">
      <c r="A46" s="112" t="n">
        <v>44</v>
      </c>
      <c r="B46" s="113" t="inlineStr">
        <is>
          <t>2S5-BE-05</t>
        </is>
      </c>
      <c r="C46" s="85" t="n">
        <v>5</v>
      </c>
      <c r="D46" s="86" t="inlineStr">
        <is>
          <t>Sprint 5 · Payments, ledger &amp; payouts</t>
        </is>
      </c>
      <c r="E46" s="137" t="inlineStr">
        <is>
          <t>BE</t>
        </is>
      </c>
      <c r="F46" s="122" t="inlineStr">
        <is>
          <t>Code</t>
        </is>
      </c>
      <c r="G46" s="84" t="inlineStr">
        <is>
          <t>Payout approval and execution jobs</t>
        </is>
      </c>
      <c r="H46" s="116" t="inlineStr">
        <is>
          <t>Admin approves, the worker sends funds or marks the payout ready through the provider adapter, and exceptions are surfaced.</t>
        </is>
      </c>
      <c r="I46" s="108" t="inlineStr">
        <is>
          <t>Done</t>
        </is>
      </c>
      <c r="J46" s="108" t="n">
        <v>3</v>
      </c>
      <c r="K46" s="109" t="n">
        <v>46295</v>
      </c>
      <c r="L46" s="109" t="n">
        <v>46300</v>
      </c>
      <c r="M46" s="110" t="inlineStr">
        <is>
          <t>rcfworks</t>
        </is>
      </c>
      <c r="N46" s="85" t="inlineStr">
        <is>
          <t>2S5-FE-04</t>
        </is>
      </c>
      <c r="O46" s="84" t="inlineStr">
        <is>
          <t>2S5-BE-04</t>
        </is>
      </c>
      <c r="P46" s="84" t="inlineStr">
        <is>
          <t>An approved payout executes through the provider and its status is tracked to completion</t>
        </is>
      </c>
      <c r="Q46" s="86" t="inlineStr">
        <is>
          <t>Spec §8</t>
        </is>
      </c>
      <c r="R46" s="111" t="inlineStr">
        <is>
          <t>2026-09-28 WAITING ON: 2S5-BE-04, and so the payment provider (2S0-PMO-03) — a payout executes through the provider.
2026-09-30: built — BTG admin/Finance approve or send back; the worker sends through the provider adapter and the provider's confirmation marks it PAID, posts PAYOUT journals and emails the payee; failures retry. Runs end to end on the staging stand-in provider; completes when Stripe is connected (2S0-PMO-03). | Reviewed 2026-10-01: approval, send/confirm jobs, retry and journals built and tested on the stand-in; execution through the real provider waits on Stripe (2S0-PMO-03 / 2S5-INT-03). | Started 2026-10-05 against the stand-in payment provider; Stripe plugs in later through 2S5-INT-01. | payouts.send through sendPayoutToProvider with an idempotency key per attempt; payout.paid / failed / returned webhooks track it to completion; failures retried 1/6/24h then to BTG (payout.failedForBtg email); returned payouts reverse the journal. Approval follows the Phase 2 automation (automatic when checks pass). payout-execution.test. 2026-10-05</t>
        </is>
      </c>
    </row>
    <row r="47" ht="35.05" customHeight="1" s="75">
      <c r="A47" s="104" t="n">
        <v>45</v>
      </c>
      <c r="B47" s="105" t="inlineStr">
        <is>
          <t>2S5-FE-01</t>
        </is>
      </c>
      <c r="C47" s="81" t="n">
        <v>5</v>
      </c>
      <c r="D47" s="82" t="inlineStr">
        <is>
          <t>Sprint 5 · Payments, ledger &amp; payouts</t>
        </is>
      </c>
      <c r="E47" s="119" t="inlineStr">
        <is>
          <t>FE</t>
        </is>
      </c>
      <c r="F47" s="120" t="inlineStr">
        <is>
          <t>Code</t>
        </is>
      </c>
      <c r="G47" s="80" t="inlineStr">
        <is>
          <t>Build the commission and revenue-share editor</t>
        </is>
      </c>
      <c r="H47" s="107" t="inlineStr">
        <is>
          <t>Configure split rules by property, athlete, campaign, inventory type or partner.</t>
        </is>
      </c>
      <c r="I47" s="108" t="inlineStr">
        <is>
          <t>Done</t>
        </is>
      </c>
      <c r="J47" s="108" t="n">
        <v>5</v>
      </c>
      <c r="K47" s="109" t="inlineStr">
        <is>
          <t>2026-09-28</t>
        </is>
      </c>
      <c r="L47" s="109" t="inlineStr">
        <is>
          <t>2026-09-28</t>
        </is>
      </c>
      <c r="M47" s="110" t="inlineStr">
        <is>
          <t>rcfworks</t>
        </is>
      </c>
      <c r="N47" s="81" t="n">
        <v>0</v>
      </c>
      <c r="O47" s="80" t="inlineStr">
        <is>
          <t>2S5-BE-01</t>
        </is>
      </c>
      <c r="P47" s="80" t="inlineStr">
        <is>
          <t>Rules can be created, versioned and previewed against a sample order</t>
        </is>
      </c>
      <c r="Q47" s="82" t="inlineStr">
        <is>
          <t>Spec §6 P2-10</t>
        </is>
      </c>
      <c r="R47" s="111" t="inlineStr">
        <is>
          <t>2026-09-28 (built at the programme owner's request; BTG ADMIN ONLY): /admin/commission — the rules in effect per kind in the order the API applies them (highest priority first, 'applies first' marked), each with its version history; add a rule (kind, who it applies to — everyone / a property type / one property / one sponsor —, rate %, fixed $ where allowed, priority, note); revise a rule (saved as version n+1 from now; approved orders keep theirs); preview a sample order (lines, property type, athlete items with the property's cut) under the rules in effect AND with the unsaved rule, side by side with the change — computed by POST /commission-rules/preview on the same resolver and arithmetic the contract uses, writing nothing. Admin-only: the page checks BTG_ADMIN/SUPER_ADMIN before fetching, the nav hides it from other staff, and the API now refuses Finance writes (Finance keeps read; matrix §21, digest 49b852630719d073). Tests: frontend tests/commission-live.test.ts (parsing, grouping, render, access), backend tests/phase2-ledger.test.ts (preview reproduces the design example; a draft outranks by priority; admin-only).</t>
        </is>
      </c>
    </row>
    <row r="48" ht="23.85" customHeight="1" s="75">
      <c r="A48" s="112" t="n">
        <v>46</v>
      </c>
      <c r="B48" s="113" t="inlineStr">
        <is>
          <t>2S5-FE-02</t>
        </is>
      </c>
      <c r="C48" s="85" t="n">
        <v>5</v>
      </c>
      <c r="D48" s="86" t="inlineStr">
        <is>
          <t>Sprint 5 · Payments, ledger &amp; payouts</t>
        </is>
      </c>
      <c r="E48" s="121" t="inlineStr">
        <is>
          <t>FE</t>
        </is>
      </c>
      <c r="F48" s="122" t="inlineStr">
        <is>
          <t>Code</t>
        </is>
      </c>
      <c r="G48" s="84" t="inlineStr">
        <is>
          <t>Build the earnings and payout dashboard</t>
        </is>
      </c>
      <c r="H48" s="116" t="inlineStr">
        <is>
          <t>Gross revenue, fees, available balance, pending balance, payout history and exceptions.</t>
        </is>
      </c>
      <c r="I48" s="108" t="inlineStr">
        <is>
          <t>Done</t>
        </is>
      </c>
      <c r="J48" s="108" t="n">
        <v>5</v>
      </c>
      <c r="K48" s="109" t="n">
        <v>46294</v>
      </c>
      <c r="L48" s="109" t="n">
        <v>46296</v>
      </c>
      <c r="M48" s="110" t="inlineStr">
        <is>
          <t>rcfworks</t>
        </is>
      </c>
      <c r="N48" s="85" t="n">
        <v>0</v>
      </c>
      <c r="O48" s="84" t="inlineStr">
        <is>
          <t>2S5-BE-02</t>
        </is>
      </c>
      <c r="P48" s="84" t="inlineStr">
        <is>
          <t>Dashboard reconciles to the ledger to the cent</t>
        </is>
      </c>
      <c r="Q48" s="86" t="inlineStr">
        <is>
          <t>Spec §6 P2-11</t>
        </is>
      </c>
      <c r="R48" s="111" t="inlineStr">
        <is>
          <t>2026-09-29: PAYOUT entries are never written yet, so payouts show as not started.</t>
        </is>
      </c>
    </row>
    <row r="49" ht="23.85" customHeight="1" s="75">
      <c r="A49" s="104" t="n">
        <v>47</v>
      </c>
      <c r="B49" s="105" t="inlineStr">
        <is>
          <t>2S5-SEC-01</t>
        </is>
      </c>
      <c r="C49" s="81" t="n">
        <v>5</v>
      </c>
      <c r="D49" s="82" t="inlineStr">
        <is>
          <t>Sprint 5 · Payments, ledger &amp; payouts</t>
        </is>
      </c>
      <c r="E49" s="140" t="inlineStr">
        <is>
          <t>SEC</t>
        </is>
      </c>
      <c r="F49" s="120" t="inlineStr">
        <is>
          <t>Code</t>
        </is>
      </c>
      <c r="G49" s="80" t="inlineStr">
        <is>
          <t>Financial audit coverage</t>
        </is>
      </c>
      <c r="H49" s="107" t="inlineStr">
        <is>
          <t>Every pricing override, commission edit, payout approval and dispute action writes an immutable audit entry.</t>
        </is>
      </c>
      <c r="I49" s="108" t="inlineStr">
        <is>
          <t>Done</t>
        </is>
      </c>
      <c r="J49" s="108" t="n">
        <v>3</v>
      </c>
      <c r="K49" s="109" t="inlineStr">
        <is>
          <t>2026-09-28</t>
        </is>
      </c>
      <c r="L49" s="109" t="inlineStr">
        <is>
          <t>2026-09-28</t>
        </is>
      </c>
      <c r="M49" s="110" t="inlineStr">
        <is>
          <t>rcfworks</t>
        </is>
      </c>
      <c r="N49" s="81" t="n">
        <v>0</v>
      </c>
      <c r="O49" s="80" t="inlineStr">
        <is>
          <t>2S5-BE-02</t>
        </is>
      </c>
      <c r="P49" s="80" t="inlineStr">
        <is>
          <t>Immutable audit history exists for all financial and admin changes</t>
        </is>
      </c>
      <c r="Q49" s="82" t="inlineStr">
        <is>
          <t>Spec §3, §38</t>
        </is>
      </c>
      <c r="R49" s="111" t="inlineStr">
        <is>
          <t>2026-09-28: the audit log is append-only in Postgres (UPDATE always refused; DELETE refused except in a database explicitly marked as a test database — CI's two and the local test DB; never staging/production). tests/financial-audit-coverage.test.ts now covers the Phase 2 money modules (inventory pricing, offers, marketplace orders and approval, commission, ledger): every exported mutator audits directly or through an audited helper, and any domain module that writes a money model must be one of them. Proven: commission create/revise, order place/approve/paid/closed/refunded and every ledger posting (book, markPaid, releaseReserve, reverse) leave audit rows; an audit row cannot be updated or, outside a test database, deleted. Payout approval and dispute actions are covered by the same guard the moment their modules exist (2S5-BE-03/05). Mutation-checked.</t>
        </is>
      </c>
    </row>
    <row r="50" ht="22.35" customHeight="1" s="75">
      <c r="A50" s="112" t="n">
        <v>48</v>
      </c>
      <c r="B50" s="113" t="inlineStr">
        <is>
          <t>2S6-INT-01</t>
        </is>
      </c>
      <c r="C50" s="85" t="n">
        <v>6</v>
      </c>
      <c r="D50" s="86" t="inlineStr">
        <is>
          <t>Sprint 6 · Wallet rewards &amp; notifications</t>
        </is>
      </c>
      <c r="E50" s="141" t="inlineStr">
        <is>
          <t>INT</t>
        </is>
      </c>
      <c r="F50" s="124" t="inlineStr">
        <is>
          <t>Code + console</t>
        </is>
      </c>
      <c r="G50" s="84" t="inlineStr">
        <is>
          <t>Apple Wallet pass adapter</t>
        </is>
      </c>
      <c r="H50" s="116" t="inlineStr">
        <is>
          <t>Issue, update and expire offer passes. Behind an adapter interface so Google Wallet is a second implementation, not a rewrite.</t>
        </is>
      </c>
      <c r="I50" s="108" t="inlineStr">
        <is>
          <t>Blocked</t>
        </is>
      </c>
      <c r="J50" s="108" t="n">
        <v>5</v>
      </c>
      <c r="K50" s="109" t="n"/>
      <c r="L50" s="109" t="n"/>
      <c r="M50" s="110" t="n"/>
      <c r="N50" s="85" t="n">
        <v>0</v>
      </c>
      <c r="O50" s="84" t="inlineStr">
        <is>
          <t>2S5-INT-01</t>
        </is>
      </c>
      <c r="P50" s="84" t="inlineStr">
        <is>
          <t>A wallet pass can be issued and updated from SponsorX</t>
        </is>
      </c>
      <c r="Q50" s="86" t="inlineStr">
        <is>
          <t>Spec §6 P2-12</t>
        </is>
      </c>
      <c r="R50" s="111" t="inlineStr">
        <is>
          <t>2026-09-28 WAITING ON: the payment provider choice (2S0-PMO-03 — the programme owner's decision: provider, contract, sandbox credentials). | 2026-10-07: the payment provider is chosen (Stripe), so that is no longer the blocker. Waits on an Apple Developer account with a Pass Type ID certificate (2S6-INT-01) and a Google Wallet issuer account (2S6-INT-02). | PARKED 2026-10-08 by the user's decision, pending Rodney's confirmation: the wallet is OPTIONAL — fans already claim and redeem through the QR web page — and the Apple Developer fee (US$99/yr) plus Apple's company verification cost time and money. Taken out of Phase 2's sign-off for now (criterion #11 marked Parked in documentation/SponsorX-Phase2-Acceptance-Signoff.md); Status stays Blocked because Phase 2's list has no Parked/Dropped value. Resume on the owner's go-ahead; set-up guide: doc 'Apple &amp; Google Wallet Issuer Setup' (https://claude.ai/artifact/7CG3x59P99VC5tNxnx1idi). | 2026-10-09: parked until further notice, approved by Rodney; out of Phase 2 sign-off.</t>
        </is>
      </c>
    </row>
    <row r="51" ht="23.85" customHeight="1" s="75">
      <c r="A51" s="104" t="n">
        <v>49</v>
      </c>
      <c r="B51" s="105" t="inlineStr">
        <is>
          <t>2S6-INT-02</t>
        </is>
      </c>
      <c r="C51" s="81" t="n">
        <v>6</v>
      </c>
      <c r="D51" s="82" t="inlineStr">
        <is>
          <t>Sprint 6 · Wallet rewards &amp; notifications</t>
        </is>
      </c>
      <c r="E51" s="138" t="inlineStr">
        <is>
          <t>INT</t>
        </is>
      </c>
      <c r="F51" s="136" t="inlineStr">
        <is>
          <t>Code + console</t>
        </is>
      </c>
      <c r="G51" s="80" t="inlineStr">
        <is>
          <t>Google Wallet pass adapter</t>
        </is>
      </c>
      <c r="H51" s="107" t="inlineStr">
        <is>
          <t>The second implementation of the same interface.</t>
        </is>
      </c>
      <c r="I51" s="108" t="inlineStr">
        <is>
          <t>Blocked</t>
        </is>
      </c>
      <c r="J51" s="108" t="n">
        <v>3</v>
      </c>
      <c r="K51" s="109" t="n"/>
      <c r="L51" s="109" t="n"/>
      <c r="M51" s="110" t="n"/>
      <c r="N51" s="81" t="n">
        <v>0</v>
      </c>
      <c r="O51" s="80" t="inlineStr">
        <is>
          <t>2S6-INT-01</t>
        </is>
      </c>
      <c r="P51" s="80" t="inlineStr">
        <is>
          <t>Google Wallet passes issue and update through the same adapter interface</t>
        </is>
      </c>
      <c r="Q51" s="82" t="inlineStr">
        <is>
          <t>Spec §10</t>
        </is>
      </c>
      <c r="R51" s="111" t="inlineStr">
        <is>
          <t>2026-09-28 WAITING ON: the payment provider choice (2S0-PMO-03 — the programme owner's decision: provider, contract, sandbox credentials). | 2026-10-07: the payment provider is chosen (Stripe), so that is no longer the blocker. Waits on an Apple Developer account with a Pass Type ID certificate (2S6-INT-01) and a Google Wallet issuer account (2S6-INT-02). | PARKED 2026-10-08 by the user's decision, pending Rodney's confirmation: the wallet is OPTIONAL — fans already claim and redeem through the QR web page — and the Apple Developer fee (US$99/yr) plus Apple's company verification cost time and money. Taken out of Phase 2's sign-off for now (criterion #11 marked Parked in documentation/SponsorX-Phase2-Acceptance-Signoff.md); Status stays Blocked because Phase 2's list has no Parked/Dropped value. Resume on the owner's go-ahead; set-up guide: doc 'Apple &amp; Google Wallet Issuer Setup' (https://claude.ai/artifact/7CG3x59P99VC5tNxnx1idi). | 2026-10-09: parked until further notice, approved by Rodney; out of Phase 2 sign-off.</t>
        </is>
      </c>
    </row>
    <row r="52" ht="22.35" customHeight="1" s="75">
      <c r="A52" s="112" t="n">
        <v>50</v>
      </c>
      <c r="B52" s="113" t="inlineStr">
        <is>
          <t>2S6-BE-01</t>
        </is>
      </c>
      <c r="C52" s="85" t="n">
        <v>6</v>
      </c>
      <c r="D52" s="86" t="inlineStr">
        <is>
          <t>Sprint 6 · Wallet rewards &amp; notifications</t>
        </is>
      </c>
      <c r="E52" s="137" t="inlineStr">
        <is>
          <t>BE</t>
        </is>
      </c>
      <c r="F52" s="122" t="inlineStr">
        <is>
          <t>Code</t>
        </is>
      </c>
      <c r="G52" s="84" t="inlineStr">
        <is>
          <t>Wallet pass lifecycle and device registrations</t>
        </is>
      </c>
      <c r="H52" s="116" t="inlineStr">
        <is>
          <t>Track provider template, device registrations and last update so a pass can be revoked or changed after a fan has installed it.</t>
        </is>
      </c>
      <c r="I52" s="108" t="inlineStr">
        <is>
          <t>Blocked</t>
        </is>
      </c>
      <c r="J52" s="108" t="n">
        <v>3</v>
      </c>
      <c r="K52" s="109" t="n"/>
      <c r="L52" s="109" t="n"/>
      <c r="M52" s="110" t="n"/>
      <c r="N52" s="85" t="n">
        <v>0</v>
      </c>
      <c r="O52" s="84" t="inlineStr">
        <is>
          <t>2S6-INT-01</t>
        </is>
      </c>
      <c r="P52" s="84" t="inlineStr">
        <is>
          <t>Pass state changes propagate to installed passes</t>
        </is>
      </c>
      <c r="Q52" s="86" t="inlineStr">
        <is>
          <t>Spec §9</t>
        </is>
      </c>
      <c r="R52" s="111" t="inlineStr">
        <is>
          <t>2026-09-28 WAITING ON: the payment provider choice (2S0-PMO-03 — the programme owner's decision: provider, contract, sandbox credentials). | 2026-10-07: the payment provider is chosen (Stripe), so that is no longer the blocker. Waits on an Apple Developer account with a Pass Type ID certificate (2S6-INT-01) and a Google Wallet issuer account (2S6-INT-02). | PARKED 2026-10-08 by the user's decision, pending Rodney's confirmation: the wallet is OPTIONAL — fans already claim and redeem through the QR web page — and the Apple Developer fee (US$99/yr) plus Apple's company verification cost time and money. Taken out of Phase 2's sign-off for now (criterion #11 marked Parked in documentation/SponsorX-Phase2-Acceptance-Signoff.md); Status stays Blocked because Phase 2's list has no Parked/Dropped value. Resume on the owner's go-ahead; set-up guide: doc 'Apple &amp; Google Wallet Issuer Setup' (https://claude.ai/artifact/7CG3x59P99VC5tNxnx1idi). | 2026-10-09: parked until further notice, approved by Rodney; out of Phase 2 sign-off.</t>
        </is>
      </c>
    </row>
    <row r="53" ht="23.85" customHeight="1" s="75">
      <c r="A53" s="104" t="n">
        <v>51</v>
      </c>
      <c r="B53" s="105" t="inlineStr">
        <is>
          <t>2S6-BE-02</t>
        </is>
      </c>
      <c r="C53" s="81" t="n">
        <v>6</v>
      </c>
      <c r="D53" s="82" t="inlineStr">
        <is>
          <t>Sprint 6 · Wallet rewards &amp; notifications</t>
        </is>
      </c>
      <c r="E53" s="139" t="inlineStr">
        <is>
          <t>BE</t>
        </is>
      </c>
      <c r="F53" s="120" t="inlineStr">
        <is>
          <t>Code</t>
        </is>
      </c>
      <c r="G53" s="80" t="inlineStr">
        <is>
          <t>Notification preferences</t>
        </is>
      </c>
      <c r="H53" s="107" t="inlineStr">
        <is>
          <t>Users choose which events reach them and on which channel. Marketplace volume makes this necessary rather than nice to have.</t>
        </is>
      </c>
      <c r="I53" s="108" t="inlineStr">
        <is>
          <t>Done</t>
        </is>
      </c>
      <c r="J53" s="108" t="n">
        <v>3</v>
      </c>
      <c r="K53" s="109" t="inlineStr">
        <is>
          <t>2026-09-28</t>
        </is>
      </c>
      <c r="L53" s="109" t="inlineStr">
        <is>
          <t>2026-09-28</t>
        </is>
      </c>
      <c r="M53" s="110" t="inlineStr">
        <is>
          <t>rcfworks</t>
        </is>
      </c>
      <c r="N53" s="81" t="n">
        <v>0</v>
      </c>
      <c r="O53" s="80" t="inlineStr">
        <is>
          <t>2S1-INT-01</t>
        </is>
      </c>
      <c r="P53" s="80" t="inlineStr">
        <is>
          <t>A user can mute a channel per event type and the worker honours it</t>
        </is>
      </c>
      <c r="Q53" s="82" t="inlineStr">
        <is>
          <t>Spec §9</t>
        </is>
      </c>
      <c r="R53" s="111" t="inlineStr">
        <is>
          <t>2026-09-28: NotificationPreference (user, event, channel → muted), migration 20260928140000. GET/PUT /me/notification-preferences — always the caller's own (a smuggled userId/tenantId sets nothing of anyone else's). Mutable: invitation.*, deliverable.*, student.prospectDeclined; decision notices (athlete/guardian/onboarding outcomes, fan voucher) cannot be muted. The worker honours it at send time in handleSendEmail (mutedFor: that event, that person — login or athlete-record address — that tenant), before claiming the send, so nothing is sent or recorded. EMAIL is the only channel the worker sends today; the key has room for SMS/push. New resource notificationPreference (every role own/own; matrix §17; digest 9335a770498a2530, old grid unchanged with it removed). Tests: tests/notification-preferences.test.ts, mutation-checked.</t>
        </is>
      </c>
    </row>
    <row r="54" ht="22.35" customHeight="1" s="75">
      <c r="A54" s="112" t="n">
        <v>52</v>
      </c>
      <c r="B54" s="113" t="inlineStr">
        <is>
          <t>2S6-FE-01</t>
        </is>
      </c>
      <c r="C54" s="85" t="n">
        <v>6</v>
      </c>
      <c r="D54" s="86" t="inlineStr">
        <is>
          <t>Sprint 6 · Wallet rewards &amp; notifications</t>
        </is>
      </c>
      <c r="E54" s="121" t="inlineStr">
        <is>
          <t>FE</t>
        </is>
      </c>
      <c r="F54" s="122" t="inlineStr">
        <is>
          <t>Code</t>
        </is>
      </c>
      <c r="G54" s="84" t="inlineStr">
        <is>
          <t>Build the wallet reward manager</t>
        </is>
      </c>
      <c r="H54" s="116" t="inlineStr">
        <is>
          <t>Issue, update and deactivate passes; claim links; provider status.</t>
        </is>
      </c>
      <c r="I54" s="108" t="inlineStr">
        <is>
          <t>Blocked</t>
        </is>
      </c>
      <c r="J54" s="108" t="n">
        <v>3</v>
      </c>
      <c r="K54" s="109" t="n"/>
      <c r="L54" s="109" t="n"/>
      <c r="M54" s="110" t="n"/>
      <c r="N54" s="85" t="n">
        <v>0</v>
      </c>
      <c r="O54" s="84" t="inlineStr">
        <is>
          <t>2S6-BE-01</t>
        </is>
      </c>
      <c r="P54" s="84" t="inlineStr">
        <is>
          <t>Staff can manage the full pass lifecycle from the console</t>
        </is>
      </c>
      <c r="Q54" s="86" t="inlineStr">
        <is>
          <t>Spec §6 P2-12</t>
        </is>
      </c>
      <c r="R54" s="111" t="inlineStr">
        <is>
          <t>2026-10-07: the payment provider is chosen (Stripe), so that is no longer the blocker. Waits on an Apple Developer account with a Pass Type ID certificate (2S6-INT-01) and a Google Wallet issuer account (2S6-INT-02). | PARKED 2026-10-08 by the user's decision, pending Rodney's confirmation: the wallet is OPTIONAL — fans already claim and redeem through the QR web page — and the Apple Developer fee (US$99/yr) plus Apple's company verification cost time and money. Taken out of Phase 2's sign-off for now (criterion #11 marked Parked in documentation/SponsorX-Phase2-Acceptance-Signoff.md); Status stays Blocked because Phase 2's list has no Parked/Dropped value. Resume on the owner's go-ahead; set-up guide: doc 'Apple &amp; Google Wallet Issuer Setup' (https://claude.ai/artifact/7CG3x59P99VC5tNxnx1idi). | 2026-10-09: parked until further notice, approved by Rodney; out of Phase 2 sign-off.</t>
        </is>
      </c>
    </row>
    <row r="55" ht="23.85" customHeight="1" s="75">
      <c r="A55" s="104" t="n">
        <v>53</v>
      </c>
      <c r="B55" s="105" t="inlineStr">
        <is>
          <t>2S7-DATA-01</t>
        </is>
      </c>
      <c r="C55" s="81" t="n">
        <v>7</v>
      </c>
      <c r="D55" s="82" t="inlineStr">
        <is>
          <t>Sprint 7 · Analytics &amp; governance</t>
        </is>
      </c>
      <c r="E55" s="143" t="inlineStr">
        <is>
          <t>DATA</t>
        </is>
      </c>
      <c r="F55" s="120" t="inlineStr">
        <is>
          <t>Code</t>
        </is>
      </c>
      <c r="G55" s="80" t="inlineStr">
        <is>
          <t>Property analytics aggregates</t>
        </is>
      </c>
      <c r="H55" s="107" t="inlineStr">
        <is>
          <t>Per-property revenue, sell-through, average CPM, campaign completion, sponsor mix and payout trends.</t>
        </is>
      </c>
      <c r="I55" s="108" t="inlineStr">
        <is>
          <t>Done</t>
        </is>
      </c>
      <c r="J55" s="108" t="n">
        <v>5</v>
      </c>
      <c r="K55" s="109" t="inlineStr">
        <is>
          <t>2026-09-28</t>
        </is>
      </c>
      <c r="L55" s="109" t="inlineStr">
        <is>
          <t>2026-09-28</t>
        </is>
      </c>
      <c r="M55" s="110" t="inlineStr">
        <is>
          <t>rcfworks</t>
        </is>
      </c>
      <c r="N55" s="81" t="n">
        <v>0</v>
      </c>
      <c r="O55" s="80" t="inlineStr">
        <is>
          <t>2S5-BE-02</t>
        </is>
      </c>
      <c r="P55" s="80" t="inlineStr">
        <is>
          <t>Property analytics reconcile to the ledger and campaign records</t>
        </is>
      </c>
      <c r="Q55" s="82" t="inlineStr">
        <is>
          <t>Spec §6 P2-13</t>
        </is>
      </c>
      <c r="R55" s="111" t="inlineStr">
        <is>
          <t>2026-09-28: GET /team/analytics — revenue (booked/reversed/net, by month), campaign completion (contracted/completed/cancelled orders and rate), sell-through per item (contracted units vs stock), sponsor mix (booked by sponsor category), payout trends — each from one named source: the property's ledger entries or its order records. Proven to reconcile: revenue totals and monthly sums equal the dashboard, sponsor mix sums to booked, completion equals the order records, sell-through equals contracted commitments (refunded stock returned). Average CPM is returned null with its reason — marketplace inventory has no impression data yet, so a CPM would have no source. Another property sees nothing; sponsors 403. Tests: tests/phase2-ledger.test.ts.</t>
        </is>
      </c>
    </row>
    <row r="56" ht="15" customHeight="1" s="75">
      <c r="A56" s="112" t="n">
        <v>54</v>
      </c>
      <c r="B56" s="113" t="inlineStr">
        <is>
          <t>2S7-FE-01</t>
        </is>
      </c>
      <c r="C56" s="85" t="n">
        <v>7</v>
      </c>
      <c r="D56" s="86" t="inlineStr">
        <is>
          <t>Sprint 7 · Analytics &amp; governance</t>
        </is>
      </c>
      <c r="E56" s="121" t="inlineStr">
        <is>
          <t>FE</t>
        </is>
      </c>
      <c r="F56" s="122" t="inlineStr">
        <is>
          <t>Code</t>
        </is>
      </c>
      <c r="G56" s="84" t="inlineStr">
        <is>
          <t>Build the property analytics dashboard</t>
        </is>
      </c>
      <c r="H56" s="116" t="inlineStr">
        <is>
          <t>The external property's view of how their inventory is performing commercially.</t>
        </is>
      </c>
      <c r="I56" s="108" t="inlineStr">
        <is>
          <t>Done</t>
        </is>
      </c>
      <c r="J56" s="108" t="n">
        <v>5</v>
      </c>
      <c r="K56" s="109" t="n">
        <v>46294</v>
      </c>
      <c r="L56" s="109" t="n">
        <v>46296</v>
      </c>
      <c r="M56" s="110" t="inlineStr">
        <is>
          <t>rcfworks</t>
        </is>
      </c>
      <c r="N56" s="85" t="n">
        <v>0</v>
      </c>
      <c r="O56" s="84" t="inlineStr">
        <is>
          <t>2S7-DATA-01</t>
        </is>
      </c>
      <c r="P56" s="84" t="inlineStr">
        <is>
          <t>Dashboard renders live per-property analytics</t>
        </is>
      </c>
      <c r="Q56" s="86" t="inlineStr">
        <is>
          <t>Spec §6 P2-13</t>
        </is>
      </c>
      <c r="R56" s="111" t="n"/>
    </row>
    <row r="57" ht="23.85" customHeight="1" s="75">
      <c r="A57" s="104" t="n">
        <v>55</v>
      </c>
      <c r="B57" s="105" t="inlineStr">
        <is>
          <t>2S7-FE-02</t>
        </is>
      </c>
      <c r="C57" s="81" t="n">
        <v>7</v>
      </c>
      <c r="D57" s="82" t="inlineStr">
        <is>
          <t>Sprint 7 · Analytics &amp; governance</t>
        </is>
      </c>
      <c r="E57" s="119" t="inlineStr">
        <is>
          <t>FE</t>
        </is>
      </c>
      <c r="F57" s="120" t="inlineStr">
        <is>
          <t>Code</t>
        </is>
      </c>
      <c r="G57" s="80" t="inlineStr">
        <is>
          <t>Build the marketplace operations console</t>
        </is>
      </c>
      <c r="H57" s="107" t="inlineStr">
        <is>
          <t>Moderation queue, disputes, failed payments, payout exceptions and listings needing review. The screen BTG staff live in.</t>
        </is>
      </c>
      <c r="I57" s="108" t="inlineStr">
        <is>
          <t>Done</t>
        </is>
      </c>
      <c r="J57" s="108" t="n">
        <v>5</v>
      </c>
      <c r="K57" s="109" t="n">
        <v>46294</v>
      </c>
      <c r="L57" s="109" t="n">
        <v>46303</v>
      </c>
      <c r="M57" s="110" t="inlineStr">
        <is>
          <t>HeckerCreatives</t>
        </is>
      </c>
      <c r="N57" s="81" t="n">
        <v>0</v>
      </c>
      <c r="O57" s="80" t="inlineStr">
        <is>
          <t>2S3-BE-01</t>
        </is>
      </c>
      <c r="P57" s="80" t="inlineStr">
        <is>
          <t>Every exception type surfaces in the console and can be actioned</t>
        </is>
      </c>
      <c r="Q57" s="82" t="inlineStr">
        <is>
          <t>Spec §6 P2-14</t>
        </is>
      </c>
      <c r="R57" s="111" t="inlineStr">
        <is>
          <t>2026-09-29: disputes / failed payments / payout exceptions have no backend — shown as not tracked yet. | Partly fixed 2026-10-01: failed payments (new GET /payments/failed) and payout problems (with Retry) now show in the console. Disputes still missing — they arrive with 2S5-BE-03 (Blocked). | Re-checked 2026-10-07: not met. Console lacks disputes, payment events held/failed, payouts awaiting approval (REQUESTED), refunds to send, delivery issues, frozen payouts; its Disputes card text is stale. Disputes and payment events need 2S5-FE-07/08 first. | 2026-10-08 re-checked on main_development: NOT MET. The backend serves every exception (/disputes, /payment-events, /refunds, /delivery-issues, /payouts), and each has its own desk, but the console (/admin/marketplace) still says 'Disputes aren't counted yet' (stale) and does not surface held/failed payment events, refunds to send, delivery issues, payouts awaiting approval or frozen payouts. Frontend work — for HeckerCreatives. | 2026-10-08 HANDED TO HeckerCreatives (the user's decision; frontend work). About half a day to a day, frontend only — the API already serves every count. On /admin/marketplace (components/marketplace-desk.tsx, the P1-ART-20 queue strip): (1) replace the stale 'Disputes aren't counted yet' line with a Disputes tile (GET /disputes counts by state; open disputes also mean frozen payout money, so the tile covers 'frozen payouts'), linking /admin/payments/disputes; (2) add tiles for payment events waiting on BTG (GET /payment-events waitingOnBtg → /admin/payments/events), refunds to send (GET /refunds counts.open → /admin/refunds), delivery issues (GET /delivery-issues tab counts → /admin/delivery-issues) and payouts awaiting approval (GET /payouts counts.REQUESTED → /admin/payouts); (3) update the desk's unit tests and e2e/admin-marketplace-desk.spec.ts. Done when every exception type shows in the console with its count and a link to the desk that actions it. | 2026-10-08 (HeckerCreatives, via Claude): the brief built — five link tiles under the queue strip (Disputes, Payment events, Refunds to send, Delivery issues, Payouts to approve), each the API's own count linking the desk that actions it; the stale disputes line gone. Verified: unit tests (linkTiles), eslint, tsc; e2e/admin-marketplace-desk.spec.ts cross-checks every tile against GET /disputes, /payment-events, /refunds, /delivery-issues, /payouts as the same admin and opens a desk from a tile; backend suites behind those endpoints green on a clean test DB. Done.</t>
        </is>
      </c>
    </row>
    <row r="58" ht="22.35" customHeight="1" s="75">
      <c r="A58" s="112" t="n">
        <v>56</v>
      </c>
      <c r="B58" s="113" t="inlineStr">
        <is>
          <t>2S7-INT-01</t>
        </is>
      </c>
      <c r="C58" s="85" t="n">
        <v>7</v>
      </c>
      <c r="D58" s="86" t="inlineStr">
        <is>
          <t>Sprint 7 · Analytics &amp; governance</t>
        </is>
      </c>
      <c r="E58" s="141" t="inlineStr">
        <is>
          <t>INT</t>
        </is>
      </c>
      <c r="F58" s="122" t="inlineStr">
        <is>
          <t>Code</t>
        </is>
      </c>
      <c r="G58" s="84" t="inlineStr">
        <is>
          <t>Expand Zoho sync for marketplace orders</t>
        </is>
      </c>
      <c r="H58" s="116" t="inlineStr">
        <is>
          <t>External property accounts, marketplace orders, deal stages, invoice and payment references, and renewals now flow to Zoho too.</t>
        </is>
      </c>
      <c r="I58" s="108" t="inlineStr">
        <is>
          <t>Done</t>
        </is>
      </c>
      <c r="J58" s="108" t="n">
        <v>5</v>
      </c>
      <c r="K58" s="109" t="inlineStr">
        <is>
          <t>2026-09-28</t>
        </is>
      </c>
      <c r="L58" s="109" t="inlineStr">
        <is>
          <t>2026-09-28</t>
        </is>
      </c>
      <c r="M58" s="110" t="inlineStr">
        <is>
          <t>rcfworks</t>
        </is>
      </c>
      <c r="N58" s="85" t="n">
        <v>0</v>
      </c>
      <c r="O58" s="84" t="inlineStr">
        <is>
          <t>2S4-BE-03</t>
        </is>
      </c>
      <c r="P58" s="84" t="inlineStr">
        <is>
          <t>Zoho contains linked Account, Contact and Deal data for external marketplace transactions</t>
        </is>
      </c>
      <c r="Q58" s="86" t="inlineStr">
        <is>
          <t>Spec §10, §12</t>
        </is>
      </c>
      <c r="R58" s="111" t="inlineStr">
        <is>
          <t>2026-09-28: zoho.pushMarketplaceOrder, queued in the approval's transaction and on every later move: the sponsor's Account + primary Contact (existing pushes), each outside property as an Account of its own (Partner, SponsorX_ID property:&lt;id&gt;, stored in Property.zohoId — the S-9 mapping change, field-mapping §12.2) with its manager as a Contact under it (Property.zohoContactId), then the Deal (SponsorX_ID mkt-order:&lt;id&gt;) linked to the sponsor Account and Contact, naming each property Account in Description; Amount = total, Stage Closed Won from approval / Closed Lost on cancel or refund, Type by earlier orders only. Idempotent by SponsorX_ID; after the first push only Stage is sent. Never pushed before contracted. Worker job registered and gated by Zoho credentials like every CRM job. Tests: tests/phase2-orders.test.ts against the fake Zoho org (as every sync test); mutation-checked. Live sandbox check is a separate step once credentials are on the worker.</t>
        </is>
      </c>
    </row>
    <row r="59" ht="23.85" customHeight="1" s="75">
      <c r="A59" s="104" t="n">
        <v>57</v>
      </c>
      <c r="B59" s="105" t="inlineStr">
        <is>
          <t>2S7-BE-01</t>
        </is>
      </c>
      <c r="C59" s="81" t="n">
        <v>7</v>
      </c>
      <c r="D59" s="82" t="inlineStr">
        <is>
          <t>Sprint 7 · Analytics &amp; governance</t>
        </is>
      </c>
      <c r="E59" s="139" t="inlineStr">
        <is>
          <t>BE</t>
        </is>
      </c>
      <c r="F59" s="120" t="inlineStr">
        <is>
          <t>Code</t>
        </is>
      </c>
      <c r="G59" s="80" t="inlineStr">
        <is>
          <t>White-label tenant branding</t>
        </is>
      </c>
      <c r="H59" s="107" t="inlineStr">
        <is>
          <t>Tenant logo, colours and report branding, plus readiness for custom subdomain mapping.</t>
        </is>
      </c>
      <c r="I59" s="108" t="inlineStr">
        <is>
          <t>Done</t>
        </is>
      </c>
      <c r="J59" s="108" t="n">
        <v>3</v>
      </c>
      <c r="K59" s="109" t="inlineStr">
        <is>
          <t>2026-09-28</t>
        </is>
      </c>
      <c r="L59" s="109" t="inlineStr">
        <is>
          <t>2026-09-28</t>
        </is>
      </c>
      <c r="M59" s="110" t="inlineStr">
        <is>
          <t>rcfworks</t>
        </is>
      </c>
      <c r="N59" s="81" t="n">
        <v>0</v>
      </c>
      <c r="O59" s="80" t="inlineStr">
        <is>
          <t>2S1-BE-04</t>
        </is>
      </c>
      <c r="P59" s="80" t="inlineStr">
        <is>
          <t>A tenant's branding is served to its portal and renders on its reports (the portal rendering itself is 2S7-FE-03)</t>
        </is>
      </c>
      <c r="Q59" s="82" t="inlineStr">
        <is>
          <t>Spec §9</t>
        </is>
      </c>
      <c r="R59" s="111" t="inlineStr">
        <is>
          <t>2026-09-28: TenantBranding (name, logo, colours, report footer, requested custom domain — validated, unique, not sponsorx.net; routing is later). GET /branding serves the caller's tenant to its portal (every role reads own tenant); PUT /branding for BTG_ADMIN (BTG) and an outside organisation's PROPERTY_MGR (their tenant only — a BTG-tenant property manager is refused); POST /branding/logo is a public-bucket PNG/JPEG grant under branding/&lt;tenant&gt;/. The rendered report embeds the logo (data URI — the render fetches nothing), colours and footer; screen 12's payload carries the branding. Acceptance re-scoped at the programme owner's instruction: the portal rendering itself is 2S7-FE-03. Tests: tests/phase2-marketplace.test.ts (real Chromium PDF), mutation-checked.</t>
        </is>
      </c>
    </row>
    <row r="60" ht="23.85" customHeight="1" s="75">
      <c r="A60" s="112" t="n">
        <v>58</v>
      </c>
      <c r="B60" s="113" t="inlineStr">
        <is>
          <t>2S8-QA-01</t>
        </is>
      </c>
      <c r="C60" s="85" t="n">
        <v>8</v>
      </c>
      <c r="D60" s="86" t="inlineStr">
        <is>
          <t>Sprint 8 · QA, security &amp; rollout</t>
        </is>
      </c>
      <c r="E60" s="134" t="inlineStr">
        <is>
          <t>QA</t>
        </is>
      </c>
      <c r="F60" s="122" t="inlineStr">
        <is>
          <t>Code</t>
        </is>
      </c>
      <c r="G60" s="84" t="inlineStr">
        <is>
          <t>End-to-end marketplace test suite</t>
        </is>
      </c>
      <c r="H60" s="116" t="inlineStr">
        <is>
          <t>Onboarding through listing, purchase, fulfilment, earnings and payout, as one automated run.</t>
        </is>
      </c>
      <c r="I60" s="108" t="inlineStr">
        <is>
          <t>Done</t>
        </is>
      </c>
      <c r="J60" s="108" t="n">
        <v>5</v>
      </c>
      <c r="K60" s="109" t="n">
        <v>46300</v>
      </c>
      <c r="L60" s="109" t="n">
        <v>46300</v>
      </c>
      <c r="M60" s="110" t="inlineStr">
        <is>
          <t>rcfworks</t>
        </is>
      </c>
      <c r="N60" s="85" t="n">
        <v>0</v>
      </c>
      <c r="O60" s="84" t="inlineStr">
        <is>
          <t>2S4-FE-02</t>
        </is>
      </c>
      <c r="P60" s="84" t="inlineStr">
        <is>
          <t>The full marketplace path runs green in CI</t>
        </is>
      </c>
      <c r="Q60" s="86" t="inlineStr">
        <is>
          <t>Spec §11</t>
        </is>
      </c>
      <c r="R60" s="111" t="inlineStr">
        <is>
          <t>Started 2026-10-05: its blocker 2S4-FE-02 is Done; scope includes making CI green (stale loop specs, the e2e 429, P9-QA-01 clauses 4-5). | e2e/marketplace-path.spec.ts walks team + athlete onboarding, roster, listing, purchase within the spending limit, the exact split, payment, delivery, automatic payout and reserve release to CLOSED with nobody approving. Stale loop-p3/p4/p5/p7 specs and next-edition-e2e clauses 4-5 updated for automation; the 429s were Clerk getUser on every request (now only at first link). CI fully green, run 37281259338. 2026-10-05 | Merged to main_development 2026-10-05 (PR #153).</t>
        </is>
      </c>
    </row>
    <row r="61" ht="23.85" customHeight="1" s="75">
      <c r="A61" s="104" t="n">
        <v>59</v>
      </c>
      <c r="B61" s="105" t="inlineStr">
        <is>
          <t>2S8-QA-02</t>
        </is>
      </c>
      <c r="C61" s="81" t="n">
        <v>8</v>
      </c>
      <c r="D61" s="82" t="inlineStr">
        <is>
          <t>Sprint 8 · QA, security &amp; rollout</t>
        </is>
      </c>
      <c r="E61" s="135" t="inlineStr">
        <is>
          <t>QA</t>
        </is>
      </c>
      <c r="F61" s="120" t="inlineStr">
        <is>
          <t>Code</t>
        </is>
      </c>
      <c r="G61" s="80" t="inlineStr">
        <is>
          <t>Payment and reward failure testing</t>
        </is>
      </c>
      <c r="H61" s="107" t="inlineStr">
        <is>
          <t>Deliberately break things: duplicate webhooks, out-of-order delivery, declined cards, expired reservations, failed payouts, wallet provider outages.</t>
        </is>
      </c>
      <c r="I61" s="108" t="inlineStr">
        <is>
          <t>Done</t>
        </is>
      </c>
      <c r="J61" s="108" t="n">
        <v>5</v>
      </c>
      <c r="K61" s="109" t="n">
        <v>46300</v>
      </c>
      <c r="L61" s="109" t="n">
        <v>46300</v>
      </c>
      <c r="M61" s="110" t="inlineStr">
        <is>
          <t>rcfworks</t>
        </is>
      </c>
      <c r="N61" s="81" t="n">
        <v>0</v>
      </c>
      <c r="O61" s="80" t="inlineStr">
        <is>
          <t>2S5-INT-02</t>
        </is>
      </c>
      <c r="P61" s="80" t="inlineStr">
        <is>
          <t>Every failure mode is handled without financial inconsistency</t>
        </is>
      </c>
      <c r="Q61" s="82" t="inlineStr">
        <is>
          <t>Spec §11, §38</t>
        </is>
      </c>
      <c r="R61" s="111" t="inlineStr">
        <is>
          <t>Started 2026-10-05 against the stand-in payment provider; Stripe plugs in later through 2S5-INT-01. | payment-failures.test breaks duplicates, reordering, declined cards, expired reservations, failed payouts, provider outages (STANDIN_OUTAGE, timeouts), DB failure mid-event and reward outages, asserting the books balance after each. Wallet provider outages split to 2S6-QA-01 (no wallet adapter yet), owner decision 2026-10-05. 2026-10-05</t>
        </is>
      </c>
    </row>
    <row r="62" ht="22.35" customHeight="1" s="75">
      <c r="A62" s="112" t="n">
        <v>60</v>
      </c>
      <c r="B62" s="113" t="inlineStr">
        <is>
          <t>2S8-QA-03</t>
        </is>
      </c>
      <c r="C62" s="85" t="n">
        <v>8</v>
      </c>
      <c r="D62" s="86" t="inlineStr">
        <is>
          <t>Sprint 8 · QA, security &amp; rollout</t>
        </is>
      </c>
      <c r="E62" s="134" t="inlineStr">
        <is>
          <t>QA</t>
        </is>
      </c>
      <c r="F62" s="122" t="inlineStr">
        <is>
          <t>Code</t>
        </is>
      </c>
      <c r="G62" s="84" t="inlineStr">
        <is>
          <t>Financial reconciliation testing</t>
        </is>
      </c>
      <c r="H62" s="116" t="inlineStr">
        <is>
          <t>Prove the ledger balances against orders, payments and payouts across a full campaign cycle.</t>
        </is>
      </c>
      <c r="I62" s="108" t="inlineStr">
        <is>
          <t>Done</t>
        </is>
      </c>
      <c r="J62" s="108" t="n">
        <v>5</v>
      </c>
      <c r="K62" s="109" t="n">
        <v>46296</v>
      </c>
      <c r="L62" s="109" t="n">
        <v>46297</v>
      </c>
      <c r="M62" s="110" t="inlineStr">
        <is>
          <t>rcfworks</t>
        </is>
      </c>
      <c r="N62" s="85" t="n">
        <v>0</v>
      </c>
      <c r="O62" s="84" t="inlineStr">
        <is>
          <t>2S5-BE-02</t>
        </is>
      </c>
      <c r="P62" s="84" t="inlineStr">
        <is>
          <t>Reconciliation passes within defined tolerance across a seeded full-cycle dataset</t>
        </is>
      </c>
      <c r="Q62" s="86" t="inlineStr">
        <is>
          <t>Spec §38</t>
        </is>
      </c>
      <c r="R62" s="111" t="inlineStr">
        <is>
          <t>Reviewed 2026-10-01: reconciliation is tested per feature (phase2-ledger, phase2-payouts) but there is no seeded full-cycle reconciliation (ledger vs payment attempts vs payouts, trial balance, tolerance). No vendor dependency. | Reviewed 2026-10-02: tests/phase2-reconciliation.test.ts — a full cycle through the API (card, Zoho invoice, manual pay, line and order refunds, payouts incl. a rejection, reserve release); trial balance, ledger vs payments vs payouts, per-payee identity; tolerance exactly 0 cents. Found no money bug.</t>
        </is>
      </c>
    </row>
    <row r="63" ht="23.85" customHeight="1" s="75">
      <c r="A63" s="104" t="n">
        <v>61</v>
      </c>
      <c r="B63" s="105" t="inlineStr">
        <is>
          <t>2S8-SEC-01</t>
        </is>
      </c>
      <c r="C63" s="81" t="n">
        <v>8</v>
      </c>
      <c r="D63" s="82" t="inlineStr">
        <is>
          <t>Sprint 8 · QA, security &amp; rollout</t>
        </is>
      </c>
      <c r="E63" s="140" t="inlineStr">
        <is>
          <t>SEC</t>
        </is>
      </c>
      <c r="F63" s="120" t="inlineStr">
        <is>
          <t>Code</t>
        </is>
      </c>
      <c r="G63" s="80" t="inlineStr">
        <is>
          <t>Cross-tenant isolation tests for external parties</t>
        </is>
      </c>
      <c r="H63" s="107" t="inlineStr">
        <is>
          <t>Phase 1 tested BTG's own roles. Phase 2 has outside organisations, which is a different threat model.</t>
        </is>
      </c>
      <c r="I63" s="108" t="inlineStr">
        <is>
          <t>Done</t>
        </is>
      </c>
      <c r="J63" s="108" t="n">
        <v>5</v>
      </c>
      <c r="K63" s="109" t="inlineStr">
        <is>
          <t>2026-09-28</t>
        </is>
      </c>
      <c r="L63" s="109" t="inlineStr">
        <is>
          <t>2026-09-28</t>
        </is>
      </c>
      <c r="M63" s="110" t="inlineStr">
        <is>
          <t>rcfworks</t>
        </is>
      </c>
      <c r="N63" s="81" t="n">
        <v>0</v>
      </c>
      <c r="O63" s="80" t="inlineStr">
        <is>
          <t>2S1-BE-04</t>
        </is>
      </c>
      <c r="P63" s="80" t="inlineStr">
        <is>
          <t>Cross-tenant data access tests pass for sponsor, athlete/property and admin roles</t>
        </is>
      </c>
      <c r="Q63" s="82" t="inlineStr">
        <is>
          <t>Spec §12</t>
        </is>
      </c>
      <c r="R63" s="111" t="inlineStr">
        <is>
          <t>2026-09-28: tests/tenant-isolation.test.ts grown for outside parties. Tenant E is provisioned through the real approval path (2S1-BE-04) and its PROPERTY_MGR signs in via the email claim. Every tenant-bound route is attacked as tenant B's BTG_ADMIN, staff, SPONSOR_ADMIN, SPONSOR_ANALYST, ATHLETE, GUARDIAN, PROPERTY_MGR, STUDENT, ADVISOR and E's manager (no success, no tenant-A value, tenant A fingerprint unchanged); and in reverse, tenant A's admin, sponsor, athlete and all of B's roles against the outside tenant (every read, every write aimed at E's property: refused, no E value leaked, E fingerprint unchanged). Mutation-checked (a roster write that drops its tenant filter fails the sweep).</t>
        </is>
      </c>
    </row>
    <row r="64" ht="23.85" customHeight="1" s="75">
      <c r="A64" s="112" t="n">
        <v>62</v>
      </c>
      <c r="B64" s="113" t="inlineStr">
        <is>
          <t>2S8-SEC-02</t>
        </is>
      </c>
      <c r="C64" s="85" t="n">
        <v>8</v>
      </c>
      <c r="D64" s="86" t="inlineStr">
        <is>
          <t>Sprint 8 · QA, security &amp; rollout</t>
        </is>
      </c>
      <c r="E64" s="142" t="inlineStr">
        <is>
          <t>SEC</t>
        </is>
      </c>
      <c r="F64" s="122" t="inlineStr">
        <is>
          <t>Code</t>
        </is>
      </c>
      <c r="G64" s="84" t="inlineStr">
        <is>
          <t>OWASP review and dependency scanning</t>
        </is>
      </c>
      <c r="H64" s="116" t="inlineStr">
        <is>
          <t>External users, money movement and file uploads all raise the stakes.</t>
        </is>
      </c>
      <c r="I64" s="108" t="inlineStr">
        <is>
          <t>Done</t>
        </is>
      </c>
      <c r="J64" s="108" t="n">
        <v>3</v>
      </c>
      <c r="K64" s="109" t="n">
        <v>46300</v>
      </c>
      <c r="L64" s="109" t="n">
        <v>46300</v>
      </c>
      <c r="M64" s="110" t="inlineStr">
        <is>
          <t>rcfworks</t>
        </is>
      </c>
      <c r="N64" s="85" t="n">
        <v>0</v>
      </c>
      <c r="O64" s="84" t="inlineStr">
        <is>
          <t>2S8-QA-01</t>
        </is>
      </c>
      <c r="P64" s="84" t="inlineStr">
        <is>
          <t>OWASP testing complete, dependency scan clean, secrets rotation in place</t>
        </is>
      </c>
      <c r="Q64" s="86" t="inlineStr">
        <is>
          <t>Spec §38</t>
        </is>
      </c>
      <c r="R64" s="111" t="inlineStr">
        <is>
          <t>2026-09-28 WAITING ON: Phase 2 QA (2S8-QA-01), which waits on the checkout frontend (2S4-FE-02) and so on the payment provider. | Started 2026-10-05; review runs once 2S8-QA-01 is green. | OWASP Top 10 review in documentation/SponsorX-Security-Review-2026-10.md, with fixes and tests (deliverable file keys, staging stand-in secret, contact-form copy, headers, Clerk sign-out, webhook raw body, rate-limit expiry). Production audit 0 (next 16.3.8); one dev-only allowlisted advisory, reviewBy 2027-01-05. Nightly CI security job + secret scan. _PREVIOUS rotation for five secrets + documentation/SponsorX-Secrets-Rotation.md. Open owner decisions listed in the review. 2026-10-05 | Merged to main_development 2026-10-05 (PR #153). Follow-ups raised as 2S8-SEC-03/04/05, 2S8-QA-07 and 2S8-PMO-02.</t>
        </is>
      </c>
    </row>
    <row r="65" ht="23.85" customHeight="1" s="75">
      <c r="A65" s="104" t="n">
        <v>63</v>
      </c>
      <c r="B65" s="105" t="inlineStr">
        <is>
          <t>2S8-OPS-01</t>
        </is>
      </c>
      <c r="C65" s="81" t="n">
        <v>8</v>
      </c>
      <c r="D65" s="82" t="inlineStr">
        <is>
          <t>Sprint 8 · QA, security &amp; rollout</t>
        </is>
      </c>
      <c r="E65" s="132" t="inlineStr">
        <is>
          <t>OPS</t>
        </is>
      </c>
      <c r="F65" s="136" t="inlineStr">
        <is>
          <t>Vendor console</t>
        </is>
      </c>
      <c r="G65" s="80" t="inlineStr">
        <is>
          <t>Production readiness and restore test</t>
        </is>
      </c>
      <c r="H65" s="107" t="inlineStr">
        <is>
          <t>Verify backups by restoring, test alerts, exercise rollback, confirm RPO/RTO targets are actually met.</t>
        </is>
      </c>
      <c r="I65" s="108" t="inlineStr">
        <is>
          <t>Done</t>
        </is>
      </c>
      <c r="J65" s="108" t="n">
        <v>3</v>
      </c>
      <c r="K65" s="109" t="n">
        <v>46302</v>
      </c>
      <c r="L65" s="109" t="n">
        <v>46302</v>
      </c>
      <c r="M65" s="110" t="inlineStr">
        <is>
          <t>rcfworks</t>
        </is>
      </c>
      <c r="N65" s="81" t="n">
        <v>0</v>
      </c>
      <c r="O65" s="80" t="inlineStr">
        <is>
          <t>2S0-OPS-01</t>
        </is>
      </c>
      <c r="P65" s="80" t="inlineStr">
        <is>
          <t>Documented restore test passes and meets the agreed RPO/RTO</t>
        </is>
      </c>
      <c r="Q65" s="82" t="inlineStr">
        <is>
          <t>Spec §38</t>
        </is>
      </c>
      <c r="R65" s="111" t="inlineStr">
        <is>
          <t>2026-09-28 WAITING ON: Phase 1 completion. | 2026-10-07: staging PITR restore matched live exactly, usable in ~9.5 min (RPO/RTO met); rollback 41 s / roll-forward 51 s; alerting built (/health/full, /api/v1/public/health, health-monitor.yml every 15 min, Slack on change). Done after deploy + a delivered test alert. | 2026-10-07: deployed to staging and production (aae0ca2); /api/v1/public/health returns ok in both (db, redis, storage, backups archived &lt; 1 min). Test alert delivered to Slack (health-monitor run 37584104464); monitor now checks both environments every 15 min. Restore test passed within RPO/RTO; rollback exercised.</t>
        </is>
      </c>
    </row>
    <row r="66" ht="23.85" customHeight="1" s="75">
      <c r="A66" s="112" t="n">
        <v>64</v>
      </c>
      <c r="B66" s="113" t="inlineStr">
        <is>
          <t>2S8-PMO-01</t>
        </is>
      </c>
      <c r="C66" s="85" t="n">
        <v>8</v>
      </c>
      <c r="D66" s="86" t="inlineStr">
        <is>
          <t>Sprint 8 · QA, security &amp; rollout</t>
        </is>
      </c>
      <c r="E66" s="112" t="inlineStr">
        <is>
          <t>PMO</t>
        </is>
      </c>
      <c r="F66" s="130" t="inlineStr">
        <is>
          <t>Document</t>
        </is>
      </c>
      <c r="G66" s="84" t="inlineStr">
        <is>
          <t>Phase 2 UAT and production rollout</t>
        </is>
      </c>
      <c r="H66" s="116" t="inlineStr">
        <is>
          <t>Simulated outside users onboard on staging, transact, and get paid, before anything goes live — new people each run, signing up through the normal pages, never the tester facility (npm run uat:phase2). The first real outside team is checked at go-live: 2S8-PMO-03. Changed 2026-10-09 with the owner's authority.</t>
        </is>
      </c>
      <c r="I66" s="108" t="inlineStr">
        <is>
          <t>Done</t>
        </is>
      </c>
      <c r="J66" s="108" t="n">
        <v>5</v>
      </c>
      <c r="K66" s="109" t="n">
        <v>46302</v>
      </c>
      <c r="L66" s="109" t="n">
        <v>46304</v>
      </c>
      <c r="M66" s="110" t="inlineStr">
        <is>
          <t>rcfworks</t>
        </is>
      </c>
      <c r="N66" s="85" t="n">
        <v>0</v>
      </c>
      <c r="O66" s="84" t="inlineStr">
        <is>
          <t>2S8-QA-01</t>
        </is>
      </c>
      <c r="P66" s="84" t="inlineStr">
        <is>
          <t>All 14 Phase 2 acceptance criteria demonstrated, or explicitly deferred with the reason (#11 wallet, parked), and signed off; the simulated-user run passes on staging with its evidence recorded</t>
        </is>
      </c>
      <c r="Q66" s="86" t="inlineStr">
        <is>
          <t>Spec §12</t>
        </is>
      </c>
      <c r="R66" s="111" t="inlineStr">
        <is>
          <t>2026-09-28 WAITING ON: Phase 2 QA (2S8-QA-01), which waits on the checkout frontend (2S4-FE-02) and so on the payment provider. | 2026-10-07: sign-off record documentation/SponsorX-Phase2-Acceptance-Signoff.md — 12 of 14 criteria demonstrated, #13 Zoho partly (simulated Zoho only; no live marketplace order checked in the Zoho sandbox), #11 wallet not built. Still needed: real external users on staging (18-step UAT plan in the doc, ~1 week) and the owner sign-off. | 2026-10-09: simulated-user UAT PASSED on staging, all 17 steps (run 2610090617, order SX-OA44ZADS, Stripe transfers tr_1UOYJrKA9GZ8RRgKdFIIEdPe / tr_1UOYJtKA9GZ8RRgKV0Wi39bU, Zoho records read back from the sandbox). #13 Zoho now Demonstrated; #11 wallet deferred (Rodney, until further notice). Evidence: documentation/uat-evidence/phase2-2610090617/. WAITING ON: the sign-off record signed (the user, with Rodney's delegated authority). | 2026-10-09: Code review — PR #180 (its e2e check fails on /admin/audit, a P1-FE-31 frontend fault already failing on main_development since e0187f0, not this PR). Done when the sign-off is signed. | 2026-10-09: SIGNED OFF — Phase 2 accepted (13 demonstrated, #11 deferred), signed by rcfworks with Rodney's delegated authority. 2S8-PMO-03 stays Blocked on go-live.</t>
        </is>
      </c>
    </row>
    <row r="67" ht="23.85" customHeight="1" s="75">
      <c r="A67" s="112" t="n">
        <v>52.1</v>
      </c>
      <c r="B67" s="113" t="inlineStr">
        <is>
          <t>2S6-BE-03</t>
        </is>
      </c>
      <c r="C67" s="85" t="n">
        <v>6</v>
      </c>
      <c r="D67" s="86" t="inlineStr">
        <is>
          <t>Sprint 6 · Wallet rewards &amp; notifications</t>
        </is>
      </c>
      <c r="E67" s="112" t="inlineStr">
        <is>
          <t>BE</t>
        </is>
      </c>
      <c r="F67" s="130" t="inlineStr">
        <is>
          <t>Code</t>
        </is>
      </c>
      <c r="G67" s="84" t="inlineStr">
        <is>
          <t>"Sponsor may contact me about offers" consent option</t>
        </is>
      </c>
      <c r="H67" s="116" t="inlineStr">
        <is>
          <t>A second, separate, unticked checkbox on the fan claim page; only fans who tick it may be passed to the sponsor as a lead. Moved from Phase 1 on 2026-09-24.</t>
        </is>
      </c>
      <c r="I67" s="108" t="inlineStr">
        <is>
          <t>Done</t>
        </is>
      </c>
      <c r="J67" s="108" t="n">
        <v>3</v>
      </c>
      <c r="K67" s="109" t="inlineStr">
        <is>
          <t>2026-09-28</t>
        </is>
      </c>
      <c r="L67" s="109" t="inlineStr">
        <is>
          <t>2026-09-28</t>
        </is>
      </c>
      <c r="M67" s="110" t="inlineStr">
        <is>
          <t>rcfworks</t>
        </is>
      </c>
      <c r="N67" s="85" t="n"/>
      <c r="O67" s="84" t="inlineStr">
        <is>
          <t>P6-SEC-01, P6-SEC-03</t>
        </is>
      </c>
      <c r="P67" s="84" t="inlineStr">
        <is>
          <t>New consent purpose with its own dated text version; checkbox separate and unticked by default; only claims carrying it expose the address to the sponsor (RBAC §7.2/§10 amended), enforced in the query; unsubscribe withdraws it</t>
        </is>
      </c>
      <c r="Q67" s="86" t="inlineStr">
        <is>
          <t>§26</t>
        </is>
      </c>
      <c r="R67" s="111" t="inlineStr">
        <is>
          <t>2026-09-28: Consent purpose 'sponsor-contact' with its own dated text (CURRENT_SPONSOR_CONTACT_VERSION 2026-09-28, SPONSOR_CONTACT_TEXT), stored in its own RewardEvent columns; Postgres CHECK: only alongside an address held with the delivery consent. Fan page: a second, separate checkbox, never pre-ticked (web tests). Sponsors read addresses ONLY via GET /campaigns/{id}/leads, gated by the new §7.2 field rewardClaim.sponsorLead (matrix §7.2/§10 amended), and the consent is IN THE QUERY (SPONSOR_CONTACTABLE) — tests/fan-pii.test.ts now allows exactly two address-reading queries and fails any without it. One-tap unsubscribe withdraws it. tests/fan-sponsor-contact.test.ts (mutation-checked). | 2026-09-28: Done at the user's instruction — acceptance met, CI green.</t>
        </is>
      </c>
    </row>
    <row r="68" ht="23.85" customHeight="1" s="75">
      <c r="A68" s="112" t="n">
        <v>52.2</v>
      </c>
      <c r="B68" s="113" t="inlineStr">
        <is>
          <t>2S6-INT-03</t>
        </is>
      </c>
      <c r="C68" s="85" t="n">
        <v>6</v>
      </c>
      <c r="D68" s="86" t="inlineStr">
        <is>
          <t>Sprint 6 · Wallet rewards &amp; notifications</t>
        </is>
      </c>
      <c r="E68" s="112" t="inlineStr">
        <is>
          <t>INT</t>
        </is>
      </c>
      <c r="F68" s="130" t="inlineStr">
        <is>
          <t>Code</t>
        </is>
      </c>
      <c r="G68" s="84" t="inlineStr">
        <is>
          <t>Consent-gated lead push to Zoho (was P6-INT-01)</t>
        </is>
      </c>
      <c r="H68" s="116" t="inlineStr">
        <is>
          <t>Send fan leads to Zoho only where the fan ticked the sponsor-contact option.</t>
        </is>
      </c>
      <c r="I68" s="108" t="inlineStr">
        <is>
          <t>Done</t>
        </is>
      </c>
      <c r="J68" s="108" t="n">
        <v>3</v>
      </c>
      <c r="K68" s="109" t="inlineStr">
        <is>
          <t>2026-09-28</t>
        </is>
      </c>
      <c r="L68" s="109" t="inlineStr">
        <is>
          <t>2026-09-28</t>
        </is>
      </c>
      <c r="M68" s="110" t="inlineStr">
        <is>
          <t>rcfworks</t>
        </is>
      </c>
      <c r="N68" s="85" t="n"/>
      <c r="O68" s="84" t="inlineStr">
        <is>
          <t>2S6-BE-03, P8-INT-01</t>
        </is>
      </c>
      <c r="P68" s="84" t="inlineStr">
        <is>
          <t>Claims with sponsor-contact consent enqueue zoho.pushLead; claims without it, or withdrawn, never do — excluded at query level</t>
        </is>
      </c>
      <c r="Q68" s="86" t="inlineStr">
        <is>
          <t>§18</t>
        </is>
      </c>
      <c r="R68" s="111" t="inlineStr">
        <is>
          <t>2026-09-28: A claim with the sponsor-contact tick enqueues zoho.pushLead {fanEventId} in the claim's transaction; without it, nothing is queued. The worker (pushFanLead) re-reads the claim through SPONSOR_CONTACTABLE at push time, so a claim withdrawn after queueing is never fetched and nothing reaches Zoho. Lead upserted on SponsorX_ID fanlead:&lt;claim&gt;, idempotent; RewardEvent.zohoLeadId recorded. Tests with the worker's own handler into FakeZoho (mutation-checked). | 2026-09-28: Done at the user's instruction — acceptance met, CI green.</t>
        </is>
      </c>
    </row>
    <row r="69" s="75">
      <c r="A69" s="112" t="n">
        <v>57.1</v>
      </c>
      <c r="B69" s="113" t="inlineStr">
        <is>
          <t>2S7-BE-02</t>
        </is>
      </c>
      <c r="C69" s="85" t="n">
        <v>7</v>
      </c>
      <c r="D69" s="86" t="inlineStr">
        <is>
          <t>Sprint 7 · Analytics &amp; governance</t>
        </is>
      </c>
      <c r="E69" s="112" t="inlineStr">
        <is>
          <t>BE</t>
        </is>
      </c>
      <c r="F69" s="130" t="inlineStr">
        <is>
          <t>Code</t>
        </is>
      </c>
      <c r="G69" s="84" t="inlineStr">
        <is>
          <t>Report render worker job (was P7-BE-06)</t>
        </is>
      </c>
      <c r="H69" s="116" t="inlineStr">
        <is>
          <t>Server-rendered sponsor report file, produced unattended on the worker — for when a report must be generated without anyone opening a browser (e.g. scheduled delivery to a renewal signer who never logs in). Moved from Phase 1 on 2026-09-24.</t>
        </is>
      </c>
      <c r="I69" s="108" t="inlineStr">
        <is>
          <t>Done</t>
        </is>
      </c>
      <c r="J69" s="108" t="n">
        <v>3</v>
      </c>
      <c r="K69" s="109" t="inlineStr">
        <is>
          <t>2026-09-28</t>
        </is>
      </c>
      <c r="L69" s="109" t="inlineStr">
        <is>
          <t>2026-09-28</t>
        </is>
      </c>
      <c r="M69" s="110" t="inlineStr">
        <is>
          <t>rcfworks</t>
        </is>
      </c>
      <c r="N69" s="85" t="n"/>
      <c r="O69" s="84" t="inlineStr">
        <is>
          <t>P7-BE-05</t>
        </is>
      </c>
      <c r="P69" s="84" t="inlineStr">
        <is>
          <t>When a server-rendered report is required, Playwright renders it on the worker from the same data as screen 12, stores it in the private bucket, and keeps every provenance label; the browser print (report-pdf.ts) remains the interactive path</t>
        </is>
      </c>
      <c r="Q69" s="86" t="inlineStr">
        <is>
          <t>§9 screen 12, Addendum A10</t>
        </is>
      </c>
      <c r="R69" s="111" t="inlineStr">
        <is>
          <t>2026-09-28: report.render worker job — buildSponsorReport (the same function behind GET /campaigns/{id}/report, screen 12) → renderReportHtml (same sections, every provenance label in the screen's own words; SOURCE_LABEL checked against the web ui.tsx copy) → headless Chromium via playwright-core → PDF into the PRIVATE bucket (putPrivateObject) → ReportFile row. Required on campaign COMPLETED (queued in that transaction — the renewal hand-off) or on BTG's POST /campaigns/{id}/report/render; GET .../report/files gives audited presigned links. Browser print (report-pdf.ts) unchanged. Image: Alpine chromium + fonts, CHROMIUM_PATH; CI unit job installs Chromium. Real-Chromium test passes locally/CI; VERIFIED ON STAGING 2026-09-28: inside the deployed api container (Alpine, CHROMIUM_PATH=/usr/bin/chromium) renderPdf produced a valid PDF. HOSTING DECIDED by the programme owner 2026-09-28: API and worker stay in one Railway service for now, report.render one at a time (localConcurrency 1); recorded in backend/src/combined.mts with the revisit triggers. | 2026-09-28: Done at the user's instruction — acceptance met, CI green.</t>
        </is>
      </c>
    </row>
    <row r="70" s="75">
      <c r="A70" s="112" t="n">
        <v>57.2</v>
      </c>
      <c r="B70" s="113" t="inlineStr">
        <is>
          <t>2S7-FE-03</t>
        </is>
      </c>
      <c r="C70" s="85" t="n">
        <v>7</v>
      </c>
      <c r="D70" s="86" t="inlineStr">
        <is>
          <t>Sprint 7 · Analytics &amp; governance</t>
        </is>
      </c>
      <c r="E70" s="112" t="inlineStr">
        <is>
          <t>FE</t>
        </is>
      </c>
      <c r="F70" s="130" t="inlineStr">
        <is>
          <t>Code</t>
        </is>
      </c>
      <c r="G70" s="84" t="inlineStr">
        <is>
          <t>Render tenant branding in the property portal</t>
        </is>
      </c>
      <c r="H70" s="116" t="inlineStr">
        <is>
          <t>The property portal's frame shows the signed-in tenant's own logo and colours, read from the branding API (2S7-BE-01). Split out of 2S7-BE-01 on 2026-09-28 at the programme owner's instruction, so the backend task stays backend-only.</t>
        </is>
      </c>
      <c r="I70" s="108" t="inlineStr">
        <is>
          <t>Done</t>
        </is>
      </c>
      <c r="J70" s="108" t="n">
        <v>1</v>
      </c>
      <c r="K70" s="109" t="n">
        <v>46294</v>
      </c>
      <c r="L70" s="109" t="n">
        <v>46296</v>
      </c>
      <c r="M70" s="110" t="inlineStr">
        <is>
          <t>rcfworks</t>
        </is>
      </c>
      <c r="N70" s="85" t="n">
        <v>0</v>
      </c>
      <c r="O70" s="84" t="inlineStr">
        <is>
          <t>2S7-BE-01</t>
        </is>
      </c>
      <c r="P70" s="84" t="inlineStr">
        <is>
          <t>A tenant's logo and colours render in its property portal frame</t>
        </is>
      </c>
      <c r="Q70" s="86" t="inlineStr">
        <is>
          <t>Spec §9</t>
        </is>
      </c>
      <c r="R70" s="111" t="inlineStr">
        <is>
          <t>2026-09-28: raised by the programme owner — the portal half of 2S7-BE-01's acceptance, moved here. Unblocked 2026-09-28: 2S7-BE-01 Done — the portal reads GET /branding.</t>
        </is>
      </c>
    </row>
    <row r="71" ht="32.8" customHeight="1" s="75">
      <c r="A71" s="112" t="n">
        <v>27.5</v>
      </c>
      <c r="B71" s="113" t="inlineStr">
        <is>
          <t>2S3-BE-05</t>
        </is>
      </c>
      <c r="C71" s="85" t="n">
        <v>3</v>
      </c>
      <c r="D71" s="86" t="inlineStr">
        <is>
          <t>Sprint 3 · Listing engine</t>
        </is>
      </c>
      <c r="E71" s="121" t="inlineStr">
        <is>
          <t>BE</t>
        </is>
      </c>
      <c r="F71" s="122" t="inlineStr">
        <is>
          <t>Code</t>
        </is>
      </c>
      <c r="G71" s="84" t="inlineStr">
        <is>
          <t>Independent athletes list their own items</t>
        </is>
      </c>
      <c r="H71" s="116" t="inlineStr">
        <is>
          <t>Not every athlete has a team. Today only a property manager can put an item on sale, so an athlete with no team can create items that can never be sold. Let an approved athlete with no team be the seller of their own listing: they submit it, BTG approves it by the same rules as a team's, and with no team the athlete keeps the whole share. Search, cart, orders, the availability check and the ledger split all handle an athlete-owned listing; a roster athlete's items still go through their team.</t>
        </is>
      </c>
      <c r="I71" s="108" t="inlineStr">
        <is>
          <t>Done</t>
        </is>
      </c>
      <c r="J71" s="108" t="n">
        <v>5</v>
      </c>
      <c r="K71" s="109" t="inlineStr">
        <is>
          <t>2026-09-30</t>
        </is>
      </c>
      <c r="L71" s="109" t="n">
        <v>46296</v>
      </c>
      <c r="M71" s="110" t="inlineStr">
        <is>
          <t>rcfworks</t>
        </is>
      </c>
      <c r="N71" s="85" t="inlineStr">
        <is>
          <t>2S3-FE-02, 2S3-FE-03</t>
        </is>
      </c>
      <c r="O71" s="84" t="inlineStr">
        <is>
          <t>2S3-BE-01, 2S2-BE-01</t>
        </is>
      </c>
      <c r="P71" s="84" t="inlineStr">
        <is>
          <t>An approved athlete with no team can submit their own item, BTG can approve it, a sponsor can find, cart and order it, and the split pays the athlete as the only payee; a roster athlete still cannot list around their team; scope and tenant tests cover the new seller</t>
        </is>
      </c>
      <c r="Q71" s="86" t="inlineStr">
        <is>
          <t>Spec §9, §12</t>
        </is>
      </c>
      <c r="R71" s="111" t="inlineStr">
        <is>
          <t>Raised 2026-09-30 from the walkthrough (Option A agreed with the user). | 2026-09-30: BUILT. A listing and its order lines now have exactly one seller: a property, or an independent athlete (Listing/MarketplaceOrderLine.sellerAthleteId; DB check *_one_seller; migration 20260930150000). ATHLETE listing.write moved deny → own, the listings they sell themselves only (matrix §18; digest 9bfe4e2f8189268c). An approved athlete (APPROVED/ACTIVE) with no team creates, edits and submits; a roster athlete gets 409 "on a team — &lt;team&gt; lists your items". Seller rule re-checked on submit, BTG approval, resume, the catalogue scope, search and the availability check, so an athlete who joins a team stops selling. Search/cart/orders/Zoho name the athlete (`seller`). The split forces team share 0 for an athlete-sold line, even with a TEAM_SHARE rule; no PROPERTY ledger rows; payouts go to the athlete. tests/phase2-independent-listing.test.ts walks list → BTG approves → search → cart → order → split ($755.29 to the athlete, $0 to any team) → pay → payout, plus the refusals. The tenant-isolation sweep seeds an athlete-sold listing and order line. Frontend follow-up raised: 2S3-FE-03 (the shop assumes a property).</t>
        </is>
      </c>
    </row>
    <row r="72" ht="32.8" customHeight="1" s="75">
      <c r="A72" s="112" t="n">
        <v>28.5</v>
      </c>
      <c r="B72" s="113" t="inlineStr">
        <is>
          <t>2S3-FE-02</t>
        </is>
      </c>
      <c r="C72" s="85" t="n">
        <v>3</v>
      </c>
      <c r="D72" s="86" t="inlineStr">
        <is>
          <t>Sprint 3 · Listing engine</t>
        </is>
      </c>
      <c r="E72" s="121" t="inlineStr">
        <is>
          <t>FE</t>
        </is>
      </c>
      <c r="F72" s="122" t="inlineStr">
        <is>
          <t>Code</t>
        </is>
      </c>
      <c r="G72" s="84" t="inlineStr">
        <is>
          <t>Listing screen for independent athletes</t>
        </is>
      </c>
      <c r="H72" s="116" t="inlineStr">
        <is>
          <t>The athlete-side "put it on sale" step: from their inventory, an athlete with no team writes what the sponsor gets, sees the same checklist of what BTG checks, submits for approval, then follows the listing's state, pauses it or takes it down. An athlete on a team is told their team lists it.</t>
        </is>
      </c>
      <c r="I72" s="108" t="inlineStr">
        <is>
          <t>Done</t>
        </is>
      </c>
      <c r="J72" s="108" t="n">
        <v>3</v>
      </c>
      <c r="K72" s="109" t="n">
        <v>46296</v>
      </c>
      <c r="L72" s="109" t="n">
        <v>46302</v>
      </c>
      <c r="M72" s="110" t="inlineStr">
        <is>
          <t>rcfworks</t>
        </is>
      </c>
      <c r="N72" s="85" t="n"/>
      <c r="O72" s="84" t="inlineStr">
        <is>
          <t>2S3-BE-05</t>
        </is>
      </c>
      <c r="P72" s="84" t="inlineStr">
        <is>
          <t>An independent athlete can build, submit and follow a listing for approval from their own portal</t>
        </is>
      </c>
      <c r="Q72" s="86" t="inlineStr">
        <is>
          <t>Spec §6 P2-07</t>
        </is>
      </c>
      <c r="R72" s="111" t="inlineStr">
        <is>
          <t>Raised 2026-09-30 from the walkthrough (Option A agreed with the user). | 2026-09-30: the API is built (2S3-BE-05) — startable. | Built 2026-10-01 at /athlete/listings, wired to 2S3-BE-05 (create, edit, submit, pause, end); a roster athlete sees 'your team lists your items'. | Verified 2026-10-07 in the browser: an independent athlete (no team) builds items, lists them, sees one go live automatically and one held with its reason (restricted words) then live after BTG; pause/resume shown; audit rows present.</t>
        </is>
      </c>
    </row>
    <row r="73" ht="23.85" customHeight="1" s="75">
      <c r="A73" s="112" t="n">
        <v>46.3</v>
      </c>
      <c r="B73" s="113" t="inlineStr">
        <is>
          <t>2S5-FE-03</t>
        </is>
      </c>
      <c r="C73" s="85" t="n">
        <v>5</v>
      </c>
      <c r="D73" s="86" t="inlineStr">
        <is>
          <t>Sprint 5 · Payments, ledger &amp; payouts</t>
        </is>
      </c>
      <c r="E73" s="121" t="inlineStr">
        <is>
          <t>FE</t>
        </is>
      </c>
      <c r="F73" s="122" t="inlineStr">
        <is>
          <t>Code</t>
        </is>
      </c>
      <c r="G73" s="84" t="inlineStr">
        <is>
          <t>Athlete and team payout screens</t>
        </is>
      </c>
      <c r="H73" s="116" t="inlineStr">
        <is>
          <t>Payout account first: until ready, the page says a Stripe account is needed and links out to Stripe to set one up (and back if Stripe needs more); SponsorX never sees bank details. Then available / held / paid out, a Request payout button (disabled with the reason when a rule isn't met), and a payout history moving Requested → Approved by BTG → Sent → Paid, confirmed by the payment provider. Stripe stays invisible after set-up; the payee gets an email when paid.</t>
        </is>
      </c>
      <c r="I73" s="108" t="inlineStr">
        <is>
          <t>Done</t>
        </is>
      </c>
      <c r="J73" s="108" t="n">
        <v>4</v>
      </c>
      <c r="K73" s="109" t="n">
        <v>46295</v>
      </c>
      <c r="L73" s="109" t="n">
        <v>46302</v>
      </c>
      <c r="M73" s="110" t="inlineStr">
        <is>
          <t>rcfworks</t>
        </is>
      </c>
      <c r="N73" s="85" t="n"/>
      <c r="O73" s="84" t="inlineStr">
        <is>
          <t>2S5-BE-04, 2S0-ART-01</t>
        </is>
      </c>
      <c r="P73" s="84" t="inlineStr">
        <is>
          <t>An athlete can set up their payout account from SponsorX, request their available balance, and follow it to Paid; the team does the same from its Earnings page; the figures reconcile to the ledger</t>
        </is>
      </c>
      <c r="Q73" s="86" t="inlineStr">
        <is>
          <t>Spec §6 P2-11, §7.4</t>
        </is>
      </c>
      <c r="R73" s="111" t="inlineStr">
        <is>
          <t>Raised 2026-09-30 from the walkthrough (steps 5, 14, 15). Designs: Claude Design prompt given to the user 2026-09-30.
2026-09-30: team part built (payout-account panel with Stripe ↗, Request payout, history to Paid) and the athlete-home set-up banner. Riley's own 'My money' page waits for its Claude Design screens.
2026-09-30 (later): Riley's 'My money' built from Claude Design MyMoney — available / held / paid out, payout account with Stripe ↗, the before-you-can-request checklist with the set-up button, per-order shares, Request payout with the reserve note, history with Requested → Approved by BTG → Sent → Paid. Verified in the browser end to end on the stand-in provider. | Verified 2026-10-07: athlete and team each set up payouts, request, and follow to Paid on the stand-in; team page figures equal the ledger ($151.05 booked, $135.64 paid, $15.41 reserve; reconciles: true).</t>
        </is>
      </c>
    </row>
    <row r="74" ht="23.85" customHeight="1" s="75">
      <c r="A74" s="112" t="n">
        <v>46.6</v>
      </c>
      <c r="B74" s="113" t="inlineStr">
        <is>
          <t>2S5-FE-04</t>
        </is>
      </c>
      <c r="C74" s="85" t="n">
        <v>5</v>
      </c>
      <c r="D74" s="86" t="inlineStr">
        <is>
          <t>Sprint 5 · Payments, ledger &amp; payouts</t>
        </is>
      </c>
      <c r="E74" s="121" t="inlineStr">
        <is>
          <t>FE</t>
        </is>
      </c>
      <c r="F74" s="122" t="inlineStr">
        <is>
          <t>Code</t>
        </is>
      </c>
      <c r="G74" s="84" t="inlineStr">
        <is>
          <t>BTG payout approval screen</t>
        </is>
      </c>
      <c r="H74" s="116" t="inlineStr">
        <is>
          <t>BTG's queue of payout requests — waiting, sending, paid, problems — with payee, amount, orders, wait time and each payout rule's result. Detail shows the frozen split behind it; approve (hands it to the payment provider) or send back with a note, then follow it to Paid or to a problem BTG can act on.</t>
        </is>
      </c>
      <c r="I74" s="108" t="inlineStr">
        <is>
          <t>Done</t>
        </is>
      </c>
      <c r="J74" s="108" t="n">
        <v>3</v>
      </c>
      <c r="K74" s="109" t="n">
        <v>46295</v>
      </c>
      <c r="L74" s="109" t="n">
        <v>46302</v>
      </c>
      <c r="M74" s="110" t="inlineStr">
        <is>
          <t>rcfworks</t>
        </is>
      </c>
      <c r="N74" s="85" t="n"/>
      <c r="O74" s="84" t="inlineStr">
        <is>
          <t>2S5-BE-05</t>
        </is>
      </c>
      <c r="P74" s="84" t="inlineStr">
        <is>
          <t>BTG can approve or send back a payout request and see it confirmed paid by the payment provider, with every decision in the audit log</t>
        </is>
      </c>
      <c r="Q74" s="86" t="inlineStr">
        <is>
          <t>Spec §8</t>
        </is>
      </c>
      <c r="R74" s="111" t="inlineStr">
        <is>
          <t>Raised 2026-09-30 from the walkthrough (steps 14, 15).
2026-09-30: built from Claude Design Approvals — queue tabs (waiting / sending / paid / problems) with counts and each request's checks, detail with the payee's frozen split, the four checks, audit trail, Approve / Send back (note required), Retry on problems. Verified in the browser: approved → sent → Paid. | Verified 2026-10-07: a payout held for BTG is approved on /admin/payouts and reaches Paid; another is sent back with a required note (money returns, email queued); payout.approve / payout.reject and the rest are in the audit log.</t>
        </is>
      </c>
    </row>
    <row r="75" ht="23.85" customHeight="1" s="75">
      <c r="A75" s="112" t="n">
        <v>46.8</v>
      </c>
      <c r="B75" s="113" t="inlineStr">
        <is>
          <t>2S5-FE-05</t>
        </is>
      </c>
      <c r="C75" s="85" t="n">
        <v>5</v>
      </c>
      <c r="D75" s="86" t="inlineStr">
        <is>
          <t>Sprint 5 · Payments, ledger &amp; payouts</t>
        </is>
      </c>
      <c r="E75" s="121" t="inlineStr">
        <is>
          <t>FE</t>
        </is>
      </c>
      <c r="F75" s="122" t="inlineStr">
        <is>
          <t>Code</t>
        </is>
      </c>
      <c r="G75" s="84" t="inlineStr">
        <is>
          <t>Sponsor pays for an order (pay-by-card button)</t>
        </is>
      </c>
      <c r="H75" s="116" t="inlineStr">
        <is>
          <t>Once BTG approves an order, the sponsor's order page shows payment due and a primary button “Pay $… by card ↗” that takes them to Stripe's secure payment page — SponsorX never sees the card. Back from Stripe: confirming, then Paid (confirmed by the payment provider), or didn't go through with the button again. Rule: every step that involves Stripe has a CTA button on our page that takes the user there.</t>
        </is>
      </c>
      <c r="I75" s="108" t="inlineStr">
        <is>
          <t>Done</t>
        </is>
      </c>
      <c r="J75" s="108" t="n">
        <v>2</v>
      </c>
      <c r="K75" s="109" t="n">
        <v>46295</v>
      </c>
      <c r="L75" s="109" t="n">
        <v>46303</v>
      </c>
      <c r="M75" s="110" t="inlineStr">
        <is>
          <t>rcfworks</t>
        </is>
      </c>
      <c r="N75" s="85" t="n"/>
      <c r="O75" s="84" t="inlineStr">
        <is>
          <t>2S5-INT-01, 2S0-ART-01</t>
        </is>
      </c>
      <c r="P75" s="84" t="inlineStr">
        <is>
          <t>A sponsor can pay an approved order from its SponsorX page via Stripe and see it confirmed paid (or retry a failed payment); a sponsor email confirms the payment</t>
        </is>
      </c>
      <c r="Q75" s="86" t="inlineStr">
        <is>
          <t>Spec §8</t>
        </is>
      </c>
      <c r="R75" s="111" t="inlineStr">
        <is>
          <t>Raised 2026-09-30 from the walkthrough (step 11).
2026-09-30: built from Claude Design E1–E4 — Pay $… by card ↗, confirming, paid, try again on Stripe ↗; verified locally end to end on the stand-in provider. The button redirects to whatever the provider returns, so no screen change is needed when Stripe replaces the stand-in. | Verified 2026-10-07: pay by card, decline then retry, Paid, and the payment.received email queued for the sponsor. Open: on staging no receipt has been delivered (test sponsors use @example.com, which Resend rejects); needs one staging payment by a sponsor with a real address. Also found: the receipt goes to the signed-in user, not the billing contact the checkout copy names. | 2026-10-08 checked staging read-only: NOT MET. The only payment.received receipt ever queued on staging (2026-10-06) went to an @example.com address and failed; none has been delivered. Needs one staging payment by a sponsor with a real inbox (the dev Clerk instance is at its 100-user cap, so an existing sponsor login is needed). The billing-contact vs signed-in-user recipient question is still open. | 2026-10-08 FIXED (backend, order-mail.ts tellSponsorPaid): the receipt now goes to the billing contact confirmed at checkout, as the checkout copy promises; the sponsor user who placed/paid gets a copy when that is a different address (case-insensitive), one receipt when it is the same. Tests: phase2-order-automation (new same-address case, mutation-checked), payment-webhooks, phase2-payouts updated; full backend suite 3,008/3,008. Still Code review until deployed to staging and one test payment with a real billing email shows the receipt delivered. | 2026-10-08 DONE — every clause met. Pay by card, decline then retry, Paid: verified 2026-10-07 (and staging order SX-BK6HZ86G paid on Stripe 2026-10-06). A sponsor email confirms the payment: proven on staging after the receipt fix (release #176, deployed 6669472) by `npm run smoke:receipt` (backend/scripts/smoke-receipt.mjs) — order SX-KLNH17FX placed and paid, its payment.received receipt sent to the billing contact delivered+smoke-20261008041202@resend.dev and accepted by Resend (notify.email job completed). The sponsor's copy is queued to the test sponsor's @example.com address, which Resend refuses (expected on staging).</t>
        </is>
      </c>
    </row>
    <row r="76">
      <c r="A76" s="112" t="n">
        <v>28.7</v>
      </c>
      <c r="B76" s="113" t="inlineStr">
        <is>
          <t>2S3-FE-03</t>
        </is>
      </c>
      <c r="C76" s="85" t="n">
        <v>3</v>
      </c>
      <c r="D76" s="86" t="inlineStr">
        <is>
          <t>Sprint 3 · Listing engine</t>
        </is>
      </c>
      <c r="E76" s="121" t="inlineStr">
        <is>
          <t>FE</t>
        </is>
      </c>
      <c r="F76" s="122" t="inlineStr">
        <is>
          <t>Code</t>
        </is>
      </c>
      <c r="G76" s="84" t="inlineStr">
        <is>
          <t>Show an athlete as the seller in the shop, cart and BTG's queue</t>
        </is>
      </c>
      <c r="H76" s="116" t="inlineStr">
        <is>
          <t>Since 2S3-BE-05 a listing is sold by a team or by an athlete with no team. For an athlete's listing the API sends property: null (search), propertyName: null (cart, listings) and seller { type: ATHLETE, id, name }. The sponsor shop, its search, the cart line, checkout and BTG's marketplace listing queue must show the seller instead of assuming a property. Today the shop's seller line (propertyLine in lib/shop-live.ts) would fail on the first athlete-sold listing.</t>
        </is>
      </c>
      <c r="I76" s="108" t="inlineStr">
        <is>
          <t>Done</t>
        </is>
      </c>
      <c r="J76" s="108" t="n">
        <v>2</v>
      </c>
      <c r="K76" s="109" t="n">
        <v>46296</v>
      </c>
      <c r="L76" s="109" t="n">
        <v>46297</v>
      </c>
      <c r="M76" s="110" t="inlineStr">
        <is>
          <t>rcfworks</t>
        </is>
      </c>
      <c r="N76" s="85" t="n"/>
      <c r="O76" s="84" t="inlineStr">
        <is>
          <t>2S3-BE-05</t>
        </is>
      </c>
      <c r="P76" s="84" t="inlineStr">
        <is>
          <t>An athlete-sold listing shows the athlete as its seller in the shop, the cart, checkout and BTG's listing queue, with no screen assuming a property; a test renders each with property: null</t>
        </is>
      </c>
      <c r="Q76" s="86" t="inlineStr">
        <is>
          <t>Spec §6 P2-07; 2S3-BE-05</t>
        </is>
      </c>
      <c r="R76" s="111" t="inlineStr">
        <is>
          <t>Raised 2026-09-30 by 2S3-BE-05 (backend sessions don't edit frontend). | Reviewed 2026-10-01: the shop card shows an athlete seller; still missing in the cart line, checkout lines and BTG listing queue (they print propertyName, null for an athlete; lineSummary collapses athlete sellers). | Reviewed 2026-10-02: the athlete seller is named in the shop card, cart line, checkout, sponsor order page, BTG listing queue and BTG order page; seller count by id.</t>
        </is>
      </c>
    </row>
    <row r="77">
      <c r="A77" s="112" t="n">
        <v>12.5</v>
      </c>
      <c r="B77" s="113" t="inlineStr">
        <is>
          <t>2S1-BE-05</t>
        </is>
      </c>
      <c r="C77" s="85" t="n">
        <v>1</v>
      </c>
      <c r="D77" s="86" t="inlineStr">
        <is>
          <t>Sprint 1 · External property onboarding</t>
        </is>
      </c>
      <c r="E77" s="121" t="inlineStr">
        <is>
          <t>BE</t>
        </is>
      </c>
      <c r="F77" s="122" t="inlineStr">
        <is>
          <t>Code</t>
        </is>
      </c>
      <c r="G77" s="84" t="inlineStr">
        <is>
          <t>BTG approves a new sponsor and opens the account</t>
        </is>
      </c>
      <c r="H77" s="116" t="inlineStr">
        <is>
          <t>Today a sponsor's request from the public form becomes a Zoho lead and nothing more. BTG cannot approve it in SponsorX and nothing gives the sponsor a login. The request should land in a BTG review queue, with the business type stored as categories. BTG approves or declines with a note. Approving creates the sponsor, its primary contact and a SPONSOR_ADMIN login in one transaction, links the Zoho account without duplicating it, and emails a sign-in link through the worker. Declining emails the reason. Audited; Zoho stays off the request path.</t>
        </is>
      </c>
      <c r="I77" s="108" t="inlineStr">
        <is>
          <t>Done</t>
        </is>
      </c>
      <c r="J77" s="108" t="n">
        <v>4</v>
      </c>
      <c r="K77" s="109" t="inlineStr">
        <is>
          <t>2026-09-30</t>
        </is>
      </c>
      <c r="L77" s="109" t="n">
        <v>46296</v>
      </c>
      <c r="M77" s="110" t="inlineStr">
        <is>
          <t>rcfworks</t>
        </is>
      </c>
      <c r="N77" s="85" t="inlineStr">
        <is>
          <t>2S1-FE-03</t>
        </is>
      </c>
      <c r="O77" s="84" t="inlineStr">
        <is>
          <t>2S1-BE-04, P8-INT-06</t>
        </is>
      </c>
      <c r="P77" s="84" t="inlineStr">
        <is>
          <t>A sponsor's request appears in BTG's queue with its business type; approving it creates the sponsor, its contact and a login the requester can sign in with, and links the Zoho account without a duplicate; declining tells the requester why; only BTG admin and sales can decide; tenant and role tests cover it</t>
        </is>
      </c>
      <c r="Q77" s="86" t="inlineStr">
        <is>
          <t>Spec §3, §12, §18; walkthrough 2026-09-30</t>
        </is>
      </c>
      <c r="R77" s="111" t="inlineStr">
        <is>
          <t>Raised 2026-09-30 from the walkthrough (step 4b): no BTG approval of a sponsor exists in SponsorX. | 2026-09-30: BUILT. The public form's request (Inquiry) now also waits for BTG: state NEW/APPROVED/DECLINED, the business's own words (categoryText) and the decision (migration 20260930170000). GET /sponsor-requests (tabs, counts), GET /sponsor-requests/:id (brief answers, suggested categories, checks), POST /sponsor-requests/:id/decision. inquiry.approve granted to BTG_ADMIN and SALES own-tenant, and SUPER_ADMIN any (matrix §11; digest 77c16c7e171c8dc2). Approving is one transaction: the sponsor with BTG's categories, the primary contact and a SPONSOR_ADMIN login (claimed at first sign-in by email). It queues the sponsor.accountOpened email and zoho.pushSponsor (Account with SponsorX_ID, plus Contact). No duplicates: an email already in use is refused (409); a same-named sponsor must be linked (e.g. the one Zoho synced in) or confirmed new. Decline needs a note and emails it. A request is decided once. tests/phase2-sponsor-requests.test.ts: form → queue → approve → Dana signs in as Harbor Coffee's SPONSOR_ADMIN, plus the refusals. The tenant sweep and the Zoho test cover it.</t>
        </is>
      </c>
    </row>
    <row r="78">
      <c r="A78" s="112" t="n">
        <v>14.5</v>
      </c>
      <c r="B78" s="113" t="inlineStr">
        <is>
          <t>2S1-FE-03</t>
        </is>
      </c>
      <c r="C78" s="85" t="n">
        <v>1</v>
      </c>
      <c r="D78" s="86" t="inlineStr">
        <is>
          <t>Sprint 1 · External property onboarding</t>
        </is>
      </c>
      <c r="E78" s="121" t="inlineStr">
        <is>
          <t>FE</t>
        </is>
      </c>
      <c r="F78" s="122" t="inlineStr">
        <is>
          <t>Code</t>
        </is>
      </c>
      <c r="G78" s="84" t="inlineStr">
        <is>
          <t>BTG's sponsor-request review screen</t>
        </is>
      </c>
      <c r="H78" s="116" t="inlineStr">
        <is>
          <t>BTG's queue of new sponsor requests: who is asking, their business type, their message and when they asked. BTG approves, which opens the account and emails a sign-in link, or declines with a note the sponsor reads. The screen shows whether the Zoho lead is already converted, so the sponsor isn't created twice.</t>
        </is>
      </c>
      <c r="I78" s="108" t="inlineStr">
        <is>
          <t>Done</t>
        </is>
      </c>
      <c r="J78" s="108" t="n">
        <v>3</v>
      </c>
      <c r="K78" s="109" t="inlineStr">
        <is>
          <t>2026-09-30</t>
        </is>
      </c>
      <c r="L78" s="109" t="n">
        <v>46296</v>
      </c>
      <c r="M78" s="110" t="inlineStr">
        <is>
          <t>rcfworks</t>
        </is>
      </c>
      <c r="N78" s="85" t="n"/>
      <c r="O78" s="84" t="inlineStr">
        <is>
          <t>2S1-BE-05</t>
        </is>
      </c>
      <c r="P78" s="84" t="inlineStr">
        <is>
          <t>BTG can review a sponsor's request, approve it (the sponsor can then sign in) or decline it with a reason, from the admin portal</t>
        </is>
      </c>
      <c r="Q78" s="86" t="inlineStr">
        <is>
          <t>Spec §10; walkthrough 2026-09-30</t>
        </is>
      </c>
      <c r="R78" s="111" t="inlineStr">
        <is>
          <t>Raised 2026-09-30 from the walkthrough (step 4b). | 2026-09-30: API built (2S1-BE-05). Waiting on the Claude Design SR-* artboards. | 2026-09-30: BUILT from Claude Design SponsorRequests.dc.html (SR-1…SR-8). /admin/sponsor-requests (Waiting / Approved / Declined tabs with counts) and /admin/sponsor-requests/[id]: the business and contact, what they told us, business-type chips (suggested one pre-picked), checks, the link-or-new choice, approve confirm, decline note, and after the decision the account's progress. The progress (email sent, signed in, who decided, business type) is read from the API, never assumed; an email not yet sent shows as queued. Menu item and admin-access for SUPER_ADMIN, BTG_ADMIN and SALES. Checked in a browser end to end (approve and decline). tests/sponsor-requests-live.test.ts; build, lint and tsc clean. The API gained `progress` on GET /sponsor-requests/:id (backend test extended).</t>
        </is>
      </c>
    </row>
    <row r="79">
      <c r="A79" s="112" t="n">
        <v>19.5</v>
      </c>
      <c r="B79" s="113" t="inlineStr">
        <is>
          <t>2S2-BE-05</t>
        </is>
      </c>
      <c r="C79" s="85" t="n">
        <v>2</v>
      </c>
      <c r="D79" s="86" t="inlineStr">
        <is>
          <t>Sprint 2 · Athlete &amp; team portals</t>
        </is>
      </c>
      <c r="E79" s="121" t="inlineStr">
        <is>
          <t>BE</t>
        </is>
      </c>
      <c r="F79" s="122" t="inlineStr">
        <is>
          <t>Code</t>
        </is>
      </c>
      <c r="G79" s="84" t="inlineStr">
        <is>
          <t>A team invites an athlete already on SponsorX</t>
        </is>
      </c>
      <c r="H79" s="116" t="inlineStr">
        <is>
          <t>A team invites an existing approved athlete with a proposed share; the athlete accepts or declines (nobody is linked without agreeing). Accepting links them at that share and ends the athlete's own listings (the team re-lists). Either side can end the link; past orders keep their split. 'Add a new athlete' stays for players not yet on SponsorX.</t>
        </is>
      </c>
      <c r="I79" s="108" t="inlineStr">
        <is>
          <t>Done</t>
        </is>
      </c>
      <c r="J79" s="108" t="n">
        <v>4</v>
      </c>
      <c r="K79" s="109" t="n">
        <v>46296</v>
      </c>
      <c r="L79" s="109" t="n">
        <v>46296</v>
      </c>
      <c r="M79" s="110" t="inlineStr">
        <is>
          <t>rcfworks</t>
        </is>
      </c>
      <c r="N79" s="85" t="inlineStr">
        <is>
          <t>2S2-FE-05</t>
        </is>
      </c>
      <c r="O79" s="84" t="inlineStr">
        <is>
          <t>2S2-BE-04, 2S3-BE-05</t>
        </is>
      </c>
      <c r="P79" s="84" t="inlineStr">
        <is>
          <t>A team can invite an existing approved athlete with a proposed share; the athlete can accept or decline; accepting links them at that share and ends their own listings; either side can end the link without changing past orders; nobody is linked without accepting; tenant and role tests cover it</t>
        </is>
      </c>
      <c r="Q79" s="86" t="inlineStr">
        <is>
          <t>Spec; user-flow review 2026-10-01</t>
        </is>
      </c>
      <c r="R79" s="111" t="inlineStr">
        <is>
          <t>Raised 2026-10-01 from the user-flow review (recommendations agreed; confirmation window set to 24 hours by the user). | Built and reviewed 2026-10-01; reviewer gap fixed (a team can lower, never raise, an accepted share). Own listings stop selling while on a team and sell again on leaving — definition updated to match.</t>
        </is>
      </c>
    </row>
    <row r="80">
      <c r="A80" s="112" t="n">
        <v>23.5</v>
      </c>
      <c r="B80" s="113" t="inlineStr">
        <is>
          <t>2S2-FE-05</t>
        </is>
      </c>
      <c r="C80" s="85" t="n">
        <v>2</v>
      </c>
      <c r="D80" s="86" t="inlineStr">
        <is>
          <t>Sprint 2 · Athlete &amp; team portals</t>
        </is>
      </c>
      <c r="E80" s="121" t="inlineStr">
        <is>
          <t>FE</t>
        </is>
      </c>
      <c r="F80" s="122" t="inlineStr">
        <is>
          <t>Code</t>
        </is>
      </c>
      <c r="G80" s="84" t="inlineStr">
        <is>
          <t>Team invitations and leaving a team, on screen</t>
        </is>
      </c>
      <c r="H80" s="116" t="inlineStr">
        <is>
          <t>Roster: invite an existing athlete (search, share, send), pending invitations, remove from roster. Athlete portal: the invitation with team, share and what joining means, Accept / Decline, and Leave team.</t>
        </is>
      </c>
      <c r="I80" s="108" t="inlineStr">
        <is>
          <t>Done</t>
        </is>
      </c>
      <c r="J80" s="108" t="n">
        <v>3</v>
      </c>
      <c r="K80" s="109" t="n">
        <v>46296</v>
      </c>
      <c r="L80" s="109" t="n">
        <v>46296</v>
      </c>
      <c r="M80" s="110" t="inlineStr">
        <is>
          <t>rcfworks</t>
        </is>
      </c>
      <c r="N80" s="85" t="n"/>
      <c r="O80" s="84" t="inlineStr">
        <is>
          <t>2S2-BE-05, 2S0-ART-01</t>
        </is>
      </c>
      <c r="P80" s="84" t="inlineStr">
        <is>
          <t>A team can invite an existing athlete and see the invitation's state; the athlete can accept, decline or later leave from their portal; a team can remove an athlete</t>
        </is>
      </c>
      <c r="Q80" s="86" t="inlineStr">
        <is>
          <t>Spec; user-flow review 2026-10-01</t>
        </is>
      </c>
      <c r="R80" s="111" t="inlineStr">
        <is>
          <t>Raised 2026-10-01 from the user-flow review (recommendations agreed; confirmation window set to 24 hours by the user). | Screen built 2026-10-01 on sample data at /athlete/team. Wiring waits on 2S2-BE-05. | Wired 2026-10-01: /athlete/team (accept, decline, leave) and the roster invite/withdraw/remove.</t>
        </is>
      </c>
    </row>
    <row r="81">
      <c r="A81" s="112" t="n">
        <v>34.3</v>
      </c>
      <c r="B81" s="113" t="inlineStr">
        <is>
          <t>2S4-BE-06</t>
        </is>
      </c>
      <c r="C81" s="85" t="n">
        <v>4</v>
      </c>
      <c r="D81" s="86" t="inlineStr">
        <is>
          <t>Sprint 4 · Cart, reservations &amp; orders</t>
        </is>
      </c>
      <c r="E81" s="121" t="inlineStr">
        <is>
          <t>BE</t>
        </is>
      </c>
      <c r="F81" s="122" t="inlineStr">
        <is>
          <t>Code</t>
        </is>
      </c>
      <c r="G81" s="84" t="inlineStr">
        <is>
          <t>Sellers see and are told about their sales</t>
        </is>
      </c>
      <c r="H81" s="116" t="inlineStr">
        <is>
          <t>The team manager and the athlete (or the athlete alone) read the order lines they sell: number, sponsor business, item, quantity, dates, status, their own share only. Emailed when a sale is approved and paid (optional heads-up when placed). The sponsor contact is visible once paid.</t>
        </is>
      </c>
      <c r="I81" s="108" t="inlineStr">
        <is>
          <t>Done</t>
        </is>
      </c>
      <c r="J81" s="108" t="n">
        <v>3</v>
      </c>
      <c r="K81" s="109" t="n">
        <v>46296</v>
      </c>
      <c r="L81" s="109" t="n">
        <v>46296</v>
      </c>
      <c r="M81" s="110" t="inlineStr">
        <is>
          <t>rcfworks</t>
        </is>
      </c>
      <c r="N81" s="85" t="inlineStr">
        <is>
          <t>2S4-BE-07, 2S4-FE-03</t>
        </is>
      </c>
      <c r="O81" s="84" t="inlineStr">
        <is>
          <t>2S4-BE-03, 2S5-BE-02</t>
        </is>
      </c>
      <c r="P81" s="84" t="inlineStr">
        <is>
          <t>A seller can read only the order lines they sell, with their own share and no one else's; they are emailed when a sale is approved and paid; the sponsor contact appears only once paid; a seller can never read another seller's lines or another tenant's orders (tenant and role tests)</t>
        </is>
      </c>
      <c r="Q81" s="86" t="inlineStr">
        <is>
          <t>Spec; user-flow review 2026-10-01</t>
        </is>
      </c>
      <c r="R81" s="111" t="inlineStr">
        <is>
          <t>Raised 2026-10-01 from the user-flow review (recommendations agreed; confirmation window set to 24 hours by the user). | Built and independently reviewed 2026-10-01: GET /sales, own share only, sponsor contact once paid, emails per sale.</t>
        </is>
      </c>
    </row>
    <row r="82">
      <c r="A82" s="112" t="n">
        <v>34.6</v>
      </c>
      <c r="B82" s="113" t="inlineStr">
        <is>
          <t>2S4-BE-07</t>
        </is>
      </c>
      <c r="C82" s="85" t="n">
        <v>4</v>
      </c>
      <c r="D82" s="86" t="inlineStr">
        <is>
          <t>Sprint 4 · Cart, reservations &amp; orders</t>
        </is>
      </c>
      <c r="E82" s="121" t="inlineStr">
        <is>
          <t>BE</t>
        </is>
      </c>
      <c r="F82" s="122" t="inlineStr">
        <is>
          <t>Code</t>
        </is>
      </c>
      <c r="G82" s="84" t="inlineStr">
        <is>
          <t>The seller marks it delivered; the sponsor confirms within 24 hours</t>
        </is>
      </c>
      <c r="H82" s="116" t="inlineStr">
        <is>
          <t>Per order line: paid → In delivery automatically; the seller marks it delivered with a note (proof optional); the sponsor confirms or reports a problem, and silence for 24 HOURS confirms. Only confirmed lines are payable (after the holding period). A problem holds that line's payout until BTG confirms delivery or cancels and refunds.</t>
        </is>
      </c>
      <c r="I82" s="108" t="inlineStr">
        <is>
          <t>Done</t>
        </is>
      </c>
      <c r="J82" s="108" t="n">
        <v>5</v>
      </c>
      <c r="K82" s="109" t="n">
        <v>46296</v>
      </c>
      <c r="L82" s="109" t="n">
        <v>46296</v>
      </c>
      <c r="M82" s="110" t="inlineStr">
        <is>
          <t>rcfworks</t>
        </is>
      </c>
      <c r="N82" s="85" t="inlineStr">
        <is>
          <t>2S4-BE-08, 2S4-FE-04</t>
        </is>
      </c>
      <c r="O82" s="84" t="inlineStr">
        <is>
          <t>2S4-BE-06, 2S5-BE-04</t>
        </is>
      </c>
      <c r="P82" s="84" t="inlineStr">
        <is>
          <t>A seller can mark only their own lines delivered, with a note; the sponsor can confirm or report a problem, and silence for 24 hours confirms; only confirmed lines can be paid out; a reported problem holds that line's payout until BTG resolves it; the order is delivered when all its lines are</t>
        </is>
      </c>
      <c r="Q82" s="86" t="inlineStr">
        <is>
          <t>Spec; user-flow review 2026-10-01</t>
        </is>
      </c>
      <c r="R82" s="111" t="inlineStr">
        <is>
          <t>Raised 2026-10-01 from the user-flow review (recommendations agreed; confirmation window set to 24 hours by the user). | Built and reviewed 2026-10-01; reviewer gap fixed (a manual FULFILLED is refused over an unsettled line). 24h window server-side; silence confirms (worker); BTG resolves on the issues desk.</t>
        </is>
      </c>
    </row>
    <row r="83">
      <c r="A83" s="112" t="n">
        <v>34.8</v>
      </c>
      <c r="B83" s="113" t="inlineStr">
        <is>
          <t>2S4-BE-08</t>
        </is>
      </c>
      <c r="C83" s="85" t="n">
        <v>4</v>
      </c>
      <c r="D83" s="86" t="inlineStr">
        <is>
          <t>Sprint 4 · Cart, reservations &amp; orders</t>
        </is>
      </c>
      <c r="E83" s="121" t="inlineStr">
        <is>
          <t>BE</t>
        </is>
      </c>
      <c r="F83" s="122" t="inlineStr">
        <is>
          <t>Code</t>
        </is>
      </c>
      <c r="G83" s="84" t="inlineStr">
        <is>
          <t>Delivery reminders and automatic close</t>
        </is>
      </c>
      <c r="H83" s="116" t="inlineStr">
        <is>
          <t>A daily job: reminds a seller the day after a line's last date if it isn't marked delivered, and lists overdue lines for BTG; closes an order automatically 30 days after its last line is confirmed, releasing the reserve. BTG can still close early by hand.</t>
        </is>
      </c>
      <c r="I83" s="108" t="inlineStr">
        <is>
          <t>Done</t>
        </is>
      </c>
      <c r="J83" s="108" t="n">
        <v>2</v>
      </c>
      <c r="K83" s="109" t="n">
        <v>46296</v>
      </c>
      <c r="L83" s="109" t="n">
        <v>46296</v>
      </c>
      <c r="M83" s="110" t="inlineStr">
        <is>
          <t>rcfworks</t>
        </is>
      </c>
      <c r="N83" s="85" t="inlineStr">
        <is>
          <t>2S4-FE-04</t>
        </is>
      </c>
      <c r="O83" s="84" t="inlineStr">
        <is>
          <t>2S4-BE-07</t>
        </is>
      </c>
      <c r="P83" s="84" t="inlineStr">
        <is>
          <t>Overdue lines remind the seller once and appear in BTG's list; an order closes itself 30 days after its last line is confirmed and its reserve becomes payable; running the job twice changes nothing</t>
        </is>
      </c>
      <c r="Q83" s="86" t="inlineStr">
        <is>
          <t>Spec; user-flow review 2026-10-01</t>
        </is>
      </c>
      <c r="R83" s="111" t="inlineStr">
        <is>
          <t>Raised 2026-10-01 from the user-flow review (recommendations agreed; confirmation window set to 24 hours by the user). | Built and reviewed 2026-10-01: overdue reminders once, auto-close 30 days after confirmation, both idempotent.</t>
        </is>
      </c>
    </row>
    <row r="84">
      <c r="A84" s="112" t="n">
        <v>36.3</v>
      </c>
      <c r="B84" s="113" t="inlineStr">
        <is>
          <t>2S4-FE-03</t>
        </is>
      </c>
      <c r="C84" s="85" t="n">
        <v>4</v>
      </c>
      <c r="D84" s="86" t="inlineStr">
        <is>
          <t>Sprint 4 · Cart, reservations &amp; orders</t>
        </is>
      </c>
      <c r="E84" s="121" t="inlineStr">
        <is>
          <t>FE</t>
        </is>
      </c>
      <c r="F84" s="122" t="inlineStr">
        <is>
          <t>Code</t>
        </is>
      </c>
      <c r="G84" s="84" t="inlineStr">
        <is>
          <t>The seller's Orders page</t>
        </is>
      </c>
      <c r="H84" s="116" t="inlineStr">
        <is>
          <t>Orders page in the athlete and team portals: each sale with number, sponsor business, item, dates, status and the seller's own share; the sponsor contact once paid; each line's delivery state.</t>
        </is>
      </c>
      <c r="I84" s="108" t="inlineStr">
        <is>
          <t>Done</t>
        </is>
      </c>
      <c r="J84" s="108" t="n">
        <v>3</v>
      </c>
      <c r="K84" s="109" t="n">
        <v>46296</v>
      </c>
      <c r="L84" s="109" t="n">
        <v>46296</v>
      </c>
      <c r="M84" s="110" t="inlineStr">
        <is>
          <t>rcfworks</t>
        </is>
      </c>
      <c r="N84" s="85" t="n"/>
      <c r="O84" s="84" t="inlineStr">
        <is>
          <t>2S4-BE-06, 2S0-ART-01</t>
        </is>
      </c>
      <c r="P84" s="84" t="inlineStr">
        <is>
          <t>An athlete and a team each see their own sales with their own share, and the sponsor contact once paid</t>
        </is>
      </c>
      <c r="Q84" s="86" t="inlineStr">
        <is>
          <t>Spec; user-flow review 2026-10-01</t>
        </is>
      </c>
      <c r="R84" s="111" t="inlineStr">
        <is>
          <t>Raised 2026-10-01 from the user-flow review (recommendations agreed; confirmation window set to 24 hours by the user). | Screens built 2026-10-01 on sample data at /athlete/sales and /property/sales. Wiring waits on 2S4-BE-06 (sellers can't read marketplace orders yet). | Wired 2026-10-01: /athlete/sales and /property/sales.</t>
        </is>
      </c>
    </row>
    <row r="85">
      <c r="A85" s="112" t="n">
        <v>36.6</v>
      </c>
      <c r="B85" s="113" t="inlineStr">
        <is>
          <t>2S4-FE-04</t>
        </is>
      </c>
      <c r="C85" s="85" t="n">
        <v>4</v>
      </c>
      <c r="D85" s="86" t="inlineStr">
        <is>
          <t>Sprint 4 · Cart, reservations &amp; orders</t>
        </is>
      </c>
      <c r="E85" s="121" t="inlineStr">
        <is>
          <t>FE</t>
        </is>
      </c>
      <c r="F85" s="122" t="inlineStr">
        <is>
          <t>Code</t>
        </is>
      </c>
      <c r="G85" s="84" t="inlineStr">
        <is>
          <t>Delivery on screen: mark delivered, confirm, resolve</t>
        </is>
      </c>
      <c r="H85" s="116" t="inlineStr">
        <is>
          <t>Seller: Mark delivered with note and optional proof. Sponsor: 'Riley says this was delivered' with Confirm / Report a problem and the time left (24 hours). BTG: reported problems queue (confirm delivered / cancel and refund) and overdue list.</t>
        </is>
      </c>
      <c r="I85" s="108" t="inlineStr">
        <is>
          <t>Done</t>
        </is>
      </c>
      <c r="J85" s="108" t="n">
        <v>4</v>
      </c>
      <c r="K85" s="109" t="n">
        <v>46296</v>
      </c>
      <c r="L85" s="109" t="n">
        <v>46296</v>
      </c>
      <c r="M85" s="110" t="inlineStr">
        <is>
          <t>rcfworks</t>
        </is>
      </c>
      <c r="N85" s="85" t="n"/>
      <c r="O85" s="84" t="inlineStr">
        <is>
          <t>2S4-BE-07, 2S4-BE-08, 2S0-ART-01</t>
        </is>
      </c>
      <c r="P85" s="84" t="inlineStr">
        <is>
          <t>A seller can mark a line delivered; the sponsor can confirm it or report a problem within 24 hours; BTG can resolve a problem and see overdue lines</t>
        </is>
      </c>
      <c r="Q85" s="86" t="inlineStr">
        <is>
          <t>Spec; user-flow review 2026-10-01</t>
        </is>
      </c>
      <c r="R85" s="111" t="inlineStr">
        <is>
          <t>Raised 2026-10-01 from the user-flow review (recommendations agreed; confirmation window set to 24 hours by the user). | Screens built 2026-10-01 on sample data: the seller's Mark delivered dialog and BTG's /admin/delivery-issues. Wiring waits on 2S4-BE-07; the sponsor's confirm screen isn't built yet. | Wired 2026-10-01: seller Mark delivered, the sponsor confirm/report screen with the 24h countdown, BTG /admin/delivery-issues.</t>
        </is>
      </c>
    </row>
    <row r="86">
      <c r="A86" s="112" t="n">
        <v>12.6</v>
      </c>
      <c r="B86" s="113" t="inlineStr">
        <is>
          <t>2S1-BE-06</t>
        </is>
      </c>
      <c r="C86" s="85" t="n">
        <v>1</v>
      </c>
      <c r="D86" s="86" t="inlineStr">
        <is>
          <t>Sprint 1 · External property onboarding</t>
        </is>
      </c>
      <c r="E86" s="121" t="inlineStr">
        <is>
          <t>BE</t>
        </is>
      </c>
      <c r="F86" s="122" t="inlineStr">
        <is>
          <t>Code</t>
        </is>
      </c>
      <c r="G86" s="84" t="inlineStr">
        <is>
          <t>Organizations are approved automatically; BTG reviews afterwards</t>
        </is>
      </c>
      <c r="H86" s="116" t="inlineStr">
        <is>
          <t>Checklist ticks itself from the required documents per type and state; contact confirms their email; the name is unique platform-wide (ignoring case, spaces, punctuation, 'The', LLC/Inc) and enforced by the database. All ticked → approved and login created; otherwise BTG's queue with the reason shown. BTG admins emailed for every new organization with a profile link; Reject (reason emailed) withdraws login and listing access, ends listings, holds payouts; Reinstate possible.</t>
        </is>
      </c>
      <c r="I86" s="108" t="inlineStr">
        <is>
          <t>Done</t>
        </is>
      </c>
      <c r="J86" s="108" t="n">
        <v>5</v>
      </c>
      <c r="K86" s="109" t="n">
        <v>46296</v>
      </c>
      <c r="L86" s="109" t="n">
        <v>46296</v>
      </c>
      <c r="M86" s="110" t="inlineStr">
        <is>
          <t>rcfworks</t>
        </is>
      </c>
      <c r="N86" s="85" t="inlineStr">
        <is>
          <t>2S1-BE-07, 2S1-FE-04, 2S1-FE-05</t>
        </is>
      </c>
      <c r="O86" s="84" t="inlineStr">
        <is>
          <t>2S1-BE-03, 2S1-BE-04</t>
        </is>
      </c>
      <c r="P86" s="84" t="inlineStr">
        <is>
          <t>An organization with every required document, a confirmed contact email and a unique name is approved without BTG; a duplicate name (after normalising) is refused, even between two applications at once; anything incomplete goes to BTG's queue with the reason shown to the applicant; BTG admins are emailed for each new organization with a link to its profile; Reject withdraws access, ends listings, holds payouts and emails the reason; tenant and role tests cover it</t>
        </is>
      </c>
      <c r="Q86" s="86" t="inlineStr">
        <is>
          <t>Spec §3, §12; BTG admin review 2026-10-01</t>
        </is>
      </c>
      <c r="R86" s="111" t="inlineStr">
        <is>
          <t>Raised 2026-10-01 from the BTG admin review: one BTG reviewer at most, so the system approves and BTG checks afterwards (agreed with the user). | Built and independently reviewed 2026-10-01: automatic approval, DB-enforced unique name (manual approval checks it too), BTG emailed a profile link, Reject/Reinstate.</t>
        </is>
      </c>
    </row>
    <row r="87">
      <c r="A87" s="112" t="n">
        <v>12.7</v>
      </c>
      <c r="B87" s="113" t="inlineStr">
        <is>
          <t>2S1-BE-07</t>
        </is>
      </c>
      <c r="C87" s="85" t="n">
        <v>1</v>
      </c>
      <c r="D87" s="86" t="inlineStr">
        <is>
          <t>Sprint 1 · External property onboarding</t>
        </is>
      </c>
      <c r="E87" s="121" t="inlineStr">
        <is>
          <t>BE</t>
        </is>
      </c>
      <c r="F87" s="122" t="inlineStr">
        <is>
          <t>Code</t>
        </is>
      </c>
      <c r="G87" s="84" t="inlineStr">
        <is>
          <t>Organizations update their documents after approval</t>
        </is>
      </c>
      <c r="H87" s="116" t="inlineStr">
        <is>
          <t>An approved organization replaces or adds documents from its portal; each change re-runs the checklist, keeps the previous file, and emails BTG admins a profile link; a required document removed without replacement flags the organization (no automatic suspension).</t>
        </is>
      </c>
      <c r="I87" s="108" t="inlineStr">
        <is>
          <t>Done</t>
        </is>
      </c>
      <c r="J87" s="108" t="n">
        <v>2</v>
      </c>
      <c r="K87" s="109" t="n">
        <v>46296</v>
      </c>
      <c r="L87" s="109" t="n">
        <v>46296</v>
      </c>
      <c r="M87" s="110" t="inlineStr">
        <is>
          <t>rcfworks</t>
        </is>
      </c>
      <c r="N87" s="85" t="inlineStr">
        <is>
          <t>2S1-FE-04</t>
        </is>
      </c>
      <c r="O87" s="84" t="inlineStr">
        <is>
          <t>2S1-BE-02, 2S1-BE-06</t>
        </is>
      </c>
      <c r="P87" s="84" t="inlineStr">
        <is>
          <t>An approved organization can replace or add documents; each change re-runs the checklist, keeps the previous file and emails BTG admins a link; a missing required document flags the organization for BTG; only the organization's own manager can change its documents</t>
        </is>
      </c>
      <c r="Q87" s="86" t="inlineStr">
        <is>
          <t>Spec §3, §12; BTG admin review 2026-10-01</t>
        </is>
      </c>
      <c r="R87" s="111" t="inlineStr">
        <is>
          <t>Raised 2026-10-01 from the BTG admin review: one BTG reviewer at most, so the system approves and BTG checks afterwards (agreed with the user). | Built and reviewed 2026-10-01: /property/documents API; earlier files kept; BTG told; listings stay live.</t>
        </is>
      </c>
    </row>
    <row r="88">
      <c r="A88" s="112" t="n">
        <v>12.8</v>
      </c>
      <c r="B88" s="113" t="inlineStr">
        <is>
          <t>2S1-BE-08</t>
        </is>
      </c>
      <c r="C88" s="85" t="n">
        <v>1</v>
      </c>
      <c r="D88" s="86" t="inlineStr">
        <is>
          <t>Sprint 1 · External property onboarding</t>
        </is>
      </c>
      <c r="E88" s="121" t="inlineStr">
        <is>
          <t>BE</t>
        </is>
      </c>
      <c r="F88" s="122" t="inlineStr">
        <is>
          <t>Code</t>
        </is>
      </c>
      <c r="G88" s="84" t="inlineStr">
        <is>
          <t>AGENCY as an organization type</t>
        </is>
      </c>
      <c r="H88" s="116" t="inlineStr">
        <is>
          <t>Add AGENCY (athlete management / talent agency). Documents: business registration in every state, contact identity, proof it represents its athletes. Roster and agreed share like a team; works in onboarding, property records, commission rules by property kind, search and filters.</t>
        </is>
      </c>
      <c r="I88" s="108" t="inlineStr">
        <is>
          <t>Done</t>
        </is>
      </c>
      <c r="J88" s="108" t="n">
        <v>2</v>
      </c>
      <c r="K88" s="109" t="n">
        <v>46296</v>
      </c>
      <c r="L88" s="109" t="n">
        <v>46296</v>
      </c>
      <c r="M88" s="110" t="inlineStr">
        <is>
          <t>rcfworks</t>
        </is>
      </c>
      <c r="N88" s="85" t="inlineStr">
        <is>
          <t>2S1-FE-04</t>
        </is>
      </c>
      <c r="O88" s="84" t="inlineStr">
        <is>
          <t>2S1-BE-01</t>
        </is>
      </c>
      <c r="P88" s="84" t="inlineStr">
        <is>
          <t>An agency can apply, is held to its own document list, can hold a roster and an agreed share, and can be targeted by commission rules like any other organization type</t>
        </is>
      </c>
      <c r="Q88" s="86" t="inlineStr">
        <is>
          <t>Spec §3, §12; BTG admin review 2026-10-01</t>
        </is>
      </c>
      <c r="R88" s="111" t="inlineStr">
        <is>
          <t>Raised 2026-10-01 from the BTG admin review: one BTG reviewer at most, so the system approves and BTG checks afterwards (agreed with the user). | Built and reviewed 2026-10-01. Representation agreement included as AGENCY proof — not yet confirmed by the owner.</t>
        </is>
      </c>
    </row>
    <row r="89">
      <c r="A89" s="112" t="n">
        <v>14.6</v>
      </c>
      <c r="B89" s="113" t="inlineStr">
        <is>
          <t>2S1-FE-04</t>
        </is>
      </c>
      <c r="C89" s="85" t="n">
        <v>1</v>
      </c>
      <c r="D89" s="86" t="inlineStr">
        <is>
          <t>Sprint 1 · External property onboarding</t>
        </is>
      </c>
      <c r="E89" s="121" t="inlineStr">
        <is>
          <t>FE</t>
        </is>
      </c>
      <c r="F89" s="122" t="inlineStr">
        <is>
          <t>Code</t>
        </is>
      </c>
      <c r="G89" s="84" t="inlineStr">
        <is>
          <t>The applicant's checklist and the documents page</t>
        </is>
      </c>
      <c r="H89" s="116" t="inlineStr">
        <is>
          <t>Wizard: live checklist of required documents, email confirmation step, 'name already registered' message, AGENCY type. Property portal: Documents page to replace or add files, with status and history.</t>
        </is>
      </c>
      <c r="I89" s="108" t="inlineStr">
        <is>
          <t>Done</t>
        </is>
      </c>
      <c r="J89" s="108" t="n">
        <v>3</v>
      </c>
      <c r="K89" s="109" t="n">
        <v>46296</v>
      </c>
      <c r="L89" s="109" t="n">
        <v>46296</v>
      </c>
      <c r="M89" s="110" t="inlineStr">
        <is>
          <t>rcfworks</t>
        </is>
      </c>
      <c r="N89" s="85" t="n"/>
      <c r="O89" s="84" t="inlineStr">
        <is>
          <t>2S1-BE-06, 2S1-BE-07, 2S1-BE-08, 2S0-ART-01</t>
        </is>
      </c>
      <c r="P89" s="84" t="inlineStr">
        <is>
          <t>An applicant sees exactly what is still missing and is approved when nothing is; an approved organization can replace or add its documents from its portal</t>
        </is>
      </c>
      <c r="Q89" s="86" t="inlineStr">
        <is>
          <t>Spec §3, §12; BTG admin review 2026-10-01</t>
        </is>
      </c>
      <c r="R89" s="111" t="inlineStr">
        <is>
          <t>Raised 2026-10-01 from the BTG admin review: one BTG reviewer at most, so the system approves and BTG checks afterwards (agreed with the user). | Screens built 2026-10-01 on sample data: /property/documents. Wiring waits on 2S1-BE-07 (a property reads and replaces its own documents). | Wired 2026-10-01: wizard checklist, /onboarding/confirm, /property/documents live.</t>
        </is>
      </c>
    </row>
    <row r="90">
      <c r="A90" s="112" t="n">
        <v>14.7</v>
      </c>
      <c r="B90" s="113" t="inlineStr">
        <is>
          <t>2S1-FE-05</t>
        </is>
      </c>
      <c r="C90" s="85" t="n">
        <v>1</v>
      </c>
      <c r="D90" s="86" t="inlineStr">
        <is>
          <t>Sprint 1 · External property onboarding</t>
        </is>
      </c>
      <c r="E90" s="121" t="inlineStr">
        <is>
          <t>FE</t>
        </is>
      </c>
      <c r="F90" s="122" t="inlineStr">
        <is>
          <t>Code</t>
        </is>
      </c>
      <c r="G90" s="84" t="inlineStr">
        <is>
          <t>BTG's organization profile page with Reject</t>
        </is>
      </c>
      <c r="H90" s="116" t="inlineStr">
        <is>
          <t>The page the BTG email links to: details, documents, the checklist as approved, activity; Reject (required reason, emailed) and Reinstate; an 'Automatically approved' list for spot checks.</t>
        </is>
      </c>
      <c r="I90" s="108" t="inlineStr">
        <is>
          <t>Done</t>
        </is>
      </c>
      <c r="J90" s="108" t="n">
        <v>2</v>
      </c>
      <c r="K90" s="109" t="n">
        <v>46296</v>
      </c>
      <c r="L90" s="109" t="n">
        <v>46296</v>
      </c>
      <c r="M90" s="110" t="inlineStr">
        <is>
          <t>rcfworks</t>
        </is>
      </c>
      <c r="N90" s="85" t="n"/>
      <c r="O90" s="84" t="inlineStr">
        <is>
          <t>2S1-BE-06, 2S1-BE-07, 2S0-ART-01</t>
        </is>
      </c>
      <c r="P90" s="84" t="inlineStr">
        <is>
          <t>From the emailed link, a BTG admin can review an automatically approved organization and reject it with a reason, or reinstate it; recent automatic approvals are listed for spot checks</t>
        </is>
      </c>
      <c r="Q90" s="86" t="inlineStr">
        <is>
          <t>Spec §3, §12; BTG admin review 2026-10-01</t>
        </is>
      </c>
      <c r="R90" s="111" t="inlineStr">
        <is>
          <t>Raised 2026-10-01 from the BTG admin review: one BTG reviewer at most, so the system approves and BTG checks afterwards (agreed with the user). | Built 2026-10-01 into /admin/onboarding/[id]: profile, 5-minute document links, activity, Reject/Reinstate; Approved automatically and Flagged tabs.</t>
        </is>
      </c>
    </row>
    <row r="91">
      <c r="A91" s="112" t="n">
        <v>12.85</v>
      </c>
      <c r="B91" s="113" t="inlineStr">
        <is>
          <t>2S1-BE-09</t>
        </is>
      </c>
      <c r="C91" s="85" t="n">
        <v>1</v>
      </c>
      <c r="D91" s="86" t="inlineStr">
        <is>
          <t>Sprint 1 · External property onboarding</t>
        </is>
      </c>
      <c r="E91" s="121" t="inlineStr">
        <is>
          <t>BE</t>
        </is>
      </c>
      <c r="F91" s="122" t="inlineStr">
        <is>
          <t>Code</t>
        </is>
      </c>
      <c r="G91" s="84" t="inlineStr">
        <is>
          <t>Adult athletes are approved automatically</t>
        </is>
      </c>
      <c r="H91" s="116" t="inlineStr">
        <is>
          <t>Complete application (date of birth required), government ID, email confirmed, no likely duplicate (email, or name + date of birth) → approved; duplicates to BTG's queue. BTG emailed with a New sign-ups link; Reject/Reinstate. IDs in the private bucket, BTG-only 5-minute audited views.</t>
        </is>
      </c>
      <c r="I91" s="108" t="inlineStr">
        <is>
          <t>Done</t>
        </is>
      </c>
      <c r="J91" s="108" t="n">
        <v>4</v>
      </c>
      <c r="K91" s="109" t="n">
        <v>46296</v>
      </c>
      <c r="L91" s="109" t="n">
        <v>46296</v>
      </c>
      <c r="M91" s="110" t="inlineStr">
        <is>
          <t>rcfworks</t>
        </is>
      </c>
      <c r="N91" s="85" t="inlineStr">
        <is>
          <t>2S1-BE-10, 2S1-FE-06, 2S1-FE-07</t>
        </is>
      </c>
      <c r="O91" s="84" t="inlineStr">
        <is>
          <t>2S1-BE-06, P3-BE-15</t>
        </is>
      </c>
      <c r="P91" s="84" t="inlineStr">
        <is>
          <t>An adult with a complete application, a government ID and a confirmed email who is not a likely duplicate is approved and can sign in without BTG; a likely duplicate goes to BTG's queue; BTG admins are emailed for each; Reject withdraws access, ends listings, holds payouts and emails the reason; ID files are viewable only by BTG admins through short-lived, audited links</t>
        </is>
      </c>
      <c r="Q91" s="86" t="inlineStr">
        <is>
          <t>Spec §4, §26, §37; BTG admin review 2026-10-01</t>
        </is>
      </c>
      <c r="R91" s="111" t="inlineStr">
        <is>
          <t>Raised 2026-10-01 from the BTG admin review (one BTG reviewer, so automate and check afterwards). Decisions: age of majority by state/country; minors use a school ID; guardian acts for minors; 30-day file retention; 90-day coming-of-age allowance. | Built and independently reviewed 2026-10-01: adults approved automatically (ID, email, DOB, duplicate check), BTG emailed, Reject/Reinstate, 5-minute audited ID links.</t>
        </is>
      </c>
    </row>
    <row r="92">
      <c r="A92" s="112" t="n">
        <v>12.86</v>
      </c>
      <c r="B92" s="113" t="inlineStr">
        <is>
          <t>2S1-BE-10</t>
        </is>
      </c>
      <c r="C92" s="85" t="n">
        <v>1</v>
      </c>
      <c r="D92" s="86" t="inlineStr">
        <is>
          <t>Sprint 1 · External property onboarding</t>
        </is>
      </c>
      <c r="E92" s="121" t="inlineStr">
        <is>
          <t>BE</t>
        </is>
      </c>
      <c r="F92" s="122" t="inlineStr">
        <is>
          <t>Code</t>
        </is>
      </c>
      <c r="G92" s="84" t="inlineStr">
        <is>
          <t>Minors: the guardian's page, documents and automatic approval</t>
        </is>
      </c>
      <c r="H92" s="116" t="inlineStr">
        <is>
          <t>Guardian's own page: details, government ID, proof of guardianship, guardian agreement; guardian and minor both confirm email; minor uploads a school ID. Then both approved automatically. One guardian, several athletes. Rejecting a guardian rejects all their athletes, not the reverse. Staff-confirmation setting for a later legal answer.</t>
        </is>
      </c>
      <c r="I92" s="108" t="inlineStr">
        <is>
          <t>Done</t>
        </is>
      </c>
      <c r="J92" s="108" t="n">
        <v>5</v>
      </c>
      <c r="K92" s="109" t="n">
        <v>46296</v>
      </c>
      <c r="L92" s="109" t="n">
        <v>46296</v>
      </c>
      <c r="M92" s="110" t="inlineStr">
        <is>
          <t>rcfworks</t>
        </is>
      </c>
      <c r="N92" s="85" t="inlineStr">
        <is>
          <t>2S1-BE-11, 2S1-BE-12, 2S1-FE-06, 2S1-FE-07</t>
        </is>
      </c>
      <c r="O92" s="84" t="inlineStr">
        <is>
          <t>2S1-BE-09, P3-BE-15</t>
        </is>
      </c>
      <c r="P92" s="84" t="inlineStr">
        <is>
          <t>A minor and their guardian are approved without BTG once both emails are confirmed, the guardian's ID and proof of guardianship and the minor's ID are uploaded and the guardian agreement is accepted; a guardian can have several athletes; rejecting a guardian rejects all their athletes, and rejecting an athlete does not reject the guardian; the staff-confirmation setting holds minors for BTG when switched on</t>
        </is>
      </c>
      <c r="Q92" s="86" t="inlineStr">
        <is>
          <t>Spec §4, §26, §37; BTG admin review 2026-10-01</t>
        </is>
      </c>
      <c r="R92" s="111" t="inlineStr">
        <is>
          <t>Raised 2026-10-01 from the BTG admin review (one BTG reviewer, so automate and check afterwards). Decisions: age of majority by state/country; minors use a school ID; guardian acts for minors; 30-day file retention; 90-day coming-of-age allowance. | Built and reviewed 2026-10-01; review fixes: proof of guardianship per child (AccountDocument.wardId), and a guardian verified through one child waits for each other child own proof and agreement (tests/phase2-sibling-guardian).</t>
        </is>
      </c>
    </row>
    <row r="93">
      <c r="A93" s="112" t="n">
        <v>12.87</v>
      </c>
      <c r="B93" s="113" t="inlineStr">
        <is>
          <t>2S1-BE-11</t>
        </is>
      </c>
      <c r="C93" s="85" t="n">
        <v>1</v>
      </c>
      <c r="D93" s="86" t="inlineStr">
        <is>
          <t>Sprint 1 · External property onboarding</t>
        </is>
      </c>
      <c r="E93" s="121" t="inlineStr">
        <is>
          <t>BE</t>
        </is>
      </c>
      <c r="F93" s="122" t="inlineStr">
        <is>
          <t>Code</t>
        </is>
      </c>
      <c r="G93" s="84" t="inlineStr">
        <is>
          <t>The guardian acts for the minor</t>
        </is>
      </c>
      <c r="H93" s="116" t="inlineStr">
        <is>
          <t>For a minor every agreement and money action comes from the guardian's account (offers, orders, listings, payout account in the guardian's name, payout requests); the minor's login views and uploads content, and each upload emails the guardian.</t>
        </is>
      </c>
      <c r="I93" s="108" t="inlineStr">
        <is>
          <t>Done</t>
        </is>
      </c>
      <c r="J93" s="108" t="n">
        <v>5</v>
      </c>
      <c r="K93" s="109" t="n">
        <v>46296</v>
      </c>
      <c r="L93" s="109" t="n">
        <v>46296</v>
      </c>
      <c r="M93" s="110" t="inlineStr">
        <is>
          <t>rcfworks</t>
        </is>
      </c>
      <c r="N93" s="85" t="inlineStr">
        <is>
          <t>2S1-FE-08</t>
        </is>
      </c>
      <c r="O93" s="84" t="inlineStr">
        <is>
          <t>2S1-BE-10, 2S5-BE-04</t>
        </is>
      </c>
      <c r="P93" s="84" t="inlineStr">
        <is>
          <t>For a minor, only the guardian can accept, list, set up payouts or request a payout, and the minor's login is refused for each (tested route by route); the minor can upload content and the guardian is emailed for every upload; an adult's account is unaffected</t>
        </is>
      </c>
      <c r="Q93" s="86" t="inlineStr">
        <is>
          <t>Spec §4, §26, §37; BTG admin review 2026-10-01</t>
        </is>
      </c>
      <c r="R93" s="111" t="inlineStr">
        <is>
          <t>Raised 2026-10-01 from the BTG admin review (one BTG reviewer, so automate and check afterwards). Decisions: age of majority by state/country; minors use a school ID; guardian acts for minors; 30-day file retention; 90-day coming-of-age allowance. | Built and reviewed 2026-10-01: the guardian acts for the ward (x-sponsorx-ward); the minor own login is refused every agreement and money write; guardian emailed on each upload.</t>
        </is>
      </c>
    </row>
    <row r="94">
      <c r="A94" s="112" t="n">
        <v>12.88</v>
      </c>
      <c r="B94" s="113" t="inlineStr">
        <is>
          <t>2S1-BE-12</t>
        </is>
      </c>
      <c r="C94" s="85" t="n">
        <v>1</v>
      </c>
      <c r="D94" s="86" t="inlineStr">
        <is>
          <t>Sprint 1 · External property onboarding</t>
        </is>
      </c>
      <c r="E94" s="121" t="inlineStr">
        <is>
          <t>BE</t>
        </is>
      </c>
      <c r="F94" s="122" t="inlineStr">
        <is>
          <t>Code</t>
        </is>
      </c>
      <c r="G94" s="84" t="inlineStr">
        <is>
          <t>Age of majority by state and country, and coming of age</t>
        </is>
      </c>
      <c r="H94" s="116" t="inlineStr">
        <is>
          <t>Editable table (most states 18; AL, NE 19; MS 21; countries added); unknown place counts as 18 and is flagged; re-checked on a move. Coming of age: 90-day allowance. During it, neither athlete nor guardian can add items or start new transactions; existing orders and campaigns continue. Persistent reminder on both portals; reminder emails at the start and 30, 14, 7 and 1 days before the end. Government ID uploaded → control moves to the athlete. Not done in 90 days → both accounts terminated (only the guardian's link ends if they have other minors), under the 30-day retention and reactivation rules; in-flight items go to BTG and earned money stays owed.</t>
        </is>
      </c>
      <c r="I94" s="108" t="inlineStr">
        <is>
          <t>Done</t>
        </is>
      </c>
      <c r="J94" s="108" t="n">
        <v>4</v>
      </c>
      <c r="K94" s="109" t="n">
        <v>46296</v>
      </c>
      <c r="L94" s="109" t="n">
        <v>46296</v>
      </c>
      <c r="M94" s="110" t="inlineStr">
        <is>
          <t>rcfworks</t>
        </is>
      </c>
      <c r="N94" s="85" t="inlineStr">
        <is>
          <t>2S1-FE-08</t>
        </is>
      </c>
      <c r="O94" s="84" t="inlineStr">
        <is>
          <t>2S1-BE-10</t>
        </is>
      </c>
      <c r="P94" s="84" t="inlineStr">
        <is>
          <t>Adulthood follows the athlete's state or country, from the date of birth, using the editable table; an unknown place counts as 18 and is flagged; during the 90-day allowance neither the athlete nor the guardian can add items or start a new transaction while existing orders and campaigns continue, a reminder persists on both portals, and reminder emails go out at the start and 30, 14, 7 and 1 days before the end; uploading a government ID moves control from the guardian to the athlete; if it isn't done in 90 days both accounts are terminated (only the guardian's link ends when they have other minors), under the 30-day retention and reactivation rules</t>
        </is>
      </c>
      <c r="Q94" s="86" t="inlineStr">
        <is>
          <t>Spec §4, §26, §37; BTG admin review 2026-10-01</t>
        </is>
      </c>
      <c r="R94" s="111" t="inlineStr">
        <is>
          <t>Raised 2026-10-01 from the BTG admin review (one BTG reviewer, so automate and check afterwards). Decisions: age of majority by state/country; minors use a school ID; guardian acts for minors; 30-day file retention; 90-day coming-of-age allowance. | 2026-10-01: user set the 90-day rules: no new items or transactions during it, existing orders and campaigns continue, reminder emails before expiry, terminate both accounts if unmet. | Built and reviewed 2026-10-01: editable age-of-majority table (unknown = 18, flagged), coming of age: 90 days, reminders 90/30/14/7/1, pause, termination (link only when other minors).</t>
        </is>
      </c>
    </row>
    <row r="95">
      <c r="A95" s="112" t="n">
        <v>12.89</v>
      </c>
      <c r="B95" s="113" t="inlineStr">
        <is>
          <t>2S1-BE-13</t>
        </is>
      </c>
      <c r="C95" s="85" t="n">
        <v>1</v>
      </c>
      <c r="D95" s="86" t="inlineStr">
        <is>
          <t>Sprint 1 · External property onboarding</t>
        </is>
      </c>
      <c r="E95" s="121" t="inlineStr">
        <is>
          <t>BE</t>
        </is>
      </c>
      <c r="F95" s="122" t="inlineStr">
        <is>
          <t>Code</t>
        </is>
      </c>
      <c r="G95" s="84" t="inlineStr">
        <is>
          <t>Closing an account, 30-day retention and coming back</t>
        </is>
      </c>
      <c r="H95" s="116" t="inlineStr">
        <is>
          <t>Athletes, guardians and organizations can close their account; ID and verification files kept 30 days then deleted permanently (audited). Self-closed accounts reactivate within 30 days from a reactivation page, with files restored and checks re-run; rejected accounts can only request it, and BTG decides.</t>
        </is>
      </c>
      <c r="I95" s="108" t="inlineStr">
        <is>
          <t>Done</t>
        </is>
      </c>
      <c r="J95" s="108" t="n">
        <v>3</v>
      </c>
      <c r="K95" s="109" t="n">
        <v>46296</v>
      </c>
      <c r="L95" s="109" t="n">
        <v>46296</v>
      </c>
      <c r="M95" s="110" t="inlineStr">
        <is>
          <t>rcfworks</t>
        </is>
      </c>
      <c r="N95" s="85" t="inlineStr">
        <is>
          <t>2S1-FE-08</t>
        </is>
      </c>
      <c r="O95" s="84" t="inlineStr">
        <is>
          <t>2S1-BE-09, 2S1-BE-06</t>
        </is>
      </c>
      <c r="P95" s="84" t="inlineStr">
        <is>
          <t>Closing an account keeps its files for 30 days and then deletes them permanently, with an audit record; returning within 30 days through the reactivation page restores the account and its files (self-closed) or asks BTG (rejected); after 30 days the files are gone and a new sign-up is needed</t>
        </is>
      </c>
      <c r="Q95" s="86" t="inlineStr">
        <is>
          <t>Spec §4, §26, §37; BTG admin review 2026-10-01</t>
        </is>
      </c>
      <c r="R95" s="111" t="inlineStr">
        <is>
          <t>Raised 2026-10-01 from the BTG admin review (one BTG reviewer, so automate and check afterwards). Decisions: age of majority by state/country; minors use a school ID; guardian acts for minors; 30-day file retention; 90-day coming-of-age allowance. | Built and reviewed 2026-10-01; every Reject path records a closure (30-day purge, ask BTG); closed sellers cannot sell.</t>
        </is>
      </c>
    </row>
    <row r="96">
      <c r="A96" s="112" t="n">
        <v>14.75</v>
      </c>
      <c r="B96" s="113" t="inlineStr">
        <is>
          <t>2S1-FE-06</t>
        </is>
      </c>
      <c r="C96" s="85" t="n">
        <v>1</v>
      </c>
      <c r="D96" s="86" t="inlineStr">
        <is>
          <t>Sprint 1 · External property onboarding</t>
        </is>
      </c>
      <c r="E96" s="121" t="inlineStr">
        <is>
          <t>FE</t>
        </is>
      </c>
      <c r="F96" s="122" t="inlineStr">
        <is>
          <t>Code</t>
        </is>
      </c>
      <c r="G96" s="84" t="inlineStr">
        <is>
          <t>Athlete and guardian sign-up screens</t>
        </is>
      </c>
      <c r="H96" s="116" t="inlineStr">
        <is>
          <t>Application: government ID (adult) or school ID (minor), email confirmation, guardian's details. Guardian's page: details, government ID, proof of guardianship, guardian agreement. Each shows what is still needed.</t>
        </is>
      </c>
      <c r="I96" s="108" t="inlineStr">
        <is>
          <t>Done</t>
        </is>
      </c>
      <c r="J96" s="108" t="n">
        <v>4</v>
      </c>
      <c r="K96" s="109" t="n">
        <v>46296</v>
      </c>
      <c r="L96" s="109" t="n">
        <v>46296</v>
      </c>
      <c r="M96" s="110" t="inlineStr">
        <is>
          <t>rcfworks</t>
        </is>
      </c>
      <c r="N96" s="85" t="n"/>
      <c r="O96" s="84" t="inlineStr">
        <is>
          <t>2S1-BE-09, 2S1-BE-10, 2S0-ART-01</t>
        </is>
      </c>
      <c r="P96" s="84" t="inlineStr">
        <is>
          <t>An adult and a minor with their guardian can each complete sign-up, see what is still missing, and are approved when nothing is</t>
        </is>
      </c>
      <c r="Q96" s="86" t="inlineStr">
        <is>
          <t>Spec §4, §26, §37; BTG admin review 2026-10-01</t>
        </is>
      </c>
      <c r="R96" s="111" t="inlineStr">
        <is>
          <t>Raised 2026-10-01 from the BTG admin review (one BTG reviewer, so automate and check afterwards). Decisions: age of majority by state/country; minors use a school ID; guardian acts for minors; 30-day file retention; 90-day coming-of-age allowance. | Guardian set-up screen built 2026-10-01 on sample data at /guardian/setup. Wiring waits on 2S1-BE-09/-10; the adult athlete sign-up changes aren't built yet. | Wired 2026-10-01: /join checklist and ID upload, /join/confirm, /guardian/setup live.</t>
        </is>
      </c>
    </row>
    <row r="97">
      <c r="A97" s="112" t="n">
        <v>14.8</v>
      </c>
      <c r="B97" s="113" t="inlineStr">
        <is>
          <t>2S1-FE-07</t>
        </is>
      </c>
      <c r="C97" s="85" t="n">
        <v>1</v>
      </c>
      <c r="D97" s="86" t="inlineStr">
        <is>
          <t>Sprint 1 · External property onboarding</t>
        </is>
      </c>
      <c r="E97" s="121" t="inlineStr">
        <is>
          <t>FE</t>
        </is>
      </c>
      <c r="F97" s="122" t="inlineStr">
        <is>
          <t>Code</t>
        </is>
      </c>
      <c r="G97" s="84" t="inlineStr">
        <is>
          <t>BTG's New sign-ups page</t>
        </is>
      </c>
      <c r="H97" s="116" t="inlineStr">
        <is>
          <t>One page for every automatic approval (organizations, athletes, guardians) that the emails link to: documents through the 5-minute viewer, Reject (required reason) and Reinstate, the guardian-athlete link shown on reject, plus duplicates and flagged items.</t>
        </is>
      </c>
      <c r="I97" s="108" t="inlineStr">
        <is>
          <t>Done</t>
        </is>
      </c>
      <c r="J97" s="108" t="n">
        <v>3</v>
      </c>
      <c r="K97" s="109" t="n">
        <v>46296</v>
      </c>
      <c r="L97" s="109" t="n">
        <v>46296</v>
      </c>
      <c r="M97" s="110" t="inlineStr">
        <is>
          <t>rcfworks</t>
        </is>
      </c>
      <c r="N97" s="85" t="n"/>
      <c r="O97" s="84" t="inlineStr">
        <is>
          <t>2S1-BE-09, 2S1-BE-10, 2S1-FE-05</t>
        </is>
      </c>
      <c r="P97" s="84" t="inlineStr">
        <is>
          <t>From the emailed link, BTG can see every new organization, athlete and guardian with their documents, and reject or reinstate each, with a guardian's rejection shown to include their athletes</t>
        </is>
      </c>
      <c r="Q97" s="86" t="inlineStr">
        <is>
          <t>Spec §4, §26, §37; BTG admin review 2026-10-01</t>
        </is>
      </c>
      <c r="R97" s="111" t="inlineStr">
        <is>
          <t>Raised 2026-10-01 from the BTG admin review (one BTG reviewer, so automate and check afterwards). Decisions: age of majority by state/country; minors use a school ID; guardian acts for minors; 30-day file retention; 90-day coming-of-age allowance. | Screens built 2026-10-01 at /admin/new-signups: the sponsor section is live (2S1-BE-17); organizations, athletes and guardians are sample data until 2S1-BE-06/-09/-10. | Wired 2026-10-01: New sign-ups live for organizations, athletes, guardians and sponsors, with profiles, 5-minute document links, Approve/Reject/Reinstate.</t>
        </is>
      </c>
    </row>
    <row r="98">
      <c r="A98" s="112" t="n">
        <v>14.85</v>
      </c>
      <c r="B98" s="113" t="inlineStr">
        <is>
          <t>2S1-FE-08</t>
        </is>
      </c>
      <c r="C98" s="85" t="n">
        <v>1</v>
      </c>
      <c r="D98" s="86" t="inlineStr">
        <is>
          <t>Sprint 1 · External property onboarding</t>
        </is>
      </c>
      <c r="E98" s="121" t="inlineStr">
        <is>
          <t>FE</t>
        </is>
      </c>
      <c r="F98" s="122" t="inlineStr">
        <is>
          <t>Code</t>
        </is>
      </c>
      <c r="G98" s="84" t="inlineStr">
        <is>
          <t>The guardian's controls, the coming-of-age reminder, and closing or reactivating an account</t>
        </is>
      </c>
      <c r="H98" s="116" t="inlineStr">
        <is>
          <t>Guardian's portal acts for the minor; minor's portal shows those actions as the guardian's; persistent 90-day coming-of-age reminder with countdown and ID upload; Close account and the reactivation page. Paused actions (adding items, new transactions) shown as unavailable with the reason during the 90 days.</t>
        </is>
      </c>
      <c r="I98" s="108" t="inlineStr">
        <is>
          <t>Done</t>
        </is>
      </c>
      <c r="J98" s="108" t="n">
        <v>4</v>
      </c>
      <c r="K98" s="109" t="n">
        <v>46296</v>
      </c>
      <c r="L98" s="109" t="n">
        <v>46296</v>
      </c>
      <c r="M98" s="110" t="inlineStr">
        <is>
          <t>rcfworks</t>
        </is>
      </c>
      <c r="N98" s="85" t="n"/>
      <c r="O98" s="84" t="inlineStr">
        <is>
          <t>2S1-BE-11, 2S1-BE-12, 2S1-BE-13, 2S0-ART-01</t>
        </is>
      </c>
      <c r="P98" s="84" t="inlineStr">
        <is>
          <t>A guardian can do every agreement and money action for their minor from their own portal; the coming-of-age reminder persists until done; an account can be closed and reactivated within 30 days</t>
        </is>
      </c>
      <c r="Q98" s="86" t="inlineStr">
        <is>
          <t>Spec §4, §26, §37; BTG admin review 2026-10-01</t>
        </is>
      </c>
      <c r="R98" s="111" t="inlineStr">
        <is>
          <t>Raised 2026-10-01 from the BTG admin review (one BTG reviewer, so automate and check afterwards). Decisions: age of majority by state/country; minors use a school ID; guardian acts for minors; 30-day file retention; 90-day coming-of-age allowance. | Screens built 2026-10-01: /athlete/settings and /property/settings (sign-in and payout account live), close, reactivate and coming-of-age on sample data until 2S1-BE-13 and 2S1-BE-12. The reactivate page needs a public route with 2S1-BE-13. Guardian controls not yet built. | Wired 2026-10-01: guardian ward switcher and controls, the coming-of-age reminder on /athlete and Settings, close account and the public /reactivate page.</t>
        </is>
      </c>
    </row>
    <row r="99">
      <c r="A99" s="112" t="n">
        <v>12.9</v>
      </c>
      <c r="B99" s="113" t="inlineStr">
        <is>
          <t>2S1-BE-14</t>
        </is>
      </c>
      <c r="C99" s="85" t="n">
        <v>1</v>
      </c>
      <c r="D99" s="86" t="inlineStr">
        <is>
          <t>Sprint 1 · External property onboarding</t>
        </is>
      </c>
      <c r="E99" s="121" t="inlineStr">
        <is>
          <t>BE</t>
        </is>
      </c>
      <c r="F99" s="122" t="inlineStr">
        <is>
          <t>Code</t>
        </is>
      </c>
      <c r="G99" s="84" t="inlineStr">
        <is>
          <t>Profile edits publish straight away; sensitive edits re-run the checks</t>
        </is>
      </c>
      <c r="H99" s="116" t="inlineStr">
        <is>
          <t>Replaces P3-BE-16's BTG review. Ordinary edits publish at once. Sensitive edits also publish but re-run sign-up checks: legal name needs a matching ID; date of birth recomputes adulthood (starting the guardian or coming-of-age process); a new guardian goes through the guardian's page. BTG emailed only for sensitive edits, with a New sign-ups link and Reject. All edits audited.</t>
        </is>
      </c>
      <c r="I99" s="108" t="inlineStr">
        <is>
          <t>Done</t>
        </is>
      </c>
      <c r="J99" s="108" t="n">
        <v>3</v>
      </c>
      <c r="K99" s="109" t="n">
        <v>46296</v>
      </c>
      <c r="L99" s="109" t="n">
        <v>46296</v>
      </c>
      <c r="M99" s="110" t="inlineStr">
        <is>
          <t>rcfworks</t>
        </is>
      </c>
      <c r="N99" s="85" t="inlineStr">
        <is>
          <t>2S1-FE-09</t>
        </is>
      </c>
      <c r="O99" s="84" t="inlineStr">
        <is>
          <t>P3-BE-16, 2S1-BE-09, 2S1-BE-10, 2S1-BE-12</t>
        </is>
      </c>
      <c r="P99" s="84" t="inlineStr">
        <is>
          <t>An approved athlete's ordinary edits publish with no BTG step; a legal-name change needs a matching ID upload, a date-of-birth change recomputes adulthood and starts the guardian or coming-of-age process when it changes, and a new guardian goes through the guardian's page; BTG admins are emailed only for sensitive edits, with a link and Reject; every edit is audited</t>
        </is>
      </c>
      <c r="Q99" s="86" t="inlineStr">
        <is>
          <t>Spec §4, §26, §37; BTG admin review 2026-10-01</t>
        </is>
      </c>
      <c r="R99" s="111" t="inlineStr">
        <is>
          <t>Raised 2026-10-01 from the BTG admin review: BTG no longer approves profile edits; it is told only about sensitive ones. | Built and reviewed 2026-10-01; edits publish at once, sensitive edits re-run checks and email BTG; a newly named guardian acts only once verified for that child.</t>
        </is>
      </c>
    </row>
    <row r="100">
      <c r="A100" s="112" t="n">
        <v>14.9</v>
      </c>
      <c r="B100" s="113" t="inlineStr">
        <is>
          <t>2S1-FE-09</t>
        </is>
      </c>
      <c r="C100" s="85" t="n">
        <v>1</v>
      </c>
      <c r="D100" s="86" t="inlineStr">
        <is>
          <t>Sprint 1 · External property onboarding</t>
        </is>
      </c>
      <c r="E100" s="121" t="inlineStr">
        <is>
          <t>FE</t>
        </is>
      </c>
      <c r="F100" s="122" t="inlineStr">
        <is>
          <t>Code</t>
        </is>
      </c>
      <c r="G100" s="84" t="inlineStr">
        <is>
          <t>Profile editing without BTG review, on screen</t>
        </is>
      </c>
      <c r="H100" s="116" t="inlineStr">
        <is>
          <t>Editor saves ordinary edits at once; sensitive fields say what is needed and collect it (ID upload for legal name). BTG's Profile changes page retired; sensitive edits appear on New sign-ups.</t>
        </is>
      </c>
      <c r="I100" s="108" t="inlineStr">
        <is>
          <t>Done</t>
        </is>
      </c>
      <c r="J100" s="108" t="n">
        <v>2</v>
      </c>
      <c r="K100" s="109" t="n">
        <v>46296</v>
      </c>
      <c r="L100" s="109" t="n">
        <v>46296</v>
      </c>
      <c r="M100" s="110" t="inlineStr">
        <is>
          <t>rcfworks</t>
        </is>
      </c>
      <c r="N100" s="85" t="n"/>
      <c r="O100" s="84" t="inlineStr">
        <is>
          <t>2S1-BE-14, 2S1-FE-07</t>
        </is>
      </c>
      <c r="P100" s="84" t="inlineStr">
        <is>
          <t>An athlete's ordinary edits save at once; a sensitive edit shows and collects what it needs; BTG sees sensitive edits on the New sign-ups page, and the old Profile changes review page is gone</t>
        </is>
      </c>
      <c r="Q100" s="86" t="inlineStr">
        <is>
          <t>Spec §4, §26, §37; BTG admin review 2026-10-01</t>
        </is>
      </c>
      <c r="R100" s="111" t="inlineStr">
        <is>
          <t>Raised 2026-10-01 from the BTG admin review: BTG no longer approves profile edits; it is told only about sensitive ones. | Wired 2026-10-01: ordinary edits save at once; legal name collects an ID; Profile changes desk retired into New sign-ups sensitive edits. Reviewed.</t>
        </is>
      </c>
    </row>
    <row r="101">
      <c r="A101" s="112" t="n">
        <v>12.95</v>
      </c>
      <c r="B101" s="113" t="inlineStr">
        <is>
          <t>2S1-BE-15</t>
        </is>
      </c>
      <c r="C101" s="85" t="n">
        <v>1</v>
      </c>
      <c r="D101" s="86" t="inlineStr">
        <is>
          <t>Sprint 1 · External property onboarding</t>
        </is>
      </c>
      <c r="E101" s="121" t="inlineStr">
        <is>
          <t>BE</t>
        </is>
      </c>
      <c r="F101" s="122" t="inlineStr">
        <is>
          <t>Code</t>
        </is>
      </c>
      <c r="G101" s="84" t="inlineStr">
        <is>
          <t>Changing a minor's guardian (handoff)</t>
        </is>
      </c>
      <c r="H101" s="116" t="inlineStr">
        <is>
          <t>New guardian requests (identifies the athlete, completes ID, proof and agreement) → current guardian hands off or declines (can't start one alone; the minor can't either) → automatic approval and an atomic switch; the current guardian keeps control until then. Agreed work and earned money stay put; the new guardian sets up their own payout account; other children unaffected. Disputes go to BTG support, never automated.</t>
        </is>
      </c>
      <c r="I101" s="108" t="inlineStr">
        <is>
          <t>Done</t>
        </is>
      </c>
      <c r="J101" s="108" t="n">
        <v>3</v>
      </c>
      <c r="K101" s="109" t="n">
        <v>46296</v>
      </c>
      <c r="L101" s="109" t="n">
        <v>46296</v>
      </c>
      <c r="M101" s="110" t="inlineStr">
        <is>
          <t>rcfworks</t>
        </is>
      </c>
      <c r="N101" s="85" t="inlineStr">
        <is>
          <t>2S1-FE-10</t>
        </is>
      </c>
      <c r="O101" s="84" t="inlineStr">
        <is>
          <t>2S1-BE-10, 2S1-BE-11</t>
        </is>
      </c>
      <c r="P101" s="84" t="inlineStr">
        <is>
          <t>A handoff can happen only after the new guardian's request and the current guardian's Hand off; the current guardian keeps control until the switch, which is atomic; agreed work and earned money stay where they were; a guardian's other children are unaffected; a declined or disputed request goes to BTG support and is never automated; every step is audited</t>
        </is>
      </c>
      <c r="Q101" s="86" t="inlineStr">
        <is>
          <t>Spec §4, §26, §37; BTG admin review 2026-10-01</t>
        </is>
      </c>
      <c r="R101" s="111" t="inlineStr">
        <is>
          <t>Raised 2026-10-01 from the BTG admin review: a handoff needs the new guardian's request and the current guardian's Hand off; disputes are never automated and go to BTG support. | Built and reviewed 2026-10-01: handoff starts only with the new guardian; current guardian hands off; no second path (POST /athletes/:id/guardian refuses); staff-confirmation setting honoured.</t>
        </is>
      </c>
    </row>
    <row r="102">
      <c r="A102" s="112" t="n">
        <v>12.97</v>
      </c>
      <c r="B102" s="113" t="inlineStr">
        <is>
          <t>2S1-BE-16</t>
        </is>
      </c>
      <c r="C102" s="85" t="n">
        <v>1</v>
      </c>
      <c r="D102" s="86" t="inlineStr">
        <is>
          <t>Sprint 1 · External property onboarding</t>
        </is>
      </c>
      <c r="E102" s="121" t="inlineStr">
        <is>
          <t>BE</t>
        </is>
      </c>
      <c r="F102" s="122" t="inlineStr">
        <is>
          <t>Code</t>
        </is>
      </c>
      <c r="G102" s="84" t="inlineStr">
        <is>
          <t>Contacting BTG support</t>
        </is>
      </c>
      <c r="H102" s="116" t="inlineStr">
        <is>
          <t>Public, rate-limited contact form (topic, message, private attachments), queued through the worker to the support mailbox; the support address shown on the guardian request page, decline and rejection emails, and account pages.</t>
        </is>
      </c>
      <c r="I102" s="108" t="inlineStr">
        <is>
          <t>Done</t>
        </is>
      </c>
      <c r="J102" s="108" t="n">
        <v>2</v>
      </c>
      <c r="K102" s="109" t="n">
        <v>46296</v>
      </c>
      <c r="L102" s="109" t="n">
        <v>46302</v>
      </c>
      <c r="M102" s="110" t="inlineStr">
        <is>
          <t>rcfworks</t>
        </is>
      </c>
      <c r="N102" s="85" t="inlineStr">
        <is>
          <t>2S1-FE-10</t>
        </is>
      </c>
      <c r="O102" s="84" t="inlineStr">
        <is>
          <t>2S1-OPS-01</t>
        </is>
      </c>
      <c r="P102" s="84" t="inlineStr">
        <is>
          <t>Anyone can send BTG a message with an attachment from the contact page; it reaches the support mailbox through the queue even when the mail service is briefly down; the support address appears on the guardian request page and in decline and rejection emails; the form is rate-limited and stores attachments privately</t>
        </is>
      </c>
      <c r="Q102" s="86" t="inlineStr">
        <is>
          <t>Spec §4, §26, §37; BTG admin review 2026-10-01</t>
        </is>
      </c>
      <c r="R102" s="111" t="inlineStr">
        <is>
          <t>Raised 2026-10-01 from the BTG admin review: a handoff needs the new guardian's request and the current guardian's Hand off; disputes are never automated and go to BTG support. | Built and reviewed 2026-10-01: contact form to SUPPORT_EMAIL, attachments private, copy to sender, support address on every rejection. Delivery waits on the owner: 2S1-OPS-01 mailbox (SUPPORT_MAILBOX_READY) and an email provider key. | 2026-10-07: delivery proven on staging — two contact-form messages (one with a PNG attachment, stored privately and sent as a secure link per 2S0-SEC-01 O1) sent to support@sponsorx.net and forwarded to the BTG inbox, plus copies to the sender; 4/4 emails sent, 0 failed. Queue retries and the support address on guardian/rejection emails covered by phase2-support tests.</t>
        </is>
      </c>
    </row>
    <row r="103">
      <c r="A103" s="112" t="n">
        <v>12.98</v>
      </c>
      <c r="B103" s="113" t="inlineStr">
        <is>
          <t>2S1-OPS-01</t>
        </is>
      </c>
      <c r="C103" s="85" t="n">
        <v>1</v>
      </c>
      <c r="D103" s="86" t="inlineStr">
        <is>
          <t>Sprint 1 · External property onboarding</t>
        </is>
      </c>
      <c r="E103" s="121" t="inlineStr">
        <is>
          <t>OPS</t>
        </is>
      </c>
      <c r="F103" s="122" t="inlineStr">
        <is>
          <t>Vendor console</t>
        </is>
      </c>
      <c r="G103" s="84" t="inlineStr">
        <is>
          <t>Set up the BTG support mailbox</t>
        </is>
      </c>
      <c r="H103" s="116" t="inlineStr">
        <is>
          <t>Create the support address (e.g. support@sponsorx.net) and where it lands. Recommended: Zoho Desk, so each email becomes a tracked ticket; alternatively a shared mailbox. Sandbox/staging first, then production.</t>
        </is>
      </c>
      <c r="I103" s="108" t="inlineStr">
        <is>
          <t>Done</t>
        </is>
      </c>
      <c r="J103" s="108" t="n">
        <v>1</v>
      </c>
      <c r="K103" s="109" t="n">
        <v>46302</v>
      </c>
      <c r="L103" s="109" t="n">
        <v>46302</v>
      </c>
      <c r="M103" s="110" t="inlineStr">
        <is>
          <t>rcfworks</t>
        </is>
      </c>
      <c r="N103" s="85" t="inlineStr">
        <is>
          <t>2S1-BE-16</t>
        </is>
      </c>
      <c r="O103" s="84" t="n"/>
      <c r="P103" s="84" t="inlineStr">
        <is>
          <t>Mail to the support address lands where BTG works on it, and a test message from the staging contact form arrives</t>
        </is>
      </c>
      <c r="Q103" s="86" t="inlineStr">
        <is>
          <t>Spec §4, §26, §37; BTG admin review 2026-10-01</t>
        </is>
      </c>
      <c r="R103" s="111" t="inlineStr">
        <is>
          <t>Raised 2026-10-01 from the BTG admin review: a handoff needs the new guardian's request and the current guardian's Hand off; disputes are never automated and go to BTG support. | 2026-10-07: Cloudflare Email Routing on sponsorx.net (MX route1-3.mx.cloudflare.net + SPF + DKIM); support@sponsorx.net forwards to infinex1@icarrefound.org (owner choice, temporary; move to Zoho Desk later). SUPPORT_MAILBOX_READY=true on staging and production. Test messages from the staging contact form sent and received (owner confirmed).</t>
        </is>
      </c>
    </row>
    <row r="104">
      <c r="A104" s="112" t="n">
        <v>14.95</v>
      </c>
      <c r="B104" s="113" t="inlineStr">
        <is>
          <t>2S1-FE-10</t>
        </is>
      </c>
      <c r="C104" s="85" t="n">
        <v>1</v>
      </c>
      <c r="D104" s="86" t="inlineStr">
        <is>
          <t>Sprint 1 · External property onboarding</t>
        </is>
      </c>
      <c r="E104" s="121" t="inlineStr">
        <is>
          <t>FE</t>
        </is>
      </c>
      <c r="F104" s="122" t="inlineStr">
        <is>
          <t>Code</t>
        </is>
      </c>
      <c r="G104" s="84" t="inlineStr">
        <is>
          <t>Guardian handoff and contact pages, on screen</t>
        </is>
      </c>
      <c r="H104" s="116" t="inlineStr">
        <is>
          <t>New guardian's request page; current guardian's request with Hand off / Decline; handoff status for all three; Contact BTG page and form with the support address, linked from the request page, emails and account pages.</t>
        </is>
      </c>
      <c r="I104" s="108" t="inlineStr">
        <is>
          <t>Done</t>
        </is>
      </c>
      <c r="J104" s="108" t="n">
        <v>3</v>
      </c>
      <c r="K104" s="109" t="n">
        <v>46296</v>
      </c>
      <c r="L104" s="109" t="n">
        <v>46296</v>
      </c>
      <c r="M104" s="110" t="inlineStr">
        <is>
          <t>rcfworks</t>
        </is>
      </c>
      <c r="N104" s="85" t="n"/>
      <c r="O104" s="84" t="inlineStr">
        <is>
          <t>2S1-BE-15, 2S1-BE-16, 2S0-ART-01</t>
        </is>
      </c>
      <c r="P104" s="84" t="inlineStr">
        <is>
          <t>A new guardian can request a handoff, the current guardian can hand off or decline from their portal, both can follow its status, and anyone can reach BTG support from the contact page</t>
        </is>
      </c>
      <c r="Q104" s="86" t="inlineStr">
        <is>
          <t>Spec §4, §26, §37; BTG admin review 2026-10-01</t>
        </is>
      </c>
      <c r="R104" s="111" t="inlineStr">
        <is>
          <t>Raised 2026-10-01 from the BTG admin review: a handoff needs the new guardian's request and the current guardian's Hand off; disputes are never automated and go to BTG support. | Screens built 2026-10-01 on sample data: /guardian/handoff, /athlete/guardian-requests (GUARDIAN only), /contact. Wiring waits on 2S1-BE-15 and 2S1-BE-16; the support address waits on 2S1-OPS-01. | Wired 2026-10-01: /guardian/handoff, /athlete/guardian-requests, /contact. Reviewed.</t>
        </is>
      </c>
    </row>
    <row r="105">
      <c r="A105" s="112" t="n">
        <v>12.99</v>
      </c>
      <c r="B105" s="113" t="inlineStr">
        <is>
          <t>2S1-BE-17</t>
        </is>
      </c>
      <c r="C105" s="85" t="n">
        <v>1</v>
      </c>
      <c r="D105" s="86" t="inlineStr">
        <is>
          <t>Sprint 1 · External property onboarding</t>
        </is>
      </c>
      <c r="E105" s="121" t="inlineStr">
        <is>
          <t>BE</t>
        </is>
      </c>
      <c r="F105" s="122" t="inlineStr">
        <is>
          <t>Code</t>
        </is>
      </c>
      <c r="G105" s="84" t="inlineStr">
        <is>
          <t>Sponsors are approved automatically</t>
        </is>
      </c>
      <c r="H105" s="116" t="inlineStr">
        <is>
          <t>Form: business type from a fixed list or Other + description; proof of business required everywhere (registration, permit or license in the business's name); contact email confirmed. Auto-approved when email confirmed with no login, proof uploaded, name unique, type unrestricted and Other text passes the word check. Restricted types (alcohol, tobacco/vape, gambling, cannabis, firearms, adult, political, crypto), flagged Other text and name matches go to BTG with the reason. BTG and sales emailed per sponsor; Reject.</t>
        </is>
      </c>
      <c r="I105" s="108" t="inlineStr">
        <is>
          <t>Done</t>
        </is>
      </c>
      <c r="J105" s="108" t="n">
        <v>4</v>
      </c>
      <c r="K105" s="109" t="n">
        <v>46296</v>
      </c>
      <c r="L105" s="109" t="n">
        <v>46296</v>
      </c>
      <c r="M105" s="110" t="inlineStr">
        <is>
          <t>rcfworks</t>
        </is>
      </c>
      <c r="N105" s="85" t="inlineStr">
        <is>
          <t>2S1-FE-11</t>
        </is>
      </c>
      <c r="O105" s="84" t="inlineStr">
        <is>
          <t>2S1-BE-05, 2S1-BE-06, 2S1-BE-18</t>
        </is>
      </c>
      <c r="P105" s="84" t="inlineStr">
        <is>
          <t>A sponsor with a confirmed email, a proof of business, a unique name and an unrestricted business type is approved and can sign in without BTG; a restricted type, a flagged Other description or a name match goes to BTG's review with the reason; every sponsor must upload proof of business, with the same rule everywhere; BTG and sales are emailed for each new sponsor; Reject switches the login off and emails the reason</t>
        </is>
      </c>
      <c r="Q105" s="86" t="inlineStr">
        <is>
          <t>Spec §3, §12, §26; BTG admin review 2026-10-01</t>
        </is>
      </c>
      <c r="R105" s="111" t="inlineStr">
        <is>
          <t>Raised 2026-10-01 from the BTG admin review: sponsors approved automatically; restricted types, flagged 'Other' text and name matches go to BTG; proof of business required everywhere.</t>
        </is>
      </c>
    </row>
    <row r="106">
      <c r="A106" s="112" t="n">
        <v>12.995</v>
      </c>
      <c r="B106" s="113" t="inlineStr">
        <is>
          <t>2S1-BE-18</t>
        </is>
      </c>
      <c r="C106" s="85" t="n">
        <v>1</v>
      </c>
      <c r="D106" s="86" t="inlineStr">
        <is>
          <t>Sprint 1 · External property onboarding</t>
        </is>
      </c>
      <c r="E106" s="121" t="inlineStr">
        <is>
          <t>BE</t>
        </is>
      </c>
      <c r="F106" s="122" t="inlineStr">
        <is>
          <t>Code</t>
        </is>
      </c>
      <c r="G106" s="84" t="inlineStr">
        <is>
          <t>The restricted-words check</t>
        </is>
      </c>
      <c r="H106" s="116" t="inlineStr">
        <is>
          <t>Server-side, BTG-editable list of restricted words and phrases by kind (sexual/adult, drugs, weapons, gambling, violence/hate, other illegal), seeded with a starter list. Check ignores case and accents, sees through spacing and letter swaps, matches whole words (Essex doesn't trip 'sex'). A match marks the text restricted and routes it to BTG, never rejects. Used first on sponsors' Other description; reusable for listings and bios. List changes audited.</t>
        </is>
      </c>
      <c r="I106" s="108" t="inlineStr">
        <is>
          <t>Done</t>
        </is>
      </c>
      <c r="J106" s="108" t="n">
        <v>3</v>
      </c>
      <c r="K106" s="109" t="n">
        <v>46296</v>
      </c>
      <c r="L106" s="109" t="n">
        <v>46296</v>
      </c>
      <c r="M106" s="110" t="inlineStr">
        <is>
          <t>rcfworks</t>
        </is>
      </c>
      <c r="N106" s="85" t="inlineStr">
        <is>
          <t>2S1-BE-17, 2S1-FE-11</t>
        </is>
      </c>
      <c r="O106" s="84" t="n"/>
      <c r="P106" s="84" t="inlineStr">
        <is>
          <t>Free text containing a listed word, including disguised spellings, is marked restricted with what matched; innocent words that merely contain a listed word are not; BTG admins can edit the list and every change is audited; a match routes the item to BTG's review and never rejects it automatically</t>
        </is>
      </c>
      <c r="Q106" s="86" t="inlineStr">
        <is>
          <t>Spec §3, §12, §26; BTG admin review 2026-10-01</t>
        </is>
      </c>
      <c r="R106" s="111" t="inlineStr">
        <is>
          <t>Raised 2026-10-01 from the BTG admin review: sponsors approved automatically; restricted types, flagged 'Other' text and name matches go to BTG; proof of business required everywhere.</t>
        </is>
      </c>
    </row>
    <row r="107" s="75">
      <c r="A107" s="112" t="n">
        <v>14.97</v>
      </c>
      <c r="B107" s="113" t="inlineStr">
        <is>
          <t>2S1-FE-11</t>
        </is>
      </c>
      <c r="C107" s="85" t="n">
        <v>1</v>
      </c>
      <c r="D107" s="86" t="inlineStr">
        <is>
          <t>Sprint 1 · External property onboarding</t>
        </is>
      </c>
      <c r="E107" s="121" t="inlineStr">
        <is>
          <t>FE</t>
        </is>
      </c>
      <c r="F107" s="122" t="inlineStr">
        <is>
          <t>Code</t>
        </is>
      </c>
      <c r="G107" s="84" t="inlineStr">
        <is>
          <t>The sponsor request form, and the word list for BTG</t>
        </is>
      </c>
      <c r="H107" s="116" t="inlineStr">
        <is>
          <t>Public form: business-type picker with Other, proof-of-business upload, email confirmation; tells the applicant approved or under review. New sign-ups shows each sponsor's review reason. Admin page to edit the restricted words.</t>
        </is>
      </c>
      <c r="I107" s="108" t="inlineStr">
        <is>
          <t>Done</t>
        </is>
      </c>
      <c r="J107" s="108" t="n">
        <v>3</v>
      </c>
      <c r="K107" s="109" t="n">
        <v>46296</v>
      </c>
      <c r="L107" s="109" t="n">
        <v>46296</v>
      </c>
      <c r="M107" s="110" t="inlineStr">
        <is>
          <t>rcfworks</t>
        </is>
      </c>
      <c r="N107" s="85" t="n"/>
      <c r="O107" s="84" t="inlineStr">
        <is>
          <t>2S1-BE-17, 2S1-BE-18, 2S1-FE-07, 2S0-ART-01</t>
        </is>
      </c>
      <c r="P107" s="84" t="inlineStr">
        <is>
          <t>A sponsor can complete the form with a business type or Other and their proof of business, and is told whether they're approved or under review; BTG sees the reason for each review; BTG admins can edit the restricted-words list</t>
        </is>
      </c>
      <c r="Q107" s="86" t="inlineStr">
        <is>
          <t>Spec §3, §12, §26; BTG admin review 2026-10-01</t>
        </is>
      </c>
      <c r="R107" s="111" t="inlineStr">
        <is>
          <t>Raised 2026-10-01 from the BTG admin review: sponsors approved automatically; restricted types, flagged 'Other' text and name matches go to BTG; proof of business required everywhere. | Built 2026-10-01: the sponsor form sends the business type (or Other) and uploads the proof of business; /sponsor-request/confirm and /sponsor-request/&lt;token&gt; pages; BTG's word-list page at /admin/restricted-words. All wired. | Reviewed 2026-10-01: sponsor form with business type/Other, proof upload, confirm and status pages; BTG restricted-words page; review reasons on New sign-ups.</t>
        </is>
      </c>
    </row>
    <row r="108" s="75">
      <c r="A108" s="112" t="n">
        <v>14.98</v>
      </c>
      <c r="B108" s="113" t="inlineStr">
        <is>
          <t>2S1-FE-12</t>
        </is>
      </c>
      <c r="C108" s="85" t="n">
        <v>1</v>
      </c>
      <c r="D108" s="86" t="inlineStr">
        <is>
          <t>Sprint 1 · External property onboarding</t>
        </is>
      </c>
      <c r="E108" s="121" t="inlineStr">
        <is>
          <t>FE</t>
        </is>
      </c>
      <c r="F108" s="122" t="inlineStr">
        <is>
          <t>Code</t>
        </is>
      </c>
      <c r="G108" s="84" t="inlineStr">
        <is>
          <t>BTG's Closed accounts desk</t>
        </is>
      </c>
      <c r="H108" s="116" t="inlineStr">
        <is>
          <t>The desk for accounts that are closed: tabs Asking to come back, Closed by BTG, Closed by the owner, Ended at coming of age, Files deleted, each with a count. A rejected account's request shows BTG's reason and the person's note; BTG declines with a reason that is emailed, or opens the account's own page to reinstate. Owner-closed, coming-of-age and deleted accounts are read-only.</t>
        </is>
      </c>
      <c r="I108" s="108" t="inlineStr">
        <is>
          <t>Done</t>
        </is>
      </c>
      <c r="J108" s="108" t="n">
        <v>2</v>
      </c>
      <c r="K108" s="109" t="n">
        <v>46296</v>
      </c>
      <c r="L108" s="109" t="n">
        <v>46296</v>
      </c>
      <c r="M108" s="110" t="inlineStr">
        <is>
          <t>rcfworks</t>
        </is>
      </c>
      <c r="N108" s="85" t="n"/>
      <c r="O108" s="84" t="inlineStr">
        <is>
          <t>2S1-BE-13</t>
        </is>
      </c>
      <c r="P108" s="84" t="inlineStr">
        <is>
          <t>BTG sees closed accounts by tab with counts and answers a rejected account's request to come back — decline with a reason that is emailed, or a link to reinstate on the account's own page; owner-closed, ended and deleted accounts are read-only; BTG admins only</t>
        </is>
      </c>
      <c r="Q108" s="86" t="inlineStr">
        <is>
          <t>Claude Design ClosedAccounts.dc.html (2026-10-01)</t>
        </is>
      </c>
      <c r="R108" s="111" t="inlineStr">
        <is>
          <t>Raised 2026-10-01: the 2S1-BE-13 API had no BTG screen. Built 2026-10-01 at /admin/closed-accounts. | Built 2026-10-01 at /admin/closed-accounts; sponsor-request pages gained Rejected, Reject and Reinstate so the reinstate link works; coming-of-age closures read-only. Independently reviewed.</t>
        </is>
      </c>
    </row>
    <row r="109" s="75">
      <c r="A109" s="112" t="n">
        <v>14.99</v>
      </c>
      <c r="B109" s="113" t="inlineStr">
        <is>
          <t>2S1-FE-13</t>
        </is>
      </c>
      <c r="C109" s="85" t="n">
        <v>1</v>
      </c>
      <c r="D109" s="86" t="inlineStr">
        <is>
          <t>Sprint 1 · External property onboarding</t>
        </is>
      </c>
      <c r="E109" s="121" t="inlineStr">
        <is>
          <t>FE</t>
        </is>
      </c>
      <c r="F109" s="122" t="inlineStr">
        <is>
          <t>Code</t>
        </is>
      </c>
      <c r="G109" s="84" t="inlineStr">
        <is>
          <t>BTG's Guardian handoffs desk</t>
        </is>
      </c>
      <c r="H109" s="116" t="inlineStr">
        <is>
          <t>Guardian handoffs by step: Waiting for BTG, In progress, Switched, Declined, Cancelled. When 'BTG staff confirm minors' is on, a handed-off request waits for BTG: the new guardian's details, their ID and proof (5-minute audited links), what the switch changes, and Confirm or Decline with a reason. With the setting off the desk is a record.</t>
        </is>
      </c>
      <c r="I109" s="108" t="inlineStr">
        <is>
          <t>Done</t>
        </is>
      </c>
      <c r="J109" s="108" t="n">
        <v>2</v>
      </c>
      <c r="K109" s="109" t="n">
        <v>46296</v>
      </c>
      <c r="L109" s="109" t="n">
        <v>46296</v>
      </c>
      <c r="M109" s="110" t="inlineStr">
        <is>
          <t>rcfworks</t>
        </is>
      </c>
      <c r="N109" s="85" t="n"/>
      <c r="O109" s="84" t="inlineStr">
        <is>
          <t>2S1-BE-15</t>
        </is>
      </c>
      <c r="P109" s="84" t="inlineStr">
        <is>
          <t>With staff confirmation on, BTG can open a handed-off request, view the new guardian's documents through 5-minute audited links, and confirm the switch or decline with a reason the requester reads; with it off the desk is read-only; BTG admins only</t>
        </is>
      </c>
      <c r="Q109" s="86" t="inlineStr">
        <is>
          <t>Claude Design GuardianHandoffs.dc.html (2026-10-01)</t>
        </is>
      </c>
      <c r="R109" s="111" t="inlineStr">
        <is>
          <t>Raised 2026-10-01: the staff-decision API had no BTG screen. Built 2026-10-01 at /admin/guardian-handoffs. | Built 2026-10-01 at /admin/guardian-handoffs; documents via 5-minute audited links; BTG decline reason emailed to the requester (handoff.declinedByBtg) and shown on their page. Independently reviewed.</t>
        </is>
      </c>
    </row>
    <row r="110">
      <c r="A110" s="112" t="n">
        <v>27.6</v>
      </c>
      <c r="B110" s="113" t="inlineStr">
        <is>
          <t>2S3-BE-06</t>
        </is>
      </c>
      <c r="C110" s="85" t="n">
        <v>3</v>
      </c>
      <c r="D110" s="86" t="inlineStr">
        <is>
          <t>Sprint 3 · Listing engine</t>
        </is>
      </c>
      <c r="E110" s="121" t="inlineStr">
        <is>
          <t>BE</t>
        </is>
      </c>
      <c r="F110" s="122" t="inlineStr">
        <is>
          <t>Code</t>
        </is>
      </c>
      <c r="G110" s="84" t="inlineStr">
        <is>
          <t>Listings publish automatically; BTG handles the exceptions</t>
        </is>
      </c>
      <c r="H110" s="116" t="inlineStr">
        <is>
          <t>A listing that passes the checks BTG's approval runs goes live on submit, the first one included. It waits for BTG only when flagged: restricted words in its title or description, or a seller not in good standing (closed, rejected, missing a document, in the coming-of-age pause, or a minor without a verified guardian). The reasons are stored and shown. BTG can pause or end any published listing with a reason that is emailed to the seller, and gets one daily summary of listings published automatically. No price check (left out on purpose).</t>
        </is>
      </c>
      <c r="I110" s="108" t="inlineStr">
        <is>
          <t>Done</t>
        </is>
      </c>
      <c r="J110" s="108" t="n">
        <v>3</v>
      </c>
      <c r="K110" s="109" t="n">
        <v>46297</v>
      </c>
      <c r="L110" s="109" t="n">
        <v>46297</v>
      </c>
      <c r="M110" s="110" t="inlineStr">
        <is>
          <t>rcfworks</t>
        </is>
      </c>
      <c r="N110" s="85" t="n"/>
      <c r="O110" s="84" t="inlineStr">
        <is>
          <t>2S3-BE-01, 2S3-BE-05, 2S1-BE-18</t>
        </is>
      </c>
      <c r="P110" s="84" t="inlineStr">
        <is>
          <t>A listing that passes the checks is published on submit without BTG; a closed, rejected or unapproved seller is refused; a listing with restricted words or from a seller BTG should look at waits for BTG with the reason; resuming a paused listing and reactivating an account take the same checks; BTG can approve a held listing and pause or end any listing with a reason emailed to the seller; BTG admins get one daily summary of automatic publishes; tenant and role tests cover it</t>
        </is>
      </c>
      <c r="Q110" s="86" t="inlineStr">
        <is>
          <t>BTG admin review item 8 (2026-10-02)</t>
        </is>
      </c>
      <c r="R110" s="111" t="inlineStr">
        <is>
          <t>Raised 2026-10-02: the owner chose full automation for listings (item 8 of the BTG admin interventions). | Built and independently reviewed 2026-10-02: listings publish on submit when the checks pass; held for BTG on restricted words or a seller BTG should look at; resume, BTG put-back-live and account reactivation all re-run the checks; BTG pause/end any live listing with an emailed reason; one daily summary per BTG tenant.</t>
        </is>
      </c>
    </row>
    <row r="111">
      <c r="A111" s="112" t="n">
        <v>28.8</v>
      </c>
      <c r="B111" s="113" t="inlineStr">
        <is>
          <t>2S3-FE-04</t>
        </is>
      </c>
      <c r="C111" s="85" t="n">
        <v>3</v>
      </c>
      <c r="D111" s="86" t="inlineStr">
        <is>
          <t>Sprint 3 · Listing engine</t>
        </is>
      </c>
      <c r="E111" s="121" t="inlineStr">
        <is>
          <t>FE</t>
        </is>
      </c>
      <c r="F111" s="122" t="inlineStr">
        <is>
          <t>Code</t>
        </is>
      </c>
      <c r="G111" s="84" t="inlineStr">
        <is>
          <t>Automatic listing publishing, on screen</t>
        </is>
      </c>
      <c r="H111" s="116" t="inlineStr">
        <is>
          <t>The seller's listing editors (team and independent athlete) say the listing goes live as soon as the checks pass, and after submitting show Live, or that BTG is taking a look (with the restricted words if those were the reason). BTG's marketplace console shows each held listing's reasons and a Published automatically tab with Pause and End (reason required).</t>
        </is>
      </c>
      <c r="I111" s="108" t="inlineStr">
        <is>
          <t>Done</t>
        </is>
      </c>
      <c r="J111" s="108" t="n">
        <v>2</v>
      </c>
      <c r="K111" s="109" t="n">
        <v>46297</v>
      </c>
      <c r="L111" s="109" t="n">
        <v>46297</v>
      </c>
      <c r="M111" s="110" t="inlineStr">
        <is>
          <t>rcfworks</t>
        </is>
      </c>
      <c r="N111" s="85" t="n"/>
      <c r="O111" s="84" t="inlineStr">
        <is>
          <t>2S3-BE-06</t>
        </is>
      </c>
      <c r="P111" s="84" t="inlineStr">
        <is>
          <t>The seller sees whether a submitted listing went live or is held, and why when it can fix it; BTG sees held listings with their reasons and listings published automatically, and can pause or end one with a reason</t>
        </is>
      </c>
      <c r="Q111" s="86" t="inlineStr">
        <is>
          <t>BTG admin review item 8 (2026-10-02)</t>
        </is>
      </c>
      <c r="R111" s="111" t="inlineStr">
        <is>
          <t>Raised 2026-10-02 with 2S3-BE-06. | Built and reviewed 2026-10-02: seller editors show Live or held (with the words to fix); marketplace console tabs Held for BTG, Published automatically, Live listings with Pause/End.</t>
        </is>
      </c>
    </row>
    <row r="112">
      <c r="A112" s="112" t="n">
        <v>36.5</v>
      </c>
      <c r="B112" s="113" t="inlineStr">
        <is>
          <t>2S4-BE-09</t>
        </is>
      </c>
      <c r="C112" s="85" t="n">
        <v>4</v>
      </c>
      <c r="D112" s="86" t="inlineStr">
        <is>
          <t>Sprint 4 · Cart, reservations &amp; orders</t>
        </is>
      </c>
      <c r="E112" s="121" t="inlineStr">
        <is>
          <t>BE</t>
        </is>
      </c>
      <c r="F112" s="122" t="inlineStr">
        <is>
          <t>Code</t>
        </is>
      </c>
      <c r="G112" s="84" t="inlineStr">
        <is>
          <t>Order approval by spending limit; seller approves listings that ask</t>
        </is>
      </c>
      <c r="H112" s="116" t="inlineStr">
        <is>
          <t>Replaces BTG's approval of orders of $1,000 or more and of every sponsor's first order. Each sponsor has a spending limit: it starts at $5,000 and rises to twice the sponsor's largest completed order, up to $25,000; a refund or an upheld problem stops it rising. Orders within the limit are approved automatically, the first one included; orders above it wait for BTG with the reason. A listing that asks for approval goes to its seller, who accepts or declines within 48 hours (silence declines). BTG gets one daily summary of orders approved automatically.</t>
        </is>
      </c>
      <c r="I112" s="108" t="inlineStr">
        <is>
          <t>Done</t>
        </is>
      </c>
      <c r="J112" s="108" t="n">
        <v>3</v>
      </c>
      <c r="K112" s="109" t="n">
        <v>46297</v>
      </c>
      <c r="L112" s="109" t="n">
        <v>46297</v>
      </c>
      <c r="M112" s="110" t="inlineStr">
        <is>
          <t>rcfworks</t>
        </is>
      </c>
      <c r="N112" s="85" t="n"/>
      <c r="O112" s="84" t="inlineStr">
        <is>
          <t>2S4-BE-03</t>
        </is>
      </c>
      <c r="P112" s="84" t="inlineStr">
        <is>
          <t>Orders within the sponsor's spending limit are approved automatically and only those above it wait for BTG with the reason; the limit grows with completed orders as set and stops after a refund or upheld problem; a listing that asks for approval is decided by its seller within 48 hours, silence declining; BTG gets one daily summary; tenant and role tests cover it</t>
        </is>
      </c>
      <c r="Q112" s="86" t="inlineStr">
        <is>
          <t>BTG admin review items 9-11 (2026-10-02)</t>
        </is>
      </c>
      <c r="R112" s="111" t="inlineStr">
        <is>
          <t>Raised 2026-10-02 from the BTG admin review (items 9-11): the owner chose full automation. | Built and independently reviewed 2026-10-02: per-sponsor spending limit ($5,000 start, 2x largest completed order, $25,000 cap, frozen by a refund or upheld problem); within it auto-approved; above it held for BTG; listings that ask go to the seller (48h, silence declines); daily summary. Race fixes c678ed5.</t>
        </is>
      </c>
    </row>
    <row r="113">
      <c r="A113" s="112" t="n">
        <v>36.6</v>
      </c>
      <c r="B113" s="113" t="inlineStr">
        <is>
          <t>2S4-BE-10</t>
        </is>
      </c>
      <c r="C113" s="85" t="n">
        <v>4</v>
      </c>
      <c r="D113" s="86" t="inlineStr">
        <is>
          <t>Sprint 4 · Cart, reservations &amp; orders</t>
        </is>
      </c>
      <c r="E113" s="121" t="inlineStr">
        <is>
          <t>BE</t>
        </is>
      </c>
      <c r="F113" s="122" t="inlineStr">
        <is>
          <t>Code</t>
        </is>
      </c>
      <c r="G113" s="84" t="inlineStr">
        <is>
          <t>Payment status automated: awaiting payment, Zoho invoices, reminders, auto-cancel</t>
        </is>
      </c>
      <c r="H113" s="116" t="inlineStr">
        <is>
          <t>An approved order moves to awaiting payment by itself. Card payments are marked paid by the provider, as today. An order paid by Zoho Books invoice is marked paid when Zoho marks the invoice paid (inbound webhook, queued). Unpaid orders get reminders at 1 and 2 days and are cancelled at 3 days, releasing the stock. BTG's manual Mark paid stays as a fallback and needs a method and a payment reference.</t>
        </is>
      </c>
      <c r="I113" s="108" t="inlineStr">
        <is>
          <t>Done</t>
        </is>
      </c>
      <c r="J113" s="108" t="n">
        <v>3</v>
      </c>
      <c r="K113" s="109" t="n">
        <v>46297</v>
      </c>
      <c r="L113" s="109" t="n">
        <v>46297</v>
      </c>
      <c r="M113" s="110" t="inlineStr">
        <is>
          <t>rcfworks</t>
        </is>
      </c>
      <c r="N113" s="85" t="n"/>
      <c r="O113" s="84" t="inlineStr">
        <is>
          <t>2S4-BE-09, P7-BE-04</t>
        </is>
      </c>
      <c r="P113" s="84" t="inlineStr">
        <is>
          <t>An approved order is awaiting payment without a manual step; a Zoho invoice marked paid moves its order to paid; an unpaid order is reminded at 1 and 2 days and cancelled at 3, never while a payment is in progress; a manual mark-paid needs a method and reference and is BTG admin or Finance only</t>
        </is>
      </c>
      <c r="Q113" s="86" t="inlineStr">
        <is>
          <t>BTG admin review items 9-11 (2026-10-02)</t>
        </is>
      </c>
      <c r="R113" s="111" t="inlineStr">
        <is>
          <t>Raised 2026-10-02 from the BTG admin review (items 9-11): the owner chose full automation. | Built and reviewed 2026-10-02: auto awaiting-payment; Zoho Books invoice paid -&gt; order paid (queued; tested against a simulated Zoho — BTG Zoho Books not connected yet); reminders day 1 and 2, cancel at 3 days, never during a card payment; manual Mark paid needs method + reference (BTG admin, Finance). Race fixes c678ed5.</t>
        </is>
      </c>
    </row>
    <row r="114">
      <c r="A114" s="112" t="n">
        <v>36.7</v>
      </c>
      <c r="B114" s="113" t="inlineStr">
        <is>
          <t>2S4-BE-11</t>
        </is>
      </c>
      <c r="C114" s="85" t="n">
        <v>4</v>
      </c>
      <c r="D114" s="86" t="inlineStr">
        <is>
          <t>Sprint 4 · Cart, reservations &amp; orders</t>
        </is>
      </c>
      <c r="E114" s="121" t="inlineStr">
        <is>
          <t>BE</t>
        </is>
      </c>
      <c r="F114" s="122" t="inlineStr">
        <is>
          <t>Code</t>
        </is>
      </c>
      <c r="G114" s="84" t="inlineStr">
        <is>
          <t>Delivery problems settled between seller and sponsor; BTG only on disagreement</t>
        </is>
      </c>
      <c r="H114" s="116" t="inlineStr">
        <is>
          <t>When a sponsor reports a problem, the seller has 72 hours to deliver again, refund the line, or disagree with a note. The sponsor has 72 hours to accept or reject that answer. An accepted answer settles automatically; BTG steps in only if the sponsor rejects or either side doesn't answer. Late sellers get a second reminder at 3 days and go to BTG at 7 days.</t>
        </is>
      </c>
      <c r="I114" s="108" t="inlineStr">
        <is>
          <t>Done</t>
        </is>
      </c>
      <c r="J114" s="108" t="n">
        <v>3</v>
      </c>
      <c r="K114" s="109" t="n">
        <v>46297</v>
      </c>
      <c r="L114" s="109" t="n">
        <v>46297</v>
      </c>
      <c r="M114" s="110" t="inlineStr">
        <is>
          <t>rcfworks</t>
        </is>
      </c>
      <c r="N114" s="85" t="n"/>
      <c r="O114" s="84" t="inlineStr">
        <is>
          <t>2S4-BE-07</t>
        </is>
      </c>
      <c r="P114" s="84" t="inlineStr">
        <is>
          <t>A reported problem is answered by the seller (deliver again, refund, or disagree) and accepted or rejected by the sponsor within 72 hours each; an accepted answer settles without BTG; BTG sees only rejected or unanswered cases with the reason; a late seller is reminded twice and escalated at 7 days</t>
        </is>
      </c>
      <c r="Q114" s="86" t="inlineStr">
        <is>
          <t>BTG admin review items 9-11 (2026-10-02)</t>
        </is>
      </c>
      <c r="R114" s="111" t="inlineStr">
        <is>
          <t>Raised 2026-10-02 from the BTG admin review (items 9-11): the owner chose full automation. | Built and reviewed 2026-10-02: seller answers a problem in 72h (deliver again, refund the line, disagree); sponsor accepts or rejects in 72h; settled without BTG unless rejected or unanswered; second overdue reminder at 3 days, BTG at 7. Agreed line refunds also stop the spending limit rising.</t>
        </is>
      </c>
    </row>
    <row r="115">
      <c r="A115" s="112" t="n">
        <v>38.5</v>
      </c>
      <c r="B115" s="113" t="inlineStr">
        <is>
          <t>2S4-FE-05</t>
        </is>
      </c>
      <c r="C115" s="85" t="n">
        <v>4</v>
      </c>
      <c r="D115" s="86" t="inlineStr">
        <is>
          <t>Sprint 4 · Cart, reservations &amp; orders</t>
        </is>
      </c>
      <c r="E115" s="121" t="inlineStr">
        <is>
          <t>FE</t>
        </is>
      </c>
      <c r="F115" s="122" t="inlineStr">
        <is>
          <t>Code</t>
        </is>
      </c>
      <c r="G115" s="84" t="inlineStr">
        <is>
          <t>Automatic order handling, on screen</t>
        </is>
      </c>
      <c r="H115" s="116" t="inlineStr">
        <is>
          <t>Screens from Claude Design (SellerOrderActions, SponsorOrderUpdates, OrderExceptions): the seller's accept/decline and problem answer; the sponsor's pay-by deadline, held and declined states and the answer to the seller's reply; BTG's revised Delivery issues, the sponsor spending-limit card and the Mark paid dialog with a reference.</t>
        </is>
      </c>
      <c r="I115" s="108" t="inlineStr">
        <is>
          <t>Done</t>
        </is>
      </c>
      <c r="J115" s="108" t="n">
        <v>3</v>
      </c>
      <c r="K115" s="109" t="n">
        <v>46297</v>
      </c>
      <c r="L115" s="109" t="n">
        <v>46297</v>
      </c>
      <c r="M115" s="110" t="inlineStr">
        <is>
          <t>rcfworks</t>
        </is>
      </c>
      <c r="N115" s="85" t="n"/>
      <c r="O115" s="84" t="inlineStr">
        <is>
          <t>2S4-BE-09, 2S4-BE-10, 2S4-BE-11</t>
        </is>
      </c>
      <c r="P115" s="84" t="inlineStr">
        <is>
          <t>Each party sees its next step and deadline: the seller can accept or decline an order and answer a problem, the sponsor can pay before the deadline and accept or reject the seller's answer, and BTG sees only the exceptions, a sponsor's limit, and can mark an order paid with a reference</t>
        </is>
      </c>
      <c r="Q115" s="86" t="inlineStr">
        <is>
          <t>BTG admin review items 9-11 (2026-10-02)</t>
        </is>
      </c>
      <c r="R115" s="111" t="inlineStr">
        <is>
          <t>Raised 2026-10-02 from the BTG admin review (items 9-11): the owner chose full automation. | Built from Claude Design (SellerOrderActions, SponsorOrderUpdates, OrderExceptions) and reviewed 2026-10-02: seller approvals and problem answers, sponsor status card with pay-by deadline and answer to the seller, BTG desk (needs BTG / settled / overdue), spending-limit card with held order, Mark paid dialog.</t>
        </is>
      </c>
    </row>
    <row r="116">
      <c r="A116" s="112" t="n">
        <v>60.5</v>
      </c>
      <c r="B116" s="113" t="inlineStr">
        <is>
          <t>2S8-QA-04</t>
        </is>
      </c>
      <c r="C116" s="85" t="n">
        <v>8</v>
      </c>
      <c r="D116" s="86" t="inlineStr">
        <is>
          <t>Sprint 8 · QA, security &amp; rollout</t>
        </is>
      </c>
      <c r="E116" s="121" t="inlineStr">
        <is>
          <t>QA</t>
        </is>
      </c>
      <c r="F116" s="122" t="inlineStr">
        <is>
          <t>Code</t>
        </is>
      </c>
      <c r="G116" s="84" t="inlineStr">
        <is>
          <t>Find the cross-suite test interference</t>
        </is>
      </c>
      <c r="H116" s="116" t="inlineStr">
        <is>
          <t>The backend suite runs its files in parallel on one database. A few suites fail now and then only when run with the others: next-public-apply (the advisor's login answers 403), notification-preferences, pilot-school (a duplicate athlete slug), phase2-guardian-acts (fixed 2026-10-01). Each passes alone. Find which suite or platform-wide sweep touches another suite's rows, and isolate it, so CI is reliably green.</t>
        </is>
      </c>
      <c r="I116" s="108" t="inlineStr">
        <is>
          <t>Done</t>
        </is>
      </c>
      <c r="J116" s="108" t="n">
        <v>1</v>
      </c>
      <c r="K116" s="109" t="n">
        <v>46297</v>
      </c>
      <c r="L116" s="109" t="n">
        <v>46297</v>
      </c>
      <c r="M116" s="110" t="inlineStr">
        <is>
          <t>rcfworks</t>
        </is>
      </c>
      <c r="N116" s="85" t="n"/>
      <c r="O116" s="84" t="n"/>
      <c r="P116" s="84" t="inlineStr">
        <is>
          <t>Five consecutive full backend runs pass with only known, tracked failures; the interfering suite or sweep is identified and isolated</t>
        </is>
      </c>
      <c r="Q116" s="86" t="inlineStr">
        <is>
          <t>Seen 2026-10-01 and 2026-10-02</t>
        </is>
      </c>
      <c r="R116" s="111" t="inlineStr">
        <is>
          <t>Raised 2026-10-02: intermittent failures that block a reliably green CI (and so the automatic deploy). | Reviewed 2026-10-02: causes found and isolated — a shared test tenant id (np_tenant), a slug shared with the walkthrough seed (riley-carter), a platform-wide coming-of-age sweep run with the clock 91 days ahead, and test servers bound to all addresses on macOS. Guard tests/suite-isolation.static.test.ts. Six consecutive clean runs; the only remaining failures are P9-QA-01 clauses 4-5, awaiting its owner for the new artwork gate (P9-BE-16).</t>
        </is>
      </c>
    </row>
    <row r="117">
      <c r="A117" s="112" t="n">
        <v>60.6</v>
      </c>
      <c r="B117" s="113" t="inlineStr">
        <is>
          <t>2S8-OPS-02</t>
        </is>
      </c>
      <c r="C117" s="85" t="n">
        <v>8</v>
      </c>
      <c r="D117" s="86" t="inlineStr">
        <is>
          <t>Sprint 8 · QA, security &amp; rollout</t>
        </is>
      </c>
      <c r="E117" s="121" t="inlineStr">
        <is>
          <t>OPS</t>
        </is>
      </c>
      <c r="F117" s="122" t="inlineStr">
        <is>
          <t>Code</t>
        </is>
      </c>
      <c r="G117" s="84" t="inlineStr">
        <is>
          <t>Pin the database time zone to UTC</t>
        </is>
      </c>
      <c r="H117" s="116" t="inlineStr">
        <is>
          <t>Timestamp columns hold UTC as timestamp-without-time-zone, but some SQL compares them with now() in the session's time zone: worker/jobs/expire-invitations.mts and the edition function in migration 20260925120000. They are correct only if the database session runs in UTC; on the local dev database (Asia/Manila) they are 8 hours off. Pin the time zone: ALTER DATABASE … SET timezone='UTC' on staging and production (and docker-compose, CI), and make the two SQL sites use now() AT TIME ZONE 'UTC' so they don't depend on it.</t>
        </is>
      </c>
      <c r="I117" s="108" t="inlineStr">
        <is>
          <t>Done</t>
        </is>
      </c>
      <c r="J117" s="108" t="n">
        <v>1</v>
      </c>
      <c r="K117" s="109" t="n">
        <v>46300</v>
      </c>
      <c r="L117" s="109" t="n">
        <v>46300</v>
      </c>
      <c r="M117" s="110" t="inlineStr">
        <is>
          <t>rcfworks</t>
        </is>
      </c>
      <c r="N117" s="85" t="n"/>
      <c r="O117" s="84" t="n"/>
      <c r="P117" s="84" t="inlineStr">
        <is>
          <t>Every environment's database runs in UTC, and no SQL depends on the session time zone; a test running under a non-UTC session passes</t>
        </is>
      </c>
      <c r="Q117" s="86" t="inlineStr">
        <is>
          <t>2S8-QA-04 investigation (2026-10-02)</t>
        </is>
      </c>
      <c r="R117" s="111" t="inlineStr">
        <is>
          <t>Raised 2026-10-02 by the 2S8-QA-04 investigation. | Started 2026-10-05. | Migration 20261005100000_utc_time_zone pins the database to UTC and redefines adslot_guard_sale; expire-invitations uses now() AT TIME ZONE UTC; Prisma + worker pools force TimeZone=UTC; docker-compose and CI pinned; utc-session.test passes under Manila and LA sessions. Done once the next deploy applies the migration on staging and production. | Merged to main_development 2026-10-05 (PR #153); Done once main is deployed to staging and production. | Staging deployed 2026-10-05 at 9865881: migration applied, database reports TimeZone=UTC (session and database setting). Production deploy pending; Done once it runs. | Production deployed 2026-10-05 at 9865881 (32 migrations applied); production and staging databases both report TimeZone=UTC (session and database setting). Every environment now runs in UTC.</t>
        </is>
      </c>
    </row>
    <row r="118" s="75">
      <c r="A118" s="112" t="n">
        <v>60.7</v>
      </c>
      <c r="B118" s="113" t="inlineStr">
        <is>
          <t>2S8-QA-05</t>
        </is>
      </c>
      <c r="C118" s="85" t="n">
        <v>8</v>
      </c>
      <c r="D118" s="86" t="inlineStr">
        <is>
          <t>Sprint 8 · QA, security &amp; rollout</t>
        </is>
      </c>
      <c r="E118" s="121" t="inlineStr">
        <is>
          <t>QA</t>
        </is>
      </c>
      <c r="F118" s="122" t="inlineStr">
        <is>
          <t>Code</t>
        </is>
      </c>
      <c r="G118" s="84" t="inlineStr">
        <is>
          <t>Three robustness gaps found while isolating the suite</t>
        </is>
      </c>
      <c r="H118" s="116" t="inlineStr">
        <is>
          <t>(1) Two applicants with the same display name at the same moment can collide on the athlete slug (uniqueSlug in application-intake.ts checks then inserts), so one gets a 500. (2) The walkthrough seed (worker/jobs/seed-personas.mts) only skips rows whose id exists, so a real applicant who already took the slug riley-carter would make it fail. (3) The payee's payout page rounds each order's figure up to zero, so a payee who owes money back after a refund that follows a payout doesn't see it.</t>
        </is>
      </c>
      <c r="I118" s="108" t="inlineStr">
        <is>
          <t>Done</t>
        </is>
      </c>
      <c r="J118" s="108" t="n">
        <v>1</v>
      </c>
      <c r="K118" s="109" t="n">
        <v>46300</v>
      </c>
      <c r="L118" s="109" t="n">
        <v>46300</v>
      </c>
      <c r="M118" s="110" t="inlineStr">
        <is>
          <t>rcfworks</t>
        </is>
      </c>
      <c r="N118" s="85" t="n"/>
      <c r="O118" s="84" t="n"/>
      <c r="P118" s="84" t="inlineStr">
        <is>
          <t>Same-name applicants never error; the seed runs on a non-empty database; a negative balance after a refund shows on the payee's payout page</t>
        </is>
      </c>
      <c r="Q118" s="86" t="inlineStr">
        <is>
          <t>2S8-QA-04 investigation (2026-10-02)</t>
        </is>
      </c>
      <c r="R118" s="111" t="inlineStr">
        <is>
          <t>Raised 2026-10-02 by the 2S8-QA-04 investigation. | Started 2026-10-05. | Same-name slugs retry under a savepoint (athlete-slug-race.test, 6 concurrent); seed-personas picks a free slug and skips on an email clash (pilot-school.test); GET /payouts/me returns balanceCents/owedBackCents and the athlete + property payout pages show money owed back (phase2-payouts.test, payouts-live.test). 2026-10-05 | Merged to main_development 2026-10-05 (PR #153).</t>
        </is>
      </c>
    </row>
    <row r="119" s="75">
      <c r="A119" s="112" t="n">
        <v>36.8</v>
      </c>
      <c r="B119" s="113" t="inlineStr">
        <is>
          <t>2S4-BE-12</t>
        </is>
      </c>
      <c r="C119" s="85" t="n">
        <v>4</v>
      </c>
      <c r="D119" s="86" t="inlineStr">
        <is>
          <t>Sprint 4 · Cart, reservations &amp; orders</t>
        </is>
      </c>
      <c r="E119" s="121" t="inlineStr">
        <is>
          <t>BE</t>
        </is>
      </c>
      <c r="F119" s="122" t="inlineStr">
        <is>
          <t>Code</t>
        </is>
      </c>
      <c r="G119" s="84" t="inlineStr">
        <is>
          <t>Cancelling a paid line: by the sponsor, by the seller; BTG only on disagreement</t>
        </is>
      </c>
      <c r="H119" s="116" t="inlineStr">
        <is>
          <t>A paid line not yet delivered. The sponsor cancels free until 3 days before its first date (refunded at once); closer than that the sponsor asks the seller, who has 72 hours (or until the first date): agreeing refunds the line, saying no or not answering sends it to BTG (keep or refund). From the first date: report a problem instead. The seller can cancel a line they can't deliver, with a reason; the sponsor is refunded at once. Two seller cancellations in 90 days hold that seller's new listings for BTG. Cancellation refunds don't stop the sponsor's spending limit rising.</t>
        </is>
      </c>
      <c r="I119" s="108" t="inlineStr">
        <is>
          <t>Done</t>
        </is>
      </c>
      <c r="J119" s="108" t="n">
        <v>3</v>
      </c>
      <c r="K119" s="109" t="n">
        <v>46297</v>
      </c>
      <c r="L119" s="109" t="n">
        <v>46297</v>
      </c>
      <c r="M119" s="110" t="inlineStr">
        <is>
          <t>rcfworks</t>
        </is>
      </c>
      <c r="N119" s="85" t="inlineStr">
        <is>
          <t>2S4-FE-06</t>
        </is>
      </c>
      <c r="O119" s="84" t="inlineStr">
        <is>
          <t>2S4-BE-07, 2S4-BE-11, 2S3-BE-06</t>
        </is>
      </c>
      <c r="P119" s="84" t="inlineStr">
        <is>
          <t>A sponsor cancels free before the cut-off and asks the seller after it; the seller agrees, declines or misses the deadline, and only the last two reach BTG; a seller cancels with a reason and the sponsor is refunded; a second seller cancellation within 90 days holds that seller's new listings; every refund happens once under concurrent clicks and the sweep</t>
        </is>
      </c>
      <c r="Q119" s="86" t="inlineStr">
        <is>
          <t>BTG admin review item 13, 2026-10-02</t>
        </is>
      </c>
      <c r="R119" s="111" t="inlineStr">
        <is>
          <t>Raised 2026-10-02 from the BTG admin review (item 13). Owner decisions: free cancellation until 3 days before; 2 seller cancellations in 90 days. | Reviewed 2026-10-02: 2311/2313 backend tests on two runs (only the known next-edition-e2e clauses 4-5 fail); every acceptance clause has a passing test in phase2-line-cancellation.</t>
        </is>
      </c>
    </row>
    <row r="120" s="75">
      <c r="A120" s="112" t="n">
        <v>36.9</v>
      </c>
      <c r="B120" s="113" t="inlineStr">
        <is>
          <t>2S4-BE-13</t>
        </is>
      </c>
      <c r="C120" s="85" t="n">
        <v>4</v>
      </c>
      <c r="D120" s="86" t="inlineStr">
        <is>
          <t>Sprint 4 · Cart, reservations &amp; orders</t>
        </is>
      </c>
      <c r="E120" s="121" t="inlineStr">
        <is>
          <t>BE</t>
        </is>
      </c>
      <c r="F120" s="122" t="inlineStr">
        <is>
          <t>Code</t>
        </is>
      </c>
      <c r="G120" s="84" t="inlineStr">
        <is>
          <t>Refunds to send</t>
        </is>
      </c>
      <c r="H120" s="116" t="inlineStr">
        <is>
          <t>Every refund of money actually received (a cancellation, an agreed problem refund, BTG's refund, a payment that arrived after cancellation) makes one row on Finance's Refunds to send list. Card refunds go back through the payment provider when it can (the staging stand-in does at once; production leaves the row open until a provider is connected). Finance marks the rest refunded with a method, reference and date; the sponsor is emailed and sees Refund on its way, then Refund sent. Zoho-invoiced orders remind Finance to issue a credit note.</t>
        </is>
      </c>
      <c r="I120" s="108" t="inlineStr">
        <is>
          <t>Done</t>
        </is>
      </c>
      <c r="J120" s="108" t="n">
        <v>2</v>
      </c>
      <c r="K120" s="109" t="n">
        <v>46297</v>
      </c>
      <c r="L120" s="109" t="n">
        <v>46297</v>
      </c>
      <c r="M120" s="110" t="inlineStr">
        <is>
          <t>rcfworks</t>
        </is>
      </c>
      <c r="N120" s="85" t="inlineStr">
        <is>
          <t>2S4-FE-06</t>
        </is>
      </c>
      <c r="O120" s="84" t="inlineStr">
        <is>
          <t>2S4-BE-10, 2S4-BE-12</t>
        </is>
      </c>
      <c r="P120" s="84" t="inlineStr">
        <is>
          <t>Each refund path makes exactly one row and an unpaid order makes none; BTG admin and Finance alone can mark a row sent, with a reference; the sponsor sees the refund's state and never a method or a reference</t>
        </is>
      </c>
      <c r="Q120" s="86" t="inlineStr">
        <is>
          <t>BTG admin review item 13, 2026-10-02</t>
        </is>
      </c>
      <c r="R120" s="111" t="inlineStr">
        <is>
          <t>Raised 2026-10-02 from the BTG admin review (item 13). | Reviewed 2026-10-02: each refund cause asserted; a card paid after cancellation gets its own row per attempt.</t>
        </is>
      </c>
    </row>
    <row r="121" s="75">
      <c r="A121" s="112" t="n">
        <v>38.6</v>
      </c>
      <c r="B121" s="113" t="inlineStr">
        <is>
          <t>2S4-FE-06</t>
        </is>
      </c>
      <c r="C121" s="85" t="n">
        <v>4</v>
      </c>
      <c r="D121" s="86" t="inlineStr">
        <is>
          <t>Sprint 4 · Cart, reservations &amp; orders</t>
        </is>
      </c>
      <c r="E121" s="121" t="inlineStr">
        <is>
          <t>FE</t>
        </is>
      </c>
      <c r="F121" s="122" t="inlineStr">
        <is>
          <t>Code</t>
        </is>
      </c>
      <c r="G121" s="84" t="inlineStr">
        <is>
          <t>Cancellations and refunds, on screen</t>
        </is>
      </c>
      <c r="H121" s="116" t="inlineStr">
        <is>
          <t>Built from the Claude Design file OrderCancellations. Sponsor: Cancel this session or Ask the seller to cancel, with the free-until date; the seller's answer; the refund's state. Seller: Can't deliver this session? (with the 90-day warning); answer a cancellation request. BTG: escalated cancellations on the Delivery issues desk. BTG and Finance: the Refunds to send page and the Mark refunded dialog.</t>
        </is>
      </c>
      <c r="I121" s="108" t="inlineStr">
        <is>
          <t>Done</t>
        </is>
      </c>
      <c r="J121" s="108" t="n">
        <v>3</v>
      </c>
      <c r="K121" s="109" t="n">
        <v>46297</v>
      </c>
      <c r="L121" s="109" t="n">
        <v>46297</v>
      </c>
      <c r="M121" s="110" t="inlineStr">
        <is>
          <t>rcfworks</t>
        </is>
      </c>
      <c r="N121" s="85" t="n"/>
      <c r="O121" s="84" t="inlineStr">
        <is>
          <t>2S4-BE-12, 2S4-BE-13</t>
        </is>
      </c>
      <c r="P121" s="84" t="inlineStr">
        <is>
          <t>Each party sees its next step and deadline: the sponsor can cancel or ask, the seller can cancel or answer, BTG decides only escalated requests, and Finance can mark a refund sent with a reference</t>
        </is>
      </c>
      <c r="Q121" s="86" t="inlineStr">
        <is>
          <t>BTG admin review item 13, 2026-10-02</t>
        </is>
      </c>
      <c r="R121" s="111" t="inlineStr">
        <is>
          <t>Raised 2026-10-02. Waiting for the OrderCancellations design from Claude Design. | Design received 2026-10-02 (OrderCancellations.dc.html); build started. | Reviewed 2026-10-02: all 14 design states built; frontend 1068/1068, tsc and eslint clean.</t>
        </is>
      </c>
    </row>
    <row r="122" s="75">
      <c r="A122" s="112" t="n">
        <v>44.1</v>
      </c>
      <c r="B122" s="113" t="inlineStr">
        <is>
          <t>2S5-BE-06</t>
        </is>
      </c>
      <c r="C122" s="85" t="n">
        <v>5</v>
      </c>
      <c r="D122" s="86" t="inlineStr">
        <is>
          <t>Sprint 5 · Payments, ledger &amp; payouts</t>
        </is>
      </c>
      <c r="E122" s="121" t="inlineStr">
        <is>
          <t>BE</t>
        </is>
      </c>
      <c r="F122" s="122" t="inlineStr">
        <is>
          <t>Code</t>
        </is>
      </c>
      <c r="G122" s="84" t="inlineStr">
        <is>
          <t>Payouts approved automatically</t>
        </is>
      </c>
      <c r="H122" s="116" t="inlineStr">
        <is>
          <t>A payout request is approved the moment it's made when the four checks pass (payment in, delivery confirmed, payout account ready, holding period passed), the payee isn't on hold, and it's under $2,000. A first payout needs no extra review. To BTG instead: the payout account changed in the last 7 days, or the payee's automatic approvals in 7 days (Phase 1 earnings included) would reach $5,000. BTG sees the reasons; the payee sees 'BTG is reviewing this payout'.</t>
        </is>
      </c>
      <c r="I122" s="108" t="inlineStr">
        <is>
          <t>Done</t>
        </is>
      </c>
      <c r="J122" s="108" t="n">
        <v>2</v>
      </c>
      <c r="K122" s="109" t="n">
        <v>46297</v>
      </c>
      <c r="L122" s="109" t="n">
        <v>46297</v>
      </c>
      <c r="M122" s="110" t="inlineStr">
        <is>
          <t>rcfworks</t>
        </is>
      </c>
      <c r="N122" s="85" t="inlineStr">
        <is>
          <t>2S5-FE-06</t>
        </is>
      </c>
      <c r="O122" s="84" t="inlineStr">
        <is>
          <t>2S5-BE-05</t>
        </is>
      </c>
      <c r="P122" s="84" t="inlineStr">
        <is>
          <t>A payout passing every check under $2,000 is approved without a person, a first payout included; a recent account change, the 7-day $5,000 total, a hold, or $2,000 or more sends it to BTG with the reason; two requests at once can't both pass the 7-day total</t>
        </is>
      </c>
      <c r="Q122" s="86" t="inlineStr">
        <is>
          <t>BTG admin review item 14, 2026-10-02</t>
        </is>
      </c>
      <c r="R122" s="111" t="inlineStr">
        <is>
          <t>Raised 2026-10-02 from the BTG admin review (item 14). Owner decisions: $2,000 limit; no first-payout review if the provider account is good; both safeguards. | Reviewed 2026-10-02: backend 2348/2350 on two runs (only next-edition-e2e 4-5); limit, first payout, account change, 7-day cap, hold and concurrency tested.</t>
        </is>
      </c>
    </row>
    <row r="123" s="75">
      <c r="A123" s="112" t="n">
        <v>44.2</v>
      </c>
      <c r="B123" s="113" t="inlineStr">
        <is>
          <t>2S5-BE-07</t>
        </is>
      </c>
      <c r="C123" s="85" t="n">
        <v>5</v>
      </c>
      <c r="D123" s="86" t="inlineStr">
        <is>
          <t>Sprint 5 · Payments, ledger &amp; payouts</t>
        </is>
      </c>
      <c r="E123" s="121" t="inlineStr">
        <is>
          <t>BE</t>
        </is>
      </c>
      <c r="F123" s="122" t="inlineStr">
        <is>
          <t>Code</t>
        </is>
      </c>
      <c r="G123" s="84" t="inlineStr">
        <is>
          <t>Failed payouts retried automatically</t>
        </is>
      </c>
      <c r="H123" s="116" t="inlineStr">
        <is>
          <t>Temporary provider failures retry up to 3 times (about 1, 6 and 24 hours); an account failure emails the payee to fix it and retries once the account is ready; anything else, or a failure that doesn't clear, goes to BTG, whose Retry still works.</t>
        </is>
      </c>
      <c r="I123" s="108" t="inlineStr">
        <is>
          <t>Done</t>
        </is>
      </c>
      <c r="J123" s="108" t="n">
        <v>1</v>
      </c>
      <c r="K123" s="109" t="n">
        <v>46297</v>
      </c>
      <c r="L123" s="109" t="n">
        <v>46297</v>
      </c>
      <c r="M123" s="110" t="inlineStr">
        <is>
          <t>rcfworks</t>
        </is>
      </c>
      <c r="N123" s="85" t="inlineStr">
        <is>
          <t>2S5-FE-06</t>
        </is>
      </c>
      <c r="O123" s="84" t="inlineStr">
        <is>
          <t>2S5-BE-05</t>
        </is>
      </c>
      <c r="P123" s="84" t="inlineStr">
        <is>
          <t>Temporary failures retry on the schedule and stop after 3; an account failure emails the payee and retries when the account is ready; only the rest reach BTG; no retry is sent twice</t>
        </is>
      </c>
      <c r="Q123" s="86" t="inlineStr">
        <is>
          <t>BTG admin review item 15, 2026-10-02</t>
        </is>
      </c>
      <c r="R123" s="111" t="inlineStr">
        <is>
          <t>Raised 2026-10-02 from the BTG admin review (item 15). | Reviewed 2026-10-02: TEMPORARY, ACCOUNT and OTHER failures tested; sweep idempotent.</t>
        </is>
      </c>
    </row>
    <row r="124" s="75">
      <c r="A124" s="112" t="n">
        <v>44.3</v>
      </c>
      <c r="B124" s="113" t="inlineStr">
        <is>
          <t>2S5-BE-08</t>
        </is>
      </c>
      <c r="C124" s="85" t="n">
        <v>5</v>
      </c>
      <c r="D124" s="86" t="inlineStr">
        <is>
          <t>Sprint 5 · Payments, ledger &amp; payouts</t>
        </is>
      </c>
      <c r="E124" s="121" t="inlineStr">
        <is>
          <t>BE</t>
        </is>
      </c>
      <c r="F124" s="122" t="inlineStr">
        <is>
          <t>Code</t>
        </is>
      </c>
      <c r="G124" s="84" t="inlineStr">
        <is>
          <t>Phase 1 earnings approved for payout automatically</t>
        </is>
      </c>
      <c r="H124" s="116" t="inlineStr">
        <is>
          <t>An earning that becomes eligible moves on to approved for payout when it isn't held or disputed, the athlete isn't on hold, it's under $2,000 and within the athlete's 7-day $5,000 automatic total. Otherwise it stays eligible for Finance with the reasons. Paid stays with Finance until a provider is connected.</t>
        </is>
      </c>
      <c r="I124" s="108" t="inlineStr">
        <is>
          <t>Done</t>
        </is>
      </c>
      <c r="J124" s="108" t="n">
        <v>1</v>
      </c>
      <c r="K124" s="109" t="n">
        <v>46297</v>
      </c>
      <c r="L124" s="109" t="n">
        <v>46297</v>
      </c>
      <c r="M124" s="110" t="inlineStr">
        <is>
          <t>rcfworks</t>
        </is>
      </c>
      <c r="N124" s="85" t="inlineStr">
        <is>
          <t>2S5-FE-06</t>
        </is>
      </c>
      <c r="O124" s="84" t="inlineStr">
        <is>
          <t>P7-BE-02, 2S5-BE-06</t>
        </is>
      </c>
      <c r="P124" s="84" t="inlineStr">
        <is>
          <t>An eligible earning within the rule is approved for payout without a person; one outside it stays eligible with its reasons; held and disputed earnings are never touched; paid stays manual</t>
        </is>
      </c>
      <c r="Q124" s="86" t="inlineStr">
        <is>
          <t>BTG admin review item 17, 2026-10-02</t>
        </is>
      </c>
      <c r="R124" s="111" t="inlineStr">
        <is>
          <t>Raised 2026-10-02 from the BTG admin review (item 17). | Reviewed 2026-10-02: auto-approve, reasons, HELD/DISPUTED untouched, PAID manual tested.</t>
        </is>
      </c>
    </row>
    <row r="125" s="75">
      <c r="A125" s="112" t="n">
        <v>47.6</v>
      </c>
      <c r="B125" s="113" t="inlineStr">
        <is>
          <t>2S5-FE-06</t>
        </is>
      </c>
      <c r="C125" s="85" t="n">
        <v>5</v>
      </c>
      <c r="D125" s="86" t="inlineStr">
        <is>
          <t>Sprint 5 · Payments, ledger &amp; payouts</t>
        </is>
      </c>
      <c r="E125" s="121" t="inlineStr">
        <is>
          <t>FE</t>
        </is>
      </c>
      <c r="F125" s="122" t="inlineStr">
        <is>
          <t>Code</t>
        </is>
      </c>
      <c r="G125" s="84" t="inlineStr">
        <is>
          <t>Automatic payouts, on screen</t>
        </is>
      </c>
      <c r="H125" s="116" t="inlineStr">
        <is>
          <t>Small changes to the existing payout screens, no new design. BTG: Approved automatically, the reasons a payout waits, the retry status, and a needs-BTG view. Payees: Approved automatically, BTG is reviewing this payout, Fix your payout account. Finance: Approved automatically on Phase 1 earnings.</t>
        </is>
      </c>
      <c r="I125" s="108" t="inlineStr">
        <is>
          <t>Done</t>
        </is>
      </c>
      <c r="J125" s="108" t="n">
        <v>1</v>
      </c>
      <c r="K125" s="109" t="n">
        <v>46297</v>
      </c>
      <c r="L125" s="109" t="n">
        <v>46297</v>
      </c>
      <c r="M125" s="110" t="inlineStr">
        <is>
          <t>rcfworks</t>
        </is>
      </c>
      <c r="N125" s="85" t="n"/>
      <c r="O125" s="84" t="inlineStr">
        <is>
          <t>2S5-BE-06, 2S5-BE-07, 2S5-BE-08</t>
        </is>
      </c>
      <c r="P125" s="84" t="inlineStr">
        <is>
          <t>Each payout and earning shows whether it was approved automatically or why it waits, and BTG's list defaults to what needs BTG</t>
        </is>
      </c>
      <c r="Q125" s="86" t="inlineStr">
        <is>
          <t>BTG admin review items 14, 15 and 17, 2026-10-02</t>
        </is>
      </c>
      <c r="R125" s="111" t="inlineStr">
        <is>
          <t>Raised 2026-10-02 from the BTG admin review. | Reviewed 2026-10-02: payout and earnings screens show approved automatically, reasons and retry status.</t>
        </is>
      </c>
    </row>
    <row r="126" s="75">
      <c r="A126" s="112" t="n">
        <v>60.8</v>
      </c>
      <c r="B126" s="113" t="inlineStr">
        <is>
          <t>2S8-QA-06</t>
        </is>
      </c>
      <c r="C126" s="85" t="n">
        <v>8</v>
      </c>
      <c r="D126" s="86" t="inlineStr">
        <is>
          <t>Sprint 8 · QA, security &amp; rollout</t>
        </is>
      </c>
      <c r="E126" s="121" t="inlineStr">
        <is>
          <t>QA</t>
        </is>
      </c>
      <c r="F126" s="122" t="inlineStr">
        <is>
          <t>Code</t>
        </is>
      </c>
      <c r="G126" s="84" t="inlineStr">
        <is>
          <t>Database rules installed by a deploy match the tests</t>
        </is>
      </c>
      <c r="H126" s="116" t="inlineStr">
        <is>
          <t>CI re-applies prisma/sql after migrating; a deploy only migrates. The contract gate's lock on an order's acceptance and billing contact (2S4-FE-02) lived only in prisma/sql, so staging and production lacked it. Migration 20261004000000 installs it, and a guard test builds a database from the migrations alone and fails if applying prisma/sql changes anything.</t>
        </is>
      </c>
      <c r="I126" s="108" t="inlineStr">
        <is>
          <t>Done</t>
        </is>
      </c>
      <c r="J126" s="108" t="n">
        <v>1</v>
      </c>
      <c r="K126" s="109" t="n">
        <v>46298</v>
      </c>
      <c r="L126" s="109" t="n">
        <v>46298</v>
      </c>
      <c r="M126" s="110" t="inlineStr">
        <is>
          <t>rcfworks</t>
        </is>
      </c>
      <c r="N126" s="85" t="n"/>
      <c r="O126" s="84" t="inlineStr">
        <is>
          <t>2S4-FE-02</t>
        </is>
      </c>
      <c r="P126" s="84" t="inlineStr">
        <is>
          <t>A database built only by migrations has every rule in prisma/sql; the guard fails on any drift</t>
        </is>
      </c>
      <c r="Q126" s="86" t="inlineStr">
        <is>
          <t>Found 2026-10-03 by a failing phase2-orders test on a fresh database</t>
        </is>
      </c>
      <c r="R126" s="111" t="inlineStr">
        <is>
          <t>Raised and closed 2026-10-03. Fix 4fccf98; guard tests/sql-rules-in-migrations.test.ts (verified to fail without the fix).</t>
        </is>
      </c>
    </row>
    <row r="127" s="75">
      <c r="A127" s="112" t="n">
        <v>62.1</v>
      </c>
      <c r="B127" s="113" t="inlineStr">
        <is>
          <t>2S8-SEC-03</t>
        </is>
      </c>
      <c r="C127" s="85" t="n">
        <v>8</v>
      </c>
      <c r="D127" s="86" t="inlineStr">
        <is>
          <t>Sprint 8 · QA, security &amp; rollout</t>
        </is>
      </c>
      <c r="E127" s="121" t="inlineStr">
        <is>
          <t>SEC</t>
        </is>
      </c>
      <c r="F127" s="122" t="inlineStr">
        <is>
          <t>Code</t>
        </is>
      </c>
      <c r="G127" s="84" t="inlineStr">
        <is>
          <t>Pin type and size on every private upload</t>
        </is>
      </c>
      <c r="H127" s="116" t="inlineStr">
        <is>
          <t>The private-bucket upload URLs (account, onboarding, organisation, sponsor-request, hand-off, support and profile-change documents) pin neither content type nor length. Their confirm step checks size but not type, and does not delete an oversized object. Pin {signContentType, contentLength} at each presign, compare the object's type and size on confirm, and delete it on a mismatch.</t>
        </is>
      </c>
      <c r="I127" s="108" t="inlineStr">
        <is>
          <t>Done</t>
        </is>
      </c>
      <c r="J127" s="108" t="n">
        <v>1</v>
      </c>
      <c r="K127" s="109" t="n">
        <v>46300</v>
      </c>
      <c r="L127" s="109" t="n">
        <v>46300</v>
      </c>
      <c r="M127" s="110" t="inlineStr">
        <is>
          <t>rcfworks</t>
        </is>
      </c>
      <c r="N127" s="85" t="n"/>
      <c r="O127" s="84" t="inlineStr">
        <is>
          <t>2S8-SEC-02</t>
        </is>
      </c>
      <c r="P127" s="84" t="inlineStr">
        <is>
          <t>Every private upload URL is signed for one type and size; a mismatched object is refused and deleted on confirm, proven end to end</t>
        </is>
      </c>
      <c r="Q127" s="86" t="inlineStr">
        <is>
          <t>documentation/SponsorX-Security-Review-2026-10.md §A04 (Open, Medium)</t>
        </is>
      </c>
      <c r="R127" s="111" t="inlineStr">
        <is>
          <t>Raised 2026-10-05 by 2S8-SEC-02. | All ten private presigns pin type + length; every confirm/register step HEADs the object and refuses (422), deletes and audits a mismatch. private-upload-pins.test runs each flow against an in-process bucket that checks signatures like R2. 2026-10-05</t>
        </is>
      </c>
    </row>
    <row r="128" s="75">
      <c r="A128" s="112" t="n">
        <v>62.2</v>
      </c>
      <c r="B128" s="113" t="inlineStr">
        <is>
          <t>2S8-SEC-04</t>
        </is>
      </c>
      <c r="C128" s="85" t="n">
        <v>8</v>
      </c>
      <c r="D128" s="86" t="inlineStr">
        <is>
          <t>Sprint 8 · QA, security &amp; rollout</t>
        </is>
      </c>
      <c r="E128" s="121" t="inlineStr">
        <is>
          <t>SEC</t>
        </is>
      </c>
      <c r="F128" s="122" t="inlineStr">
        <is>
          <t>Code</t>
        </is>
      </c>
      <c r="G128" s="84" t="inlineStr">
        <is>
          <t>A replayed invoice webhook can't roll an invoice back</t>
        </is>
      </c>
      <c r="H128" s="116" t="inlineStr">
        <is>
          <t>Zoho Books sends no timestamp, so replaying an old, correctly signed invoice webhook could roll an invoice's status back. Make the ingest refuse a payload that would move the stored state backwards (paid never goes back to sent).</t>
        </is>
      </c>
      <c r="I128" s="108" t="inlineStr">
        <is>
          <t>Done</t>
        </is>
      </c>
      <c r="J128" s="108" t="n">
        <v>1</v>
      </c>
      <c r="K128" s="109" t="n">
        <v>46300</v>
      </c>
      <c r="L128" s="109" t="n">
        <v>46300</v>
      </c>
      <c r="M128" s="110" t="inlineStr">
        <is>
          <t>rcfworks</t>
        </is>
      </c>
      <c r="N128" s="85" t="n"/>
      <c r="O128" s="84" t="inlineStr">
        <is>
          <t>2S8-SEC-02</t>
        </is>
      </c>
      <c r="P128" s="84" t="inlineStr">
        <is>
          <t>A replayed older invoice webhook leaves the stored status unchanged; paid never returns to sent</t>
        </is>
      </c>
      <c r="Q128" s="86" t="inlineStr">
        <is>
          <t>documentation/SponsorX-Security-Review-2026-10.md §A04 (Open, Low)</t>
        </is>
      </c>
      <c r="R128" s="111" t="inlineStr">
        <is>
          <t>Raised 2026-10-05 by 2S8-SEC-02. | Invoice ingest refuses a backwards move (paid never returns to sent), audits invoice.staleRefused, answers 202 so Zoho does not retry; invoice-replay.test replays signed bytes through the real route. A genuine backwards move in Zoho is held for BTG too (no timestamp to tell them apart). 2026-10-05</t>
        </is>
      </c>
    </row>
    <row r="129" s="75">
      <c r="A129" s="112" t="n">
        <v>62.3</v>
      </c>
      <c r="B129" s="113" t="inlineStr">
        <is>
          <t>2S8-SEC-05</t>
        </is>
      </c>
      <c r="C129" s="85" t="n">
        <v>8</v>
      </c>
      <c r="D129" s="86" t="inlineStr">
        <is>
          <t>Sprint 8 · QA, security &amp; rollout</t>
        </is>
      </c>
      <c r="E129" s="121" t="inlineStr">
        <is>
          <t>SEC</t>
        </is>
      </c>
      <c r="F129" s="122" t="inlineStr">
        <is>
          <t>Code</t>
        </is>
      </c>
      <c r="G129" s="84" t="inlineStr">
        <is>
          <t>Small hardening items from the security review</t>
        </is>
      </c>
      <c r="H129" s="116" t="inlineStr">
        <is>
          <t>(1) GET /athletes/:id/rates answers 200 [] for a real athlete but 403 for a missing id, revealing which ids exist. (2) Restrict Zoho CRM notification module and ids to an enum and digits. (3) Turn off JavaScript in the PDF renderer once the report is confirmed to need none. (4) Stop the worker logging non-fan email addresses. (5) Add import "server-only" to frontend/src/server/{api,edge,payouts}.ts. (6) Run one git-history secret scan (e.g. gitleaks).</t>
        </is>
      </c>
      <c r="I129" s="108" t="inlineStr">
        <is>
          <t>Done</t>
        </is>
      </c>
      <c r="J129" s="108" t="n">
        <v>1</v>
      </c>
      <c r="K129" s="109" t="n">
        <v>46300</v>
      </c>
      <c r="L129" s="109" t="n">
        <v>46300</v>
      </c>
      <c r="M129" s="110" t="inlineStr">
        <is>
          <t>rcfworks</t>
        </is>
      </c>
      <c r="N129" s="85" t="n"/>
      <c r="O129" s="84" t="inlineStr">
        <is>
          <t>2S8-SEC-02</t>
        </is>
      </c>
      <c r="P129" s="84" t="inlineStr">
        <is>
          <t>Each item is fixed with a test, or recorded as declined with a reason in the security review</t>
        </is>
      </c>
      <c r="Q129" s="86" t="inlineStr">
        <is>
          <t>documentation/SponsorX-Security-Review-2026-10.md §A01, §A09, §A10, Follow-ups</t>
        </is>
      </c>
      <c r="R129" s="111" t="inlineStr">
        <is>
          <t>Raised 2026-10-05 by 2S8-SEC-02. | Rates probe answers the same 403; Zoho CRM module enum + digit ids; PDF renderer JS off; worker logs mask emails; server-only on frontend/src/server/{api,edge,payouts}.ts; git-history secret scan (868 commits) clean via npm run secrets:scan:history. security-hardening.test. 2026-10-05</t>
        </is>
      </c>
    </row>
    <row r="130" s="75">
      <c r="A130" s="112" t="n">
        <v>62.4</v>
      </c>
      <c r="B130" s="113" t="inlineStr">
        <is>
          <t>2S8-QA-07</t>
        </is>
      </c>
      <c r="C130" s="85" t="n">
        <v>8</v>
      </c>
      <c r="D130" s="86" t="inlineStr">
        <is>
          <t>Sprint 8 · QA, security &amp; rollout</t>
        </is>
      </c>
      <c r="E130" s="121" t="inlineStr">
        <is>
          <t>QA</t>
        </is>
      </c>
      <c r="F130" s="122" t="inlineStr">
        <is>
          <t>Code</t>
        </is>
      </c>
      <c r="G130" s="84" t="inlineStr">
        <is>
          <t>Guard tests cover writes and same-tenant access</t>
        </is>
      </c>
      <c r="H130" s="116" t="inlineStr">
        <is>
          <t>tenant-scope.static checks reads only, and tenant-isolation sweeps across tenants but not within one (sponsor vs sponsor, athlete vs athlete). Extend both so an unscoped write or a same-tenant cross-account read fails the suite.</t>
        </is>
      </c>
      <c r="I130" s="108" t="inlineStr">
        <is>
          <t>Done</t>
        </is>
      </c>
      <c r="J130" s="108" t="n">
        <v>2</v>
      </c>
      <c r="K130" s="109" t="n">
        <v>46300</v>
      </c>
      <c r="L130" s="109" t="n">
        <v>46300</v>
      </c>
      <c r="M130" s="110" t="inlineStr">
        <is>
          <t>rcfworks</t>
        </is>
      </c>
      <c r="N130" s="85" t="n"/>
      <c r="O130" s="84" t="inlineStr">
        <is>
          <t>2S8-SEC-02</t>
        </is>
      </c>
      <c r="P130" s="84" t="inlineStr">
        <is>
          <t>The guard tests fail on an unscoped write and on a same-tenant cross-account read, shown by a deliberately broken route</t>
        </is>
      </c>
      <c r="Q130" s="86" t="inlineStr">
        <is>
          <t>documentation/SponsorX-Security-Review-2026-10.md, Other checks (Open, Info)</t>
        </is>
      </c>
      <c r="R130" s="111" t="inlineStr">
        <is>
          <t>Raised 2026-10-05 by 2S8-SEC-02. | tenant-scope.static now checks writes (3 fixed, 42 justified per call site); tenant-isolation adds same-tenant second sponsor and athlete across 197 record routes. Proven by a scratch break of GET /briefs/:id and respondToOffer. No real leak found. 2026-10-05</t>
        </is>
      </c>
    </row>
    <row r="131" s="75">
      <c r="A131" s="112" t="n">
        <v>62.5</v>
      </c>
      <c r="B131" s="113" t="inlineStr">
        <is>
          <t>2S8-PMO-02</t>
        </is>
      </c>
      <c r="C131" s="85" t="n">
        <v>8</v>
      </c>
      <c r="D131" s="86" t="inlineStr">
        <is>
          <t>Sprint 8 · QA, security &amp; rollout</t>
        </is>
      </c>
      <c r="E131" s="121" t="inlineStr">
        <is>
          <t>PMO</t>
        </is>
      </c>
      <c r="F131" s="122" t="inlineStr">
        <is>
          <t>Document</t>
        </is>
      </c>
      <c r="G131" s="84" t="inlineStr">
        <is>
          <t>Security settings the owner decides</t>
        </is>
      </c>
      <c r="H131" s="116" t="inlineStr">
        <is>
          <t>Seven decisions from the security review: (1) a full CSP, report-only first; (2) HSTS includeSubDomains / preload; (3) Clerk authorizedParties, listing every web origin first; (4) how long intake, onboarding, sign-up and sponsor-request links live; (5) whether a profile claimant confirms their email before an advisor verifies; (6) set PAYMENT_PROVIDER=none explicitly on Railway production; (7) set STANDIN_PROVIDER_SECRET explicitly on staging.</t>
        </is>
      </c>
      <c r="I131" s="108" t="inlineStr">
        <is>
          <t>Done</t>
        </is>
      </c>
      <c r="J131" s="108" t="n">
        <v>1</v>
      </c>
      <c r="K131" s="109" t="n">
        <v>46301</v>
      </c>
      <c r="L131" s="109" t="n">
        <v>46302</v>
      </c>
      <c r="M131" s="110" t="inlineStr">
        <is>
          <t>rcfworks</t>
        </is>
      </c>
      <c r="N131" s="85" t="n"/>
      <c r="O131" s="84" t="inlineStr">
        <is>
          <t>2S8-SEC-02</t>
        </is>
      </c>
      <c r="P131" s="84" t="inlineStr">
        <is>
          <t>Each of the seven decisions is recorded in the security review, and every setting chosen is applied on Railway</t>
        </is>
      </c>
      <c r="Q131" s="86" t="inlineStr">
        <is>
          <t>documentation/SponsorX-Security-Review-2026-10.md, Decisions for the owner</t>
        </is>
      </c>
      <c r="R131" s="111" t="inlineStr">
        <is>
          <t>Raised 2026-10-05 by 2S8-SEC-02. | Owner decided all seven 2026-10-06, recorded in documentation/SponsorX-Security-Review-2026-10.md. Applied on Railway: (6) PAYMENT_PROVIDER=none on production; (7) STANDIN_PROVIDER_SECRET on staging; (3) CLERK_AUTHORIZED_PARTIES on api+web, staging and production. Built and tested: (1) CSP report-only + /public/csp-report; (2) HSTS includeSubDomains, no preload; (3) Clerk authorizedParties; (4) 14-day links, intake purpose prefix, /public/links/renew, old links accepted until 2026-10-20; (5) profile claim email confirmation (PENDING_EMAIL). Done once deployed to staging and production. | Acceptance met 2026-10-07: all seven decisions recorded in the security review; every Railway setting applied (PAYMENT_PROVIDER=none production, STANDIN_PROVIDER_SECRET staging, CLERK_AUTHORIZED_PARTIES api+web both environments). Code live on staging (acbb23a→0f5d66a) and verified: HSTS includeSubDomains, CSP report-only + csp-report 202, links/renew, claim migrations, Clerk sign-in with authorizedParties (test team dashboard loads, no 401/403). Production picks up the code on the next deploy (release moves after the 8 pm CI).</t>
        </is>
      </c>
    </row>
    <row r="132" s="75">
      <c r="A132" s="112" t="n">
        <v>47.7</v>
      </c>
      <c r="B132" s="113" t="inlineStr">
        <is>
          <t>2S5-FE-07</t>
        </is>
      </c>
      <c r="C132" s="85" t="n">
        <v>5</v>
      </c>
      <c r="D132" s="86" t="inlineStr">
        <is>
          <t>Sprint 5 · Payments, ledger &amp; payouts</t>
        </is>
      </c>
      <c r="E132" s="121" t="inlineStr">
        <is>
          <t>FE</t>
        </is>
      </c>
      <c r="F132" s="122" t="inlineStr">
        <is>
          <t>Code</t>
        </is>
      </c>
      <c r="G132" s="84" t="inlineStr">
        <is>
          <t>BTG's payment exceptions page</t>
        </is>
      </c>
      <c r="H132" s="116" t="inlineStr">
        <is>
          <t>A page at /admin/payments/events listing provider events that need BTG: HELD (a payment succeeding after a recorded failure, a wrong amount, a partial refund), and FAILED (deferred too long). It shows the reason, and BTG closes each with a note. The API serves GET /payment-events and POST /payment-events/{id}/resolve; the emails already link here.</t>
        </is>
      </c>
      <c r="I132" s="108" t="inlineStr">
        <is>
          <t>Done</t>
        </is>
      </c>
      <c r="J132" s="108" t="n">
        <v>1</v>
      </c>
      <c r="K132" s="109" t="n">
        <v>46302</v>
      </c>
      <c r="L132" s="109" t="n">
        <v>46302</v>
      </c>
      <c r="M132" s="110" t="inlineStr">
        <is>
          <t>HeckerCreatives</t>
        </is>
      </c>
      <c r="N132" s="85" t="n"/>
      <c r="O132" s="84" t="inlineStr">
        <is>
          <t>2S5-INT-02</t>
        </is>
      </c>
      <c r="P132" s="84" t="inlineStr">
        <is>
          <t>BTG sees every held or failed payment event with its reason and can close it with a note; the list shows only their tenant</t>
        </is>
      </c>
      <c r="Q132" s="86" t="inlineStr">
        <is>
          <t>backend/src/routes/v1/payments.ts</t>
        </is>
      </c>
      <c r="R132" s="111" t="inlineStr">
        <is>
          <t>Raised 2026-10-05 by 2S5-INT-02 (API built, screen not). Built 2026-10-07 (HeckerCreatives, via Claude) on feature/P2-FE-screens — spec docs/superpowers/specs/2026-10-07-phase2-frontend-screens-design.md. QA'd on real data 2026-10-07 (e2e/qa-phase2*.spec.ts) and moved to Done by the owner.</t>
        </is>
      </c>
    </row>
    <row r="133" s="75">
      <c r="A133" s="112" t="n">
        <v>47.8</v>
      </c>
      <c r="B133" s="113" t="inlineStr">
        <is>
          <t>2S5-FE-08</t>
        </is>
      </c>
      <c r="C133" s="85" t="n">
        <v>5</v>
      </c>
      <c r="D133" s="86" t="inlineStr">
        <is>
          <t>Sprint 5 · Payments, ledger &amp; payouts</t>
        </is>
      </c>
      <c r="E133" s="121" t="inlineStr">
        <is>
          <t>FE</t>
        </is>
      </c>
      <c r="F133" s="122" t="inlineStr">
        <is>
          <t>Code</t>
        </is>
      </c>
      <c r="G133" s="84" t="inlineStr">
        <is>
          <t>Dispute list and resolve pages for BTG</t>
        </is>
      </c>
      <c r="H133" s="116" t="inlineStr">
        <is>
          <t>/admin/payments/disputes and /admin/payments/disputes/{id}: list disputes (OPEN, UNDER_REVIEW, WON, LOST) with the frozen order and amount; a BTG admin moves one to review with a note and resolves it to the provider's outcome. For a partial loss, BTG names the lines. Finance can see but not resolve. The API serves /disputes; the dispute emails link to the detail page.</t>
        </is>
      </c>
      <c r="I133" s="108" t="inlineStr">
        <is>
          <t>Done</t>
        </is>
      </c>
      <c r="J133" s="108" t="n">
        <v>2</v>
      </c>
      <c r="K133" s="109" t="n">
        <v>46302</v>
      </c>
      <c r="L133" s="109" t="n">
        <v>46302</v>
      </c>
      <c r="M133" s="110" t="inlineStr">
        <is>
          <t>HeckerCreatives</t>
        </is>
      </c>
      <c r="N133" s="85" t="n"/>
      <c r="O133" s="84" t="inlineStr">
        <is>
          <t>2S5-BE-03</t>
        </is>
      </c>
      <c r="P133" s="84" t="inlineStr">
        <is>
          <t>BTG reviews and resolves a dispute on screen to the provider's outcome; Finance sees the dispute but has no resolve button</t>
        </is>
      </c>
      <c r="Q133" s="86" t="inlineStr">
        <is>
          <t>backend/src/routes/v1/payments.ts; documentation/SponsorX-Phase2-State-Machines.md</t>
        </is>
      </c>
      <c r="R133" s="111" t="inlineStr">
        <is>
          <t>Raised 2026-10-05 by 2S5-BE-03 (API built, screens not). Built 2026-10-07 (HeckerCreatives, via Claude) on feature/P2-FE-screens — spec docs/superpowers/specs/2026-10-07-phase2-frontend-screens-design.md. QA'd on real data 2026-10-07 (e2e/qa-phase2*.spec.ts) and moved to Done by the owner.</t>
        </is>
      </c>
    </row>
    <row r="134" s="75">
      <c r="A134" s="112" t="n">
        <v>47.9</v>
      </c>
      <c r="B134" s="113" t="inlineStr">
        <is>
          <t>2S5-FE-09</t>
        </is>
      </c>
      <c r="C134" s="85" t="n">
        <v>5</v>
      </c>
      <c r="D134" s="86" t="inlineStr">
        <is>
          <t>Sprint 5 · Payments, ledger &amp; payouts</t>
        </is>
      </c>
      <c r="E134" s="121" t="inlineStr">
        <is>
          <t>FE</t>
        </is>
      </c>
      <c r="F134" s="122" t="inlineStr">
        <is>
          <t>Code</t>
        </is>
      </c>
      <c r="G134" s="84" t="inlineStr">
        <is>
          <t>Frozen money on the payee's payout page</t>
        </is>
      </c>
      <c r="H134" s="116" t="inlineStr">
        <is>
          <t>GET /payouts/me now marks an order frozen while a dispute is open, and the payout checks include a fifth rule, dispute. On the athlete and property money pages, show the frozen order apart from the requestable balance, with only: "BTG is reviewing a problem with the sponsor's payment".</t>
        </is>
      </c>
      <c r="I134" s="108" t="inlineStr">
        <is>
          <t>Done</t>
        </is>
      </c>
      <c r="J134" s="108" t="n">
        <v>1</v>
      </c>
      <c r="K134" s="109" t="n">
        <v>46302</v>
      </c>
      <c r="L134" s="109" t="n">
        <v>46302</v>
      </c>
      <c r="M134" s="110" t="inlineStr">
        <is>
          <t>HeckerCreatives</t>
        </is>
      </c>
      <c r="N134" s="85" t="n"/>
      <c r="O134" s="84" t="inlineStr">
        <is>
          <t>2S5-BE-04</t>
        </is>
      </c>
      <c r="P134" s="84" t="inlineStr">
        <is>
          <t>A payee with a disputed order sees it frozen with that sentence, and can request only the other orders' money</t>
        </is>
      </c>
      <c r="Q134" s="86" t="inlineStr">
        <is>
          <t>backend/src/domain/payouts.ts</t>
        </is>
      </c>
      <c r="R134" s="111" t="inlineStr">
        <is>
          <t>Raised 2026-10-05 by 2S5-BE-04 (API built, screen not). Built 2026-10-07 (HeckerCreatives, via Claude) on feature/P2-FE-screens — spec docs/superpowers/specs/2026-10-07-phase2-frontend-screens-design.md. QA'd on real data 2026-10-07 (e2e/qa-phase2*.spec.ts) and moved to Done by the owner.</t>
        </is>
      </c>
    </row>
    <row r="135" s="75">
      <c r="A135" s="112" t="n">
        <v>47.91</v>
      </c>
      <c r="B135" s="113" t="inlineStr">
        <is>
          <t>2S5-FE-10</t>
        </is>
      </c>
      <c r="C135" s="85" t="n">
        <v>5</v>
      </c>
      <c r="D135" s="86" t="inlineStr">
        <is>
          <t>Sprint 5 · Payments, ledger &amp; payouts</t>
        </is>
      </c>
      <c r="E135" s="121" t="inlineStr">
        <is>
          <t>FE</t>
        </is>
      </c>
      <c r="F135" s="122" t="inlineStr">
        <is>
          <t>Code</t>
        </is>
      </c>
      <c r="G135" s="84" t="inlineStr">
        <is>
          <t>Payout send attempts and returns on screen</t>
        </is>
      </c>
      <c r="H135" s="116" t="inlineStr">
        <is>
          <t>Payouts now carry sendAttempts, returnedAt and returnCount. Show them on BTG's payout detail, and on the payee's payout history: a returned payout reads 'Returned by your bank: fix your payout account'.</t>
        </is>
      </c>
      <c r="I135" s="108" t="inlineStr">
        <is>
          <t>Done</t>
        </is>
      </c>
      <c r="J135" s="108" t="n">
        <v>1</v>
      </c>
      <c r="K135" s="109" t="n">
        <v>46302</v>
      </c>
      <c r="L135" s="109" t="n">
        <v>46302</v>
      </c>
      <c r="M135" s="110" t="inlineStr">
        <is>
          <t>HeckerCreatives</t>
        </is>
      </c>
      <c r="N135" s="85" t="n"/>
      <c r="O135" s="84" t="inlineStr">
        <is>
          <t>2S5-BE-05</t>
        </is>
      </c>
      <c r="P135" s="84" t="inlineStr">
        <is>
          <t>BTG sees each payout's attempts and any return; a payee whose payout was returned is told to fix their account</t>
        </is>
      </c>
      <c r="Q135" s="86" t="inlineStr">
        <is>
          <t>backend/src/domain/payouts.ts</t>
        </is>
      </c>
      <c r="R135" s="111" t="inlineStr">
        <is>
          <t>Raised 2026-10-05 by 2S5-BE-05 (API built, screen not). Built 2026-10-07 (HeckerCreatives, via Claude) on feature/P2-FE-screens — spec docs/superpowers/specs/2026-10-07-phase2-frontend-screens-design.md. QA'd on real data 2026-10-07 (e2e/qa-phase2*.spec.ts) and moved to Done by the owner.</t>
        </is>
      </c>
    </row>
    <row r="136" s="75">
      <c r="A136" s="112" t="n">
        <v>47.92</v>
      </c>
      <c r="B136" s="113" t="inlineStr">
        <is>
          <t>2S5-FE-11</t>
        </is>
      </c>
      <c r="C136" s="85" t="n">
        <v>5</v>
      </c>
      <c r="D136" s="86" t="inlineStr">
        <is>
          <t>Sprint 5 · Payments, ledger &amp; payouts</t>
        </is>
      </c>
      <c r="E136" s="121" t="inlineStr">
        <is>
          <t>FE</t>
        </is>
      </c>
      <c r="F136" s="122" t="inlineStr">
        <is>
          <t>Code</t>
        </is>
      </c>
      <c r="G136" s="84" t="inlineStr">
        <is>
          <t>Checkout says 'busy, try again' when the provider is down</t>
        </is>
      </c>
      <c r="H136" s="116" t="inlineStr">
        <is>
          <t>When the payment provider is down, opening checkout answers 503 with code busy, and nothing is recorded. The sponsor's pay-by-card button should show 'The payment service is busy. Try again in a minute.' rather than a generic error.</t>
        </is>
      </c>
      <c r="I136" s="108" t="inlineStr">
        <is>
          <t>Done</t>
        </is>
      </c>
      <c r="J136" s="108" t="n">
        <v>1</v>
      </c>
      <c r="K136" s="109" t="n">
        <v>46302</v>
      </c>
      <c r="L136" s="109" t="n">
        <v>46302</v>
      </c>
      <c r="M136" s="110" t="inlineStr">
        <is>
          <t>HeckerCreatives</t>
        </is>
      </c>
      <c r="N136" s="85" t="n"/>
      <c r="O136" s="84" t="inlineStr">
        <is>
          <t>2S8-QA-02</t>
        </is>
      </c>
      <c r="P136" s="84" t="inlineStr">
        <is>
          <t>With the provider down, the sponsor sees the busy message and can retry; the order is unchanged</t>
        </is>
      </c>
      <c r="Q136" s="86" t="inlineStr">
        <is>
          <t>backend/src/lib/payment-provider.ts (STANDIN_OUTAGE)</t>
        </is>
      </c>
      <c r="R136" s="111" t="inlineStr">
        <is>
          <t>Raised 2026-10-05 by 2S8-QA-02 (API built, screen not). Built 2026-10-07 (HeckerCreatives, via Claude) on feature/P2-FE-screens — spec docs/superpowers/specs/2026-10-07-phase2-frontend-screens-design.md. QA'd on real data 2026-10-07 (e2e/qa-phase2*.spec.ts) and moved to Done by the owner.</t>
        </is>
      </c>
    </row>
    <row r="137" s="75">
      <c r="A137" s="112" t="n">
        <v>47.93</v>
      </c>
      <c r="B137" s="113" t="inlineStr">
        <is>
          <t>2S5-FE-12</t>
        </is>
      </c>
      <c r="C137" s="85" t="n">
        <v>5</v>
      </c>
      <c r="D137" s="86" t="inlineStr">
        <is>
          <t>Sprint 5 · Payments, ledger &amp; payouts</t>
        </is>
      </c>
      <c r="E137" s="121" t="inlineStr">
        <is>
          <t>FE</t>
        </is>
      </c>
      <c r="F137" s="122" t="inlineStr">
        <is>
          <t>Code</t>
        </is>
      </c>
      <c r="G137" s="84" t="inlineStr">
        <is>
          <t>Provider refunds on Finance's refund list</t>
        </is>
      </c>
      <c r="H137" s="116" t="inlineStr">
        <is>
          <t>Finance's refund list gains the cause PROVIDER_REFUNDED: a refund the provider made directly, already sent. Show it as 'Refunded by the payment provider' with the provider's reference, and no 'send refund' action.</t>
        </is>
      </c>
      <c r="I137" s="108" t="inlineStr">
        <is>
          <t>Done</t>
        </is>
      </c>
      <c r="J137" s="108" t="n">
        <v>1</v>
      </c>
      <c r="K137" s="109" t="n">
        <v>46302</v>
      </c>
      <c r="L137" s="109" t="n">
        <v>46302</v>
      </c>
      <c r="M137" s="110" t="inlineStr">
        <is>
          <t>HeckerCreatives</t>
        </is>
      </c>
      <c r="N137" s="85" t="n"/>
      <c r="O137" s="84" t="inlineStr">
        <is>
          <t>2S5-BE-03</t>
        </is>
      </c>
      <c r="P137" s="84" t="inlineStr">
        <is>
          <t>A provider-made refund shows on Finance's list with its reference and cannot be sent again</t>
        </is>
      </c>
      <c r="Q137" s="86" t="inlineStr">
        <is>
          <t>backend/src/domain/refunds.ts</t>
        </is>
      </c>
      <c r="R137" s="111" t="inlineStr">
        <is>
          <t>Raised 2026-10-05 by 2S5-BE-03 (API built, screen not). Built 2026-10-07 (HeckerCreatives, via Claude) on feature/P2-FE-screens — spec docs/superpowers/specs/2026-10-07-phase2-frontend-screens-design.md. QA'd on real data 2026-10-07 (e2e/qa-phase2*.spec.ts) and moved to Done by the owner.</t>
        </is>
      </c>
    </row>
    <row r="138" s="75">
      <c r="A138" s="112" t="n">
        <v>52.3</v>
      </c>
      <c r="B138" s="113" t="inlineStr">
        <is>
          <t>2S6-QA-01</t>
        </is>
      </c>
      <c r="C138" s="85" t="n">
        <v>6</v>
      </c>
      <c r="D138" s="86" t="inlineStr">
        <is>
          <t>Sprint 6 · Wallet rewards &amp; notifications</t>
        </is>
      </c>
      <c r="E138" s="121" t="inlineStr">
        <is>
          <t>QA</t>
        </is>
      </c>
      <c r="F138" s="122" t="inlineStr">
        <is>
          <t>Code</t>
        </is>
      </c>
      <c r="G138" s="84" t="inlineStr">
        <is>
          <t>Wallet provider outage testing</t>
        </is>
      </c>
      <c r="H138" s="116" t="inlineStr">
        <is>
          <t>Split from 2S8-QA-02, whose other failure modes are done. Once the wallet pass adapters exist, break them: Apple or Google Wallet down or timing out while a pass is issued or updated. Nothing is half-written, the queue retries, and the reward ledger stays consistent.</t>
        </is>
      </c>
      <c r="I138" s="108" t="inlineStr">
        <is>
          <t>Blocked</t>
        </is>
      </c>
      <c r="J138" s="108" t="n">
        <v>1</v>
      </c>
      <c r="K138" s="109" t="n"/>
      <c r="L138" s="109" t="n"/>
      <c r="M138" s="110" t="n"/>
      <c r="N138" s="85" t="n"/>
      <c r="O138" s="84" t="inlineStr">
        <is>
          <t>2S6-INT-01, 2S6-INT-02</t>
        </is>
      </c>
      <c r="P138" s="84" t="inlineStr">
        <is>
          <t>A wallet provider outage during issue or update leaves no half-written pass or reward, and the retry completes it once</t>
        </is>
      </c>
      <c r="Q138" s="86" t="inlineStr">
        <is>
          <t>Split from 2S8-QA-02 on 2026-10-05</t>
        </is>
      </c>
      <c r="R138" s="111" t="inlineStr">
        <is>
          <t>Raised 2026-10-05: no wallet adapter exists yet, so this part of 2S8-QA-02 cannot be tested. | 2026-10-07: the payment provider is chosen (Stripe), so that is no longer the blocker. Waits on an Apple Developer account with a Pass Type ID certificate (2S6-INT-01) and a Google Wallet issuer account (2S6-INT-02). | PARKED 2026-10-08 by the user's decision, pending Rodney's confirmation: the wallet is OPTIONAL — fans already claim and redeem through the QR web page — and the Apple Developer fee (US$99/yr) plus Apple's company verification cost time and money. Taken out of Phase 2's sign-off for now (criterion #11 marked Parked in documentation/SponsorX-Phase2-Acceptance-Signoff.md); Status stays Blocked because Phase 2's list has no Parked/Dropped value. Resume on the owner's go-ahead; set-up guide: doc 'Apple &amp; Google Wallet Issuer Setup' (https://claude.ai/artifact/7CG3x59P99VC5tNxnx1idi). | 2026-10-09: parked until further notice, approved by Rodney; out of Phase 2 sign-off.</t>
        </is>
      </c>
    </row>
    <row r="139" s="75">
      <c r="A139" s="112" t="n">
        <v>62.6</v>
      </c>
      <c r="B139" s="113" t="inlineStr">
        <is>
          <t>2S8-SEC-06</t>
        </is>
      </c>
      <c r="C139" s="85" t="n">
        <v>8</v>
      </c>
      <c r="D139" s="86" t="inlineStr">
        <is>
          <t>Sprint 8 · QA, security &amp; rollout</t>
        </is>
      </c>
      <c r="E139" s="121" t="inlineStr">
        <is>
          <t>SEC</t>
        </is>
      </c>
      <c r="F139" s="122" t="inlineStr">
        <is>
          <t>Code</t>
        </is>
      </c>
      <c r="G139" s="84" t="inlineStr">
        <is>
          <t>Replace the full-access live Stripe key with a restricted key</t>
        </is>
      </c>
      <c r="H139" s="116" t="inlineStr">
        <is>
          <t>Production's live Stripe secret key (created 2026-10-06, stored only in Railway production api) has full access, because the restricted-key permissions for Accounts v2 payout accounts were unclear. Work out the minimal permission set in the sandbox (Checkout Sessions, Charges and Refunds, Transfers, Webhook Endpoints, plus whichever Accounts v2 configuration permissions creating a recipient account needs), prove the smoke script passes with it, then have the owner create the restricted live key, swap it into Railway production, and delete the full-access key.</t>
        </is>
      </c>
      <c r="I139" s="108" t="inlineStr">
        <is>
          <t>Done</t>
        </is>
      </c>
      <c r="J139" s="108" t="n">
        <v>1</v>
      </c>
      <c r="K139" s="109" t="n">
        <v>46301</v>
      </c>
      <c r="L139" s="109" t="n">
        <v>46301</v>
      </c>
      <c r="M139" s="110" t="inlineStr">
        <is>
          <t>rcfworks</t>
        </is>
      </c>
      <c r="N139" s="85" t="n"/>
      <c r="O139" s="84" t="inlineStr">
        <is>
          <t>2S5-INT-03</t>
        </is>
      </c>
      <c r="P139" s="84" t="inlineStr">
        <is>
          <t>Production uses a restricted live key that the sandbox smoke run proved sufficient; the full-access live key is deleted in Stripe</t>
        </is>
      </c>
      <c r="Q139" s="86" t="inlineStr">
        <is>
          <t>documentation/SponsorX-Stripe-Integration.md; documentation/SponsorX-Secrets-Rotation.md</t>
        </is>
      </c>
      <c r="R139" s="111" t="inlineStr">
        <is>
          <t>Raised 2026-10-06 when the live key was created. | 2026-10-06: restricted sandbox key passed the smoke run 17/17 with the app on it alone (customers and balance refused). Owner created the identical live restricted key (rk_live_…QVaC, "SponsorX production (restricted)"); swapped into Railway production api; read-only check: v2 accounts, refunds, transfers allowed, customers and balance refused (403). Full-access key sk_live_…QUac expired by the owner. Note: the key can also create BTG own-bank payouts (bundled with a required permission).</t>
        </is>
      </c>
    </row>
    <row r="140" s="75">
      <c r="A140" s="112" t="n">
        <v>12.98</v>
      </c>
      <c r="B140" s="113" t="inlineStr">
        <is>
          <t>2S1-FE-14</t>
        </is>
      </c>
      <c r="C140" s="85" t="n">
        <v>1</v>
      </c>
      <c r="D140" s="86" t="inlineStr">
        <is>
          <t>Sprint 1 · External property onboarding</t>
        </is>
      </c>
      <c r="E140" s="121" t="inlineStr">
        <is>
          <t>FE</t>
        </is>
      </c>
      <c r="F140" s="122" t="inlineStr">
        <is>
          <t>Code</t>
        </is>
      </c>
      <c r="G140" s="84" t="inlineStr">
        <is>
          <t>BTG admin page for a support message and its attachments</t>
        </is>
      </c>
      <c r="H140" s="116" t="inlineStr">
        <is>
          <t>Support-desk emails no longer carry attachments (2S0-SEC-01 O1); they link to /admin/support/&lt;id&gt;. Build that page: the sender, topic, text and each attachment's name, type and size from GET /support-messages/:id, and an Open button per file that fetches GET /support-messages/:id/attachments/:attachmentId (a five-minute audited link). BTG admin only.</t>
        </is>
      </c>
      <c r="I140" s="108" t="inlineStr">
        <is>
          <t>Done</t>
        </is>
      </c>
      <c r="J140" s="108" t="n">
        <v>1</v>
      </c>
      <c r="K140" s="109" t="n">
        <v>46302</v>
      </c>
      <c r="L140" s="109" t="n">
        <v>46302</v>
      </c>
      <c r="M140" s="110" t="inlineStr">
        <is>
          <t>HeckerCreatives</t>
        </is>
      </c>
      <c r="N140" s="85" t="n"/>
      <c r="O140" s="84" t="inlineStr">
        <is>
          <t>2S0-SEC-01</t>
        </is>
      </c>
      <c r="P140" s="84" t="inlineStr">
        <is>
          <t>A BTG admin following the support email's link sees the message and opens each attachment; nobody else can</t>
        </is>
      </c>
      <c r="Q140" s="86" t="inlineStr">
        <is>
          <t>documentation/SponsorX-Payments-PII-Review-2026-10.md (frontend follow-ups)</t>
        </is>
      </c>
      <c r="R140" s="111" t="inlineStr">
        <is>
          <t>Raised 2026-10-06 by 2S0-SEC-01 (API built, screen not). Built 2026-10-07 (HeckerCreatives, via Claude) on feature/P2-FE-screens — spec docs/superpowers/specs/2026-10-07-phase2-frontend-screens-design.md. QA'd on real data 2026-10-07 (e2e/qa-phase2*.spec.ts) and moved to Done by the owner.</t>
        </is>
      </c>
    </row>
    <row r="141" s="75">
      <c r="A141" s="112" t="n">
        <v>60.9</v>
      </c>
      <c r="B141" s="113" t="inlineStr">
        <is>
          <t>2S8-QA-08</t>
        </is>
      </c>
      <c r="C141" s="85" t="n">
        <v>8</v>
      </c>
      <c r="D141" s="86" t="inlineStr">
        <is>
          <t>Sprint 8 · QA, security &amp; rollout</t>
        </is>
      </c>
      <c r="E141" s="121" t="inlineStr">
        <is>
          <t>QA</t>
        </is>
      </c>
      <c r="F141" s="122" t="inlineStr">
        <is>
          <t>Code</t>
        </is>
      </c>
      <c r="G141" s="84" t="inlineStr">
        <is>
          <t>private-upload-pins test fails intermittently in the full suite</t>
        </is>
      </c>
      <c r="H141" s="116" t="inlineStr">
        <is>
          <t>backend/tests/private-upload-pins.test.ts passes alone but has failed in about 1 of 6 full parallel runs (its setup, with a duplicate key on a fixed pu_ id, then 11 tests skipped). Its cleanup deletes by tenant and swallows errors, so a row that couldn't be deleted survives into the next run. Make its ids unique per run (or make the cleanup report what it couldn't delete) so the suite never flakes on it.</t>
        </is>
      </c>
      <c r="I141" s="108" t="inlineStr">
        <is>
          <t>Done</t>
        </is>
      </c>
      <c r="J141" s="108" t="n">
        <v>1</v>
      </c>
      <c r="K141" s="109" t="n">
        <v>46301</v>
      </c>
      <c r="L141" s="109" t="n">
        <v>46301</v>
      </c>
      <c r="M141" s="110" t="inlineStr">
        <is>
          <t>rcfworks</t>
        </is>
      </c>
      <c r="N141" s="85" t="n"/>
      <c r="O141" s="84" t="inlineStr">
        <is>
          <t>2S8-SEC-03</t>
        </is>
      </c>
      <c r="P141" s="84" t="inlineStr">
        <is>
          <t>The full backend suite passes 5 runs in a row with this file included</t>
        </is>
      </c>
      <c r="Q141" s="86" t="inlineStr">
        <is>
          <t>backend/tests/private-upload-pins.test.ts</t>
        </is>
      </c>
      <c r="R141" s="111" t="inlineStr">
        <is>
          <t>Raised 2026-10-06; seen twice (2026-10-06). | Every id, slug and email in private-upload-pins.test.ts is now unique to the run (random suffix), so a leftover row can never collide; the cleanup now warns which tables it could not clear. Full backend suite passed 5 runs in a row (180 files, 2910 tests each), no cleanup warnings. 2026-10-06</t>
        </is>
      </c>
    </row>
    <row r="142" s="75">
      <c r="A142" s="112" t="n">
        <v>62.51</v>
      </c>
      <c r="B142" s="113" t="inlineStr">
        <is>
          <t>2S8-FE-01</t>
        </is>
      </c>
      <c r="C142" s="85" t="n">
        <v>8</v>
      </c>
      <c r="D142" s="86" t="inlineStr">
        <is>
          <t>Sprint 8 · QA, security &amp; rollout</t>
        </is>
      </c>
      <c r="E142" s="121" t="inlineStr">
        <is>
          <t>FE</t>
        </is>
      </c>
      <c r="F142" s="122" t="inlineStr">
        <is>
          <t>Code</t>
        </is>
      </c>
      <c r="G142" s="84" t="inlineStr">
        <is>
          <t>Expired emailed links: show why and offer a fresh link</t>
        </is>
      </c>
      <c r="H142" s="116" t="inlineStr">
        <is>
          <t>Emailed links now expire after 14 days (2S8-PMO-02 decision 4). When a link page gets 410 link_expired from the API, show the plain message and a 'Send me a fresh link' button calling POST /api/v1/public/links/renew {kind, token}. Pages: /join, /join/confirm, /guardian/setup, /coming-of-age, /onboarding/[token], /onboarding/confirm, /sponsor-request/[token], /sponsor-request/confirm, /guardian/handoff. (Reactivation has its own page.)</t>
        </is>
      </c>
      <c r="I142" s="108" t="inlineStr">
        <is>
          <t>Done</t>
        </is>
      </c>
      <c r="J142" s="108" t="n">
        <v>2</v>
      </c>
      <c r="K142" s="109" t="n">
        <v>46302</v>
      </c>
      <c r="L142" s="109" t="n">
        <v>46302</v>
      </c>
      <c r="M142" s="110" t="inlineStr">
        <is>
          <t>HeckerCreatives</t>
        </is>
      </c>
      <c r="N142" s="85" t="n"/>
      <c r="O142" s="84" t="inlineStr">
        <is>
          <t>2S8-PMO-02</t>
        </is>
      </c>
      <c r="P142" s="84" t="inlineStr">
        <is>
          <t>Every emailed-link page shows the expired message and can request a fresh link; a fresh link arrives by email</t>
        </is>
      </c>
      <c r="Q142" s="86" t="inlineStr">
        <is>
          <t>documentation/SponsorX-Security-Review-2026-10.md (decision 4)</t>
        </is>
      </c>
      <c r="R142" s="111" t="inlineStr">
        <is>
          <t>Raised 2026-10-06 by 2S8-PMO-02 (API built, screens not). Built 2026-10-07 (HeckerCreatives, via Claude) on feature/P2-FE-screens — spec docs/superpowers/specs/2026-10-07-phase2-frontend-screens-design.md. QA'd on real data 2026-10-07 (e2e/qa-phase2*.spec.ts) and moved to Done by the owner.</t>
        </is>
      </c>
    </row>
    <row r="143" s="75">
      <c r="A143" s="112" t="n">
        <v>62.52</v>
      </c>
      <c r="B143" s="113" t="inlineStr">
        <is>
          <t>2S8-FE-02</t>
        </is>
      </c>
      <c r="C143" s="85" t="n">
        <v>8</v>
      </c>
      <c r="D143" s="86" t="inlineStr">
        <is>
          <t>Sprint 8 · QA, security &amp; rollout</t>
        </is>
      </c>
      <c r="E143" s="121" t="inlineStr">
        <is>
          <t>FE</t>
        </is>
      </c>
      <c r="F143" s="122" t="inlineStr">
        <is>
          <t>Code</t>
        </is>
      </c>
      <c r="G143" s="84" t="inlineStr">
        <is>
          <t>Profile claim: confirm-your-email screens</t>
        </is>
      </c>
      <c r="H143" s="116" t="inlineStr">
        <is>
          <t>Claimants now confirm their email before the school can verify (2S8-PMO-02 decision 5). (1) After 'That's me' on the claim form, say 'check your email' (the claim state is now PENDING_EMAIL). (2) /athletes/[slug] reads the claim= flag (confirmed, expired-resent, closed, invalid) and shows a message. (3) A proper confirmation page that POSTs the token on a button press (POST /public/athlete-claims/confirm-email), so mail-client link scanners can't confirm a claim by prefetching the GET link; then point the email at it.</t>
        </is>
      </c>
      <c r="I143" s="108" t="inlineStr">
        <is>
          <t>Done</t>
        </is>
      </c>
      <c r="J143" s="108" t="n">
        <v>1</v>
      </c>
      <c r="K143" s="109" t="n">
        <v>46302</v>
      </c>
      <c r="L143" s="109" t="n">
        <v>46302</v>
      </c>
      <c r="M143" s="110" t="inlineStr">
        <is>
          <t>HeckerCreatives</t>
        </is>
      </c>
      <c r="N143" s="85" t="n"/>
      <c r="O143" s="84" t="inlineStr">
        <is>
          <t>2S8-PMO-02</t>
        </is>
      </c>
      <c r="P143" s="84" t="inlineStr">
        <is>
          <t>A claimant is told to check their email, confirms on a page with a button, and sees the outcome on the profile</t>
        </is>
      </c>
      <c r="Q143" s="86" t="inlineStr">
        <is>
          <t>documentation/SponsorX-Security-Review-2026-10.md (decision 5)</t>
        </is>
      </c>
      <c r="R143" s="111" t="inlineStr">
        <is>
          <t>Raised 2026-10-06 by 2S8-PMO-02 (API built, screens not). Built 2026-10-07 (HeckerCreatives, via Claude) on feature/P2-FE-screens — spec docs/superpowers/specs/2026-10-07-phase2-frontend-screens-design.md. QA'd on real data 2026-10-07 (e2e/qa-phase2*.spec.ts) and moved to Done by the owner.</t>
        </is>
      </c>
    </row>
    <row r="144" s="75">
      <c r="A144" s="112" t="n">
        <v>64.5</v>
      </c>
      <c r="B144" s="113" t="inlineStr">
        <is>
          <t>2S8-PMO-03</t>
        </is>
      </c>
      <c r="C144" s="85" t="n">
        <v>8</v>
      </c>
      <c r="D144" s="86" t="inlineStr">
        <is>
          <t>Sprint 8 · QA, security &amp; rollout</t>
        </is>
      </c>
      <c r="E144" s="121" t="inlineStr">
        <is>
          <t>PMO</t>
        </is>
      </c>
      <c r="F144" s="122" t="inlineStr">
        <is>
          <t>Document</t>
        </is>
      </c>
      <c r="G144" s="84" t="inlineStr">
        <is>
          <t>First real outside team at go-live</t>
        </is>
      </c>
      <c r="H144" s="116" t="inlineStr">
        <is>
          <t>Split from 2S8-PMO-01 on 2026-10-09. The first real outside team, its athlete and a real sponsor onboard, transact and get paid on production — the real-person check the simulated UAT can't give (does a person get stuck in sign-up or payout set-up?). Waits for the owner's go-live; not part of Phase 2's sign-off.</t>
        </is>
      </c>
      <c r="I144" s="108" t="inlineStr">
        <is>
          <t>Blocked</t>
        </is>
      </c>
      <c r="J144" s="108" t="n">
        <v>1</v>
      </c>
      <c r="K144" s="109" t="n"/>
      <c r="L144" s="109" t="n"/>
      <c r="M144" s="110" t="n"/>
      <c r="N144" s="85" t="n">
        <v>0</v>
      </c>
      <c r="O144" s="84" t="inlineStr">
        <is>
          <t>2S8-PMO-01, the owner's go-live (payments on in production)</t>
        </is>
      </c>
      <c r="P144" s="84" t="inlineStr">
        <is>
          <t>A real outside team, athlete and sponsor complete sign-up, a paid order and a payout on production; anything they got stuck on is recorded and raised as a task</t>
        </is>
      </c>
      <c r="Q144" s="86" t="inlineStr">
        <is>
          <t>documentation/SponsorX-Phase2-Acceptance-Signoff.md</t>
        </is>
      </c>
      <c r="R144" s="111" t="inlineStr">
        <is>
          <t>2026-10-09 raised by 2S8-PMO-01 (definition change, owner's authority). WAITING ON: go-live.</t>
        </is>
      </c>
    </row>
  </sheetData>
  <autoFilter ref="A4:R144"/>
  <mergeCells count="2">
    <mergeCell ref="A2:R2"/>
    <mergeCell ref="A1:R1"/>
  </mergeCells>
  <conditionalFormatting sqref="I5:I144">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144">
    <cfRule type="expression" rank="0" priority="7" equalAverage="0" aboveAverage="0" dxfId="32" text="" percent="0" bottom="0">
      <formula>$I5="Done"</formula>
    </cfRule>
  </conditionalFormatting>
  <conditionalFormatting sqref="N5:N144">
    <cfRule type="cellIs" rank="0" priority="8" equalAverage="0" operator="greaterThanOrEqual" aboveAverage="0" dxfId="33" text="" percent="0" bottom="0">
      <formula>50</formula>
    </cfRule>
  </conditionalFormatting>
  <dataValidations count="1">
    <dataValidation sqref="I5:I144" showDropDown="0" showInputMessage="0" showErrorMessage="0" allowBlank="0" type="list" errorStyle="stop" operator="between">
      <formula1>"Ready,In progress,Code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R66"/>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45" t="inlineStr">
        <is>
          <t>SponsorX — Phase 3 · Intelligence &amp; Attribution</t>
        </is>
      </c>
    </row>
    <row r="2" ht="15" customHeight="1" s="75">
      <c r="A2" s="77" t="inlineStr">
        <is>
          <t>44 tasks across 10 sprints · dynamic pricing, matching, forecasting, attribution, anomaly detection</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43.25" customHeight="1" s="75">
      <c r="A5" s="104" t="n">
        <v>1</v>
      </c>
      <c r="B5" s="105" t="inlineStr">
        <is>
          <t>3S0-PMO-01</t>
        </is>
      </c>
      <c r="C5" s="81" t="n">
        <v>0</v>
      </c>
      <c r="D5" s="82" t="inlineStr">
        <is>
          <t>Sprint 0 · Analytics architecture</t>
        </is>
      </c>
      <c r="E5" s="104" t="inlineStr">
        <is>
          <t>PMO</t>
        </is>
      </c>
      <c r="F5" s="106" t="inlineStr">
        <is>
          <t>Document</t>
        </is>
      </c>
      <c r="G5" s="80" t="inlineStr">
        <is>
          <t>Define what attribution is permitted to claim</t>
        </is>
      </c>
      <c r="H5" s="107" t="inlineStr">
        <is>
          <t>The most important decision in Phase 3 and it is a language decision, not a technical one. Verified redemption, verified transaction, modelled attribution and estimated media value are four different things and must never be blended in a sponsor report.</t>
        </is>
      </c>
      <c r="I5" s="108" t="inlineStr">
        <is>
          <t>Done</t>
        </is>
      </c>
      <c r="J5" s="108" t="n">
        <v>3</v>
      </c>
      <c r="K5" s="109" t="n">
        <v>46310</v>
      </c>
      <c r="L5" s="109" t="n">
        <v>46310</v>
      </c>
      <c r="M5" s="110" t="inlineStr">
        <is>
          <t>rcfworks</t>
        </is>
      </c>
      <c r="N5" s="81" t="n">
        <v>0</v>
      </c>
      <c r="O5" s="80" t="inlineStr">
        <is>
          <t>Phase 2 complete</t>
        </is>
      </c>
      <c r="P5" s="80" t="inlineStr">
        <is>
          <t>Written definitions for every attribution class, with the reporting language each is allowed to use</t>
        </is>
      </c>
      <c r="Q5" s="82" t="inlineStr">
        <is>
          <t>Spec §17.4, §22</t>
        </is>
      </c>
      <c r="R5" s="111" t="inlineStr">
        <is>
          <t>Drafted 2026-10-15 (rcfworks) for the owner's approval: documentation/SponsorX-Attribution-Claims.md — four classes, evidence, the words each may/never use, never summed, no ROI from modelled/estimated, provenance, zero not a guess. Unblocks 3S6-BE-01; legal review is 3S0-LEG-01. | Done 2026-10-15: merged (#230), acceptance met.</t>
        </is>
      </c>
    </row>
    <row r="6" ht="23.85" customHeight="1" s="75">
      <c r="A6" s="112" t="n">
        <v>2</v>
      </c>
      <c r="B6" s="113" t="inlineStr">
        <is>
          <t>3S0-PMO-02</t>
        </is>
      </c>
      <c r="C6" s="85" t="n">
        <v>0</v>
      </c>
      <c r="D6" s="86" t="inlineStr">
        <is>
          <t>Sprint 0 · Analytics architecture</t>
        </is>
      </c>
      <c r="E6" s="112" t="inlineStr">
        <is>
          <t>PMO</t>
        </is>
      </c>
      <c r="F6" s="130" t="inlineStr">
        <is>
          <t>Document</t>
        </is>
      </c>
      <c r="G6" s="84" t="inlineStr">
        <is>
          <t>Model governance policy</t>
        </is>
      </c>
      <c r="H6" s="116" t="inlineStr">
        <is>
          <t>How a model version is proposed, validated, activated, rolled back and compared. Without this, nobody can explain why a price changed.</t>
        </is>
      </c>
      <c r="I6" s="108" t="inlineStr">
        <is>
          <t>Done</t>
        </is>
      </c>
      <c r="J6" s="108" t="n">
        <v>3</v>
      </c>
      <c r="K6" s="109" t="n">
        <v>46310</v>
      </c>
      <c r="L6" s="109" t="n">
        <v>46310</v>
      </c>
      <c r="M6" s="110" t="inlineStr">
        <is>
          <t>rcfworks</t>
        </is>
      </c>
      <c r="N6" s="85" t="n">
        <v>0</v>
      </c>
      <c r="O6" s="84" t="inlineStr">
        <is>
          <t>Phase 2 complete</t>
        </is>
      </c>
      <c r="P6" s="84" t="inlineStr">
        <is>
          <t>Governance policy written: versioning, confidence, explanation, override, monitoring and rollback</t>
        </is>
      </c>
      <c r="Q6" s="86" t="inlineStr">
        <is>
          <t>Spec §15</t>
        </is>
      </c>
      <c r="R6" s="111" t="inlineStr">
        <is>
          <t>Drafted 2026-10-15 (rcfworks) for the owner's approval: documentation/SponsorX-Model-Governance.md — versioning per tenant, draft→validated→active→retired, automatic validation inside safe ranges and a second person outside (automation first), confidence/explanation, overrides, rollback and compare without deploy, per-tenant switches, who, monitoring. | Done 2026-10-15: merged to main (#221/#223 via #222), acceptance met, tests green.</t>
        </is>
      </c>
    </row>
    <row r="7" ht="32.8" customHeight="1" s="75">
      <c r="A7" s="104" t="n">
        <v>3</v>
      </c>
      <c r="B7" s="105" t="inlineStr">
        <is>
          <t>3S0-DATA-01</t>
        </is>
      </c>
      <c r="C7" s="81" t="n">
        <v>0</v>
      </c>
      <c r="D7" s="82" t="inlineStr">
        <is>
          <t>Sprint 0 · Analytics architecture</t>
        </is>
      </c>
      <c r="E7" s="143" t="inlineStr">
        <is>
          <t>DATA</t>
        </is>
      </c>
      <c r="F7" s="106" t="inlineStr">
        <is>
          <t>Document</t>
        </is>
      </c>
      <c r="G7" s="80" t="inlineStr">
        <is>
          <t>Event taxonomy audit</t>
        </is>
      </c>
      <c r="H7" s="107" t="inlineStr">
        <is>
          <t>Audit every event Phases 1 and 2 emit before building a warehouse on top of them. Inconsistent event definitions are what make analytics untrustworthy later.</t>
        </is>
      </c>
      <c r="I7" s="108" t="inlineStr">
        <is>
          <t>Done</t>
        </is>
      </c>
      <c r="J7" s="108" t="n">
        <v>3</v>
      </c>
      <c r="K7" s="109" t="n">
        <v>46307</v>
      </c>
      <c r="L7" s="109" t="n">
        <v>46307</v>
      </c>
      <c r="M7" s="110" t="inlineStr">
        <is>
          <t>rcfworks</t>
        </is>
      </c>
      <c r="N7" s="81" t="n">
        <v>5</v>
      </c>
      <c r="O7" s="80" t="inlineStr">
        <is>
          <t>Phase 2 complete</t>
        </is>
      </c>
      <c r="P7" s="80" t="inlineStr">
        <is>
          <t>Every event type inventoried with its definition, source and known gaps</t>
        </is>
      </c>
      <c r="Q7" s="82" t="inlineStr">
        <is>
          <t>Spec §21</t>
        </is>
      </c>
      <c r="R7" s="111" t="inlineStr">
        <is>
          <t>documentation/SponsorX-Event-Taxonomy-Audit.md: 9 event families, about 320 audit actions in 72 families (Appendix A, generated from the code), 22 job names, 22 sweeps; 17 known gaps (G1–G17) with follow-ups. Highest: reward-event geography never filled (G2), GeoLite unset in every environment (G3), MetricDaily has no timestamp and is overwritten (G7), notify.campaignLive has no consumer (G1). Gaps raised as tasks 2026-10-12: G7 → 3S0-BE-01, G1 → 3S0-BE-02, G9 → 3S0-BE-03, G4 → 3S0-BE-04, G2/G3 → 3S0-BE-05 (+ 3S0-FE-01).</t>
        </is>
      </c>
    </row>
    <row r="8" ht="23.85" customHeight="1" s="75">
      <c r="A8" s="112" t="n">
        <v>4</v>
      </c>
      <c r="B8" s="113" t="inlineStr">
        <is>
          <t>3S0-DATA-02</t>
        </is>
      </c>
      <c r="C8" s="85" t="n">
        <v>0</v>
      </c>
      <c r="D8" s="86" t="inlineStr">
        <is>
          <t>Sprint 0 · Analytics architecture</t>
        </is>
      </c>
      <c r="E8" s="129" t="inlineStr">
        <is>
          <t>DATA</t>
        </is>
      </c>
      <c r="F8" s="130" t="inlineStr">
        <is>
          <t>Document</t>
        </is>
      </c>
      <c r="G8" s="84" t="inlineStr">
        <is>
          <t>Design the warehouse schema and semantic layer</t>
        </is>
      </c>
      <c r="H8" s="116" t="inlineStr">
        <is>
          <t>Facts and dimensions separated from the transactional database, so analytical queries never slow down the product.</t>
        </is>
      </c>
      <c r="I8" s="108" t="inlineStr">
        <is>
          <t>Done</t>
        </is>
      </c>
      <c r="J8" s="108" t="n">
        <v>5</v>
      </c>
      <c r="K8" s="109" t="n">
        <v>46307</v>
      </c>
      <c r="L8" s="109" t="n">
        <v>46307</v>
      </c>
      <c r="M8" s="110" t="inlineStr">
        <is>
          <t>rcfworks</t>
        </is>
      </c>
      <c r="N8" s="85" t="n">
        <v>0</v>
      </c>
      <c r="O8" s="84" t="inlineStr">
        <is>
          <t>3S0-DATA-01</t>
        </is>
      </c>
      <c r="P8" s="84" t="inlineStr">
        <is>
          <t>Warehouse schema designed and reviewed; the daily campaign fact table and its dimensions are specified</t>
        </is>
      </c>
      <c r="Q8" s="86" t="inlineStr">
        <is>
          <t>Spec §19</t>
        </is>
      </c>
      <c r="R8" s="111" t="inlineStr">
        <is>
          <t>documentation/SponsorX-Warehouse-Schema.md: separate Postgres on Railway (raw → stg → dw → sem); fact_campaign_daily at campaign × athlete × channel × inventory × day, fully specified; 8 dimensions (sponsor, property, athlete type 2); semantic metrics; companion facts; zero-tolerance reconciliation for 3S1-QA-01. Appendix SQL run clean on Postgres 2026-10-12. Awaiting the user's review sign-off (§10) — the "reviewed" clause. v1.1: O1 closed by 3S0-BE-06; marketplace fact + ledger/payment snapshots fully specified; §11 maps Spec §19's product tables to tasks and existing code (Builds-on lines added to 9 Phase 3 tasks). Signed off 2026-10-12 by rcfworks with Rodney's delegated authority (§10). SUPERSEDED 2026-10-13: replaced by the fact ledger (3S1-BE-01…); retired by 3S1-OPS-02.</t>
        </is>
      </c>
    </row>
    <row r="9" ht="23.85" customHeight="1" s="75">
      <c r="A9" s="104" t="n">
        <v>5</v>
      </c>
      <c r="B9" s="105" t="inlineStr">
        <is>
          <t>3S0-OPS-01</t>
        </is>
      </c>
      <c r="C9" s="81" t="n">
        <v>0</v>
      </c>
      <c r="D9" s="82" t="inlineStr">
        <is>
          <t>Sprint 0 · Analytics architecture</t>
        </is>
      </c>
      <c r="E9" s="132" t="inlineStr">
        <is>
          <t>OPS</t>
        </is>
      </c>
      <c r="F9" s="136" t="inlineStr">
        <is>
          <t>Vendor console</t>
        </is>
      </c>
      <c r="G9" s="80" t="inlineStr">
        <is>
          <t>Select the warehouse and transformation layer</t>
        </is>
      </c>
      <c r="H9" s="107" t="inlineStr">
        <is>
          <t>Snowflake, BigQuery, Redshift or Postgres depending on scale, plus dbt or equivalent for versioned transformations.</t>
        </is>
      </c>
      <c r="I9" s="108" t="inlineStr">
        <is>
          <t>Done</t>
        </is>
      </c>
      <c r="J9" s="108" t="n">
        <v>3</v>
      </c>
      <c r="K9" s="109" t="n">
        <v>46307</v>
      </c>
      <c r="L9" s="109" t="n">
        <v>46307</v>
      </c>
      <c r="M9" s="110" t="inlineStr">
        <is>
          <t>rcfworks</t>
        </is>
      </c>
      <c r="N9" s="81" t="n">
        <v>0</v>
      </c>
      <c r="O9" s="80" t="inlineStr">
        <is>
          <t>3S0-DATA-02</t>
        </is>
      </c>
      <c r="P9" s="80" t="inlineStr">
        <is>
          <t>Warehouse and transformation tooling selected, provisioned and cost-modelled</t>
        </is>
      </c>
      <c r="Q9" s="82" t="inlineStr">
        <is>
          <t>Spec §20</t>
        </is>
      </c>
      <c r="R9" s="111" t="inlineStr">
        <is>
          <t>Selected: Postgres on Railway, US East; transforms as SQL files run by the worker (no dbt) — .claude/stack-decision.md Addendum C. Provisioned 2026-10-12: Postgres-warehouse (staging) and Postgres-warehouse-production, PITR + daily/weekly(/monthly) backups; warehouse_reader read-only login with allow-listed column grants on each product DB; WAREHOUSE_DATABASE_URL + WAREHOUSE_SOURCE_DATABASE_URL on both api services. Verified: run 1 in each environment matched the app on all 28 tables (staging 191 rows, production 7), no personal data; reader refused email, User and writes. Cost model: ≈$3.50/month per environment now, $9–14/month both in year one. SUPERSEDED 2026-10-13: replaced by the fact ledger (3S1-BE-01…); retired by 3S1-OPS-02.</t>
        </is>
      </c>
    </row>
    <row r="10" ht="23.85" customHeight="1" s="75">
      <c r="A10" s="104" t="n">
        <v>7</v>
      </c>
      <c r="B10" s="105" t="inlineStr">
        <is>
          <t>3S1-DATA-01</t>
        </is>
      </c>
      <c r="C10" s="81" t="n">
        <v>1</v>
      </c>
      <c r="D10" s="82" t="inlineStr">
        <is>
          <t>Sprint 1 · Warehouse &amp; benchmarks</t>
        </is>
      </c>
      <c r="E10" s="143" t="inlineStr">
        <is>
          <t>DATA</t>
        </is>
      </c>
      <c r="F10" s="120" t="inlineStr">
        <is>
          <t>Code</t>
        </is>
      </c>
      <c r="G10" s="80" t="inlineStr">
        <is>
          <t>Warehouse ingestion pipeline</t>
        </is>
      </c>
      <c r="H10" s="107" t="inlineStr">
        <is>
          <t>Move transactional data into the warehouse on a schedule, idempotently, so a re-run never double-counts.</t>
        </is>
      </c>
      <c r="I10" s="108" t="inlineStr">
        <is>
          <t>Done</t>
        </is>
      </c>
      <c r="J10" s="108" t="n">
        <v>5</v>
      </c>
      <c r="K10" s="109" t="n">
        <v>46307</v>
      </c>
      <c r="L10" s="109" t="n">
        <v>46307</v>
      </c>
      <c r="M10" s="110" t="inlineStr">
        <is>
          <t>rcfworks</t>
        </is>
      </c>
      <c r="N10" s="81" t="n">
        <v>0</v>
      </c>
      <c r="O10" s="80" t="inlineStr">
        <is>
          <t>3S0-DATA-02</t>
        </is>
      </c>
      <c r="P10" s="80" t="inlineStr">
        <is>
          <t>Ingestion runs on schedule and is safe to re-run</t>
        </is>
      </c>
      <c r="Q10" s="82" t="inlineStr">
        <is>
          <t>Spec §21</t>
        </is>
      </c>
      <c r="R10" s="111" t="inlineStr">
        <is>
          <t>backend/worker/warehouse/: allow-list (sources.mts, 28 tables, no personal data), ingest.mts (APPEND by watermark−48h, VERSIONED by row hash with deleted versions; one REPEATABLE READ READ ONLY snapshot; advisory lock; raw._ingest_run log), migrations/*.sql. Worker runs it hourly when WAREHOUSE_DATABASE_URL is set. Tests: tests/warehouse-ingest.test.ts (13, against product + warehouse Postgres). Running hourly on staging since 2026-10-12 (run 1: all 28 tables matched the app, 191 rows, no personal data). SUPERSEDED 2026-10-13: replaced by the fact ledger (3S1-BE-01…); retired by 3S1-OPS-02.</t>
        </is>
      </c>
    </row>
    <row r="11" ht="22.35" customHeight="1" s="75">
      <c r="A11" s="112" t="n">
        <v>8</v>
      </c>
      <c r="B11" s="113" t="inlineStr">
        <is>
          <t>3S1-DATA-02</t>
        </is>
      </c>
      <c r="C11" s="85" t="n">
        <v>1</v>
      </c>
      <c r="D11" s="86" t="inlineStr">
        <is>
          <t>Sprint 1 · Warehouse &amp; benchmarks</t>
        </is>
      </c>
      <c r="E11" s="129" t="inlineStr">
        <is>
          <t>DATA</t>
        </is>
      </c>
      <c r="F11" s="122" t="inlineStr">
        <is>
          <t>Code</t>
        </is>
      </c>
      <c r="G11" s="84" t="inlineStr">
        <is>
          <t>Daily campaign fact and dimension tables</t>
        </is>
      </c>
      <c r="H11" s="116" t="inlineStr">
        <is>
          <t>The core analytical model: one row per campaign per day, with conformed dimensions for property, sponsor, channel and inventory.</t>
        </is>
      </c>
      <c r="I11" s="108" t="inlineStr">
        <is>
          <t>Done</t>
        </is>
      </c>
      <c r="J11" s="108" t="n">
        <v>5</v>
      </c>
      <c r="K11" s="109" t="n">
        <v>46308</v>
      </c>
      <c r="L11" s="109" t="n">
        <v>46308</v>
      </c>
      <c r="M11" s="110" t="inlineStr">
        <is>
          <t>rcfworks</t>
        </is>
      </c>
      <c r="N11" s="85" t="n">
        <v>0</v>
      </c>
      <c r="O11" s="84" t="inlineStr">
        <is>
          <t>3S1-DATA-01</t>
        </is>
      </c>
      <c r="P11" s="84" t="inlineStr">
        <is>
          <t>Warehouse metrics reconcile to transactional campaign, order and payment totals within defined tolerance</t>
        </is>
      </c>
      <c r="Q11" s="86" t="inlineStr">
        <is>
          <t>Spec §19, §22</t>
        </is>
      </c>
      <c r="R11" s="111" t="inlineStr">
        <is>
          <t>backend/worker/warehouse/: migrations/0002_model.sql (dims, fact_campaign_daily, fact_marketplace_order_line, two snapshots; computed keys), transforms/10–60 (stg, dims with type-2 history, facts, snapshots, sem views) rebuilt after every hourly copy in one transaction, reconcile.mts (11 zero-tolerance checks). Tests: tests/warehouse-model.test.ts (14). Live proof on staging and production follows the deploy. Review 2026-10-13: the hourly run records its build time and a like-for-like double-check; money snapshots are a diary; the warehouse rule is enforced by tests/warehouse-boundary.test.ts. Incremental build raised as 3S1-DATA-04. Live 2026-10-13 (release 91ca9e8): run 16 in staging (build 112 ms) and production (129 ms), hourly double-check clean in both, zero differences. Staging has no campaigns yet, so the campaign checks have nothing to compare; marketplace, ledger and payment checks matched on real data. SUPERSEDED 2026-10-13: replaced by the fact ledger (3S1-BE-01…); retired by 3S1-OPS-02.</t>
        </is>
      </c>
    </row>
    <row r="12" ht="23.85" customHeight="1" s="75">
      <c r="A12" s="104" t="n">
        <v>9</v>
      </c>
      <c r="B12" s="105" t="inlineStr">
        <is>
          <t>3S1-DATA-03</t>
        </is>
      </c>
      <c r="C12" s="81" t="n">
        <v>1</v>
      </c>
      <c r="D12" s="82" t="inlineStr">
        <is>
          <t>Sprint 1 · Warehouse &amp; benchmarks</t>
        </is>
      </c>
      <c r="E12" s="143" t="inlineStr">
        <is>
          <t>DATA</t>
        </is>
      </c>
      <c r="F12" s="120" t="inlineStr">
        <is>
          <t>Code</t>
        </is>
      </c>
      <c r="G12" s="80" t="inlineStr">
        <is>
          <t>Benchmark pipeline</t>
        </is>
      </c>
      <c r="H12" s="107" t="inlineStr">
        <is>
          <t>Percentile benchmarks by sport, market, format and audience — p25, median, p75 with sample size, so a small sample is visibly small.</t>
        </is>
      </c>
      <c r="I12" s="108" t="inlineStr">
        <is>
          <t>Done</t>
        </is>
      </c>
      <c r="J12" s="108" t="n">
        <v>3</v>
      </c>
      <c r="K12" s="109" t="n">
        <v>46309</v>
      </c>
      <c r="L12" s="109" t="n">
        <v>46310</v>
      </c>
      <c r="M12" s="110" t="inlineStr">
        <is>
          <t>rcfworks</t>
        </is>
      </c>
      <c r="N12" s="81" t="n">
        <v>0</v>
      </c>
      <c r="O12" s="80" t="inlineStr">
        <is>
          <t>3S1-OPS-04</t>
        </is>
      </c>
      <c r="P12" s="80" t="inlineStr">
        <is>
          <t>Benchmarks compute with sample sizes exposed and refresh on schedule</t>
        </is>
      </c>
      <c r="Q12" s="82" t="inlineStr">
        <is>
          <t>Spec §19</t>
        </is>
      </c>
      <c r="R12" s="111" t="inlineStr">
        <is>
          <t>Re-pointed 2026-10-13 to the fact ledger (3S1-BE-01…): reads the daily summaries in the app database, not the warehouse. Acceptance checked and moved to Done 2026-10-15 (rcfworks): criterion met, tests green, live in staging and production.</t>
        </is>
      </c>
    </row>
    <row r="13" ht="23.85" customHeight="1" s="75">
      <c r="A13" s="112" t="n">
        <v>10</v>
      </c>
      <c r="B13" s="113" t="inlineStr">
        <is>
          <t>3S1-QA-01</t>
        </is>
      </c>
      <c r="C13" s="85" t="n">
        <v>1</v>
      </c>
      <c r="D13" s="86" t="inlineStr">
        <is>
          <t>Sprint 1 · Warehouse &amp; benchmarks</t>
        </is>
      </c>
      <c r="E13" s="134" t="inlineStr">
        <is>
          <t>QA</t>
        </is>
      </c>
      <c r="F13" s="122" t="inlineStr">
        <is>
          <t>Code</t>
        </is>
      </c>
      <c r="G13" s="84" t="inlineStr">
        <is>
          <t>Nightly fact check</t>
        </is>
      </c>
      <c r="H13" s="116" t="inlineStr">
        <is>
          <t>Automated proof that the warehouse agrees with the source system. Run it every night, not once at launch.</t>
        </is>
      </c>
      <c r="I13" s="108" t="inlineStr">
        <is>
          <t>Done</t>
        </is>
      </c>
      <c r="J13" s="108" t="n">
        <v>3</v>
      </c>
      <c r="K13" s="109" t="n">
        <v>46308</v>
      </c>
      <c r="L13" s="109" t="n">
        <v>46310</v>
      </c>
      <c r="M13" s="110" t="inlineStr">
        <is>
          <t>rcfworks</t>
        </is>
      </c>
      <c r="N13" s="85" t="n">
        <v>0</v>
      </c>
      <c r="O13" s="84" t="inlineStr">
        <is>
          <t>3S1-OPS-04</t>
        </is>
      </c>
      <c r="P13" s="84" t="inlineStr">
        <is>
          <t>A nightly check that the daily summaries equal the sum of the facts and that the facts agree with the app's current records; a mismatch emails BTG admins once (and once on recovery) and shows on the admin integration-health data</t>
        </is>
      </c>
      <c r="Q13" s="86" t="inlineStr">
        <is>
          <t>Spec §22</t>
        </is>
      </c>
      <c r="R13" s="111" t="inlineStr">
        <is>
          <t>backend/src/domain/fact-nightly.ts runNightlyFactCheck: worker hourly tick, runs once a day at/after 19:00 UTC (FactCheckRun unique day — migration 20261013150000_fact_check_run; dead run taken over after 1h; a run that errored retried next tick, never emailed). Both checks, read-only, every tenant. Emails each tenant's active BTG admins once when its figures stop matching (facts.checkFailed: plain-words differences, records untouched, link to integrations) and once on recovery (facts.checkRecovered: since when) — only where FACT_CHECK_EMAILS=on. GET /operations/integration-health gains `facts` (last run, matches, failingSince, differences in words, emails, lastError) for the caller's tenant. Tests: fact-nightly.test.ts (7). Full suite 204 files / 3,219 tests green twice. Screen: 3S1-FE-01 raised. Acceptance checked and moved to Done 2026-10-15 (rcfworks): criterion met, tests green, live in staging and production.</t>
        </is>
      </c>
    </row>
    <row r="14" ht="23.85" customHeight="1" s="75">
      <c r="A14" s="104" t="n">
        <v>11</v>
      </c>
      <c r="B14" s="105" t="inlineStr">
        <is>
          <t>3S2-BE-01</t>
        </is>
      </c>
      <c r="C14" s="81" t="n">
        <v>2</v>
      </c>
      <c r="D14" s="82" t="inlineStr">
        <is>
          <t>Sprint 2 · Dynamic CPM engine</t>
        </is>
      </c>
      <c r="E14" s="139" t="inlineStr">
        <is>
          <t>BE</t>
        </is>
      </c>
      <c r="F14" s="120" t="inlineStr">
        <is>
          <t>Code</t>
        </is>
      </c>
      <c r="G14" s="80" t="inlineStr">
        <is>
          <t>Feature store and snapshot service</t>
        </is>
      </c>
      <c r="H14" s="107" t="inlineStr">
        <is>
          <t>Assemble the inputs a pricing model needs — audience, engagement, historical delivery, demand, seasonality, geography, scarcity — and snapshot them so a past recommendation can always be explained.</t>
        </is>
      </c>
      <c r="I14" s="108" t="inlineStr">
        <is>
          <t>Done</t>
        </is>
      </c>
      <c r="J14" s="108" t="n">
        <v>5</v>
      </c>
      <c r="K14" s="109" t="n">
        <v>46309</v>
      </c>
      <c r="L14" s="109" t="n">
        <v>46310</v>
      </c>
      <c r="M14" s="110" t="inlineStr">
        <is>
          <t>rcfworks</t>
        </is>
      </c>
      <c r="N14" s="81" t="n">
        <v>0</v>
      </c>
      <c r="O14" s="80" t="inlineStr">
        <is>
          <t>3S1-OPS-04</t>
        </is>
      </c>
      <c r="P14" s="80" t="inlineStr">
        <is>
          <t>Feature snapshots generate on schedule and are retrievable by entity and date</t>
        </is>
      </c>
      <c r="Q14" s="82" t="inlineStr">
        <is>
          <t>Spec §19</t>
        </is>
      </c>
      <c r="R14" s="111" t="inlineStr">
        <is>
          <t>Re-pointed 2026-10-13 to the fact ledger (3S1-BE-01…): reads the daily summaries in the app database, not the warehouse. Acceptance checked and moved to Done 2026-10-15 (rcfworks): criterion met, tests green, live in staging and production.</t>
        </is>
      </c>
    </row>
    <row r="15" ht="32.8" customHeight="1" s="75">
      <c r="A15" s="112" t="n">
        <v>12</v>
      </c>
      <c r="B15" s="113" t="inlineStr">
        <is>
          <t>3S2-BE-02</t>
        </is>
      </c>
      <c r="C15" s="85" t="n">
        <v>2</v>
      </c>
      <c r="D15" s="86" t="inlineStr">
        <is>
          <t>Sprint 2 · Dynamic CPM engine</t>
        </is>
      </c>
      <c r="E15" s="137" t="inlineStr">
        <is>
          <t>BE</t>
        </is>
      </c>
      <c r="F15" s="122" t="inlineStr">
        <is>
          <t>Code</t>
        </is>
      </c>
      <c r="G15" s="84" t="inlineStr">
        <is>
          <t>Dynamic CPM engine v1 (rules-based)</t>
        </is>
      </c>
      <c r="H15" s="116" t="inlineStr">
        <is>
          <t>Start with rules and statistics, not machine learning. The spec is explicit: do not build ML pricing before there is enough clean history.</t>
        </is>
      </c>
      <c r="I15" s="108" t="inlineStr">
        <is>
          <t>Done</t>
        </is>
      </c>
      <c r="J15" s="108" t="n">
        <v>5</v>
      </c>
      <c r="K15" s="109" t="n">
        <v>46309</v>
      </c>
      <c r="L15" s="109" t="n">
        <v>46310</v>
      </c>
      <c r="M15" s="110" t="inlineStr">
        <is>
          <t>rcfworks</t>
        </is>
      </c>
      <c r="N15" s="85" t="n">
        <v>0</v>
      </c>
      <c r="O15" s="84" t="inlineStr">
        <is>
          <t>3S2-BE-01</t>
        </is>
      </c>
      <c r="P15" s="84" t="inlineStr">
        <is>
          <t>Every recommended price exposes model version, confidence and factor breakdown</t>
        </is>
      </c>
      <c r="Q15" s="86" t="inlineStr">
        <is>
          <t>Spec §17.1, §22</t>
        </is>
      </c>
      <c r="R15" s="111" t="inlineStr">
        <is>
          <t>Acceptance checked and moved to Done 2026-10-15 (rcfworks): criterion met, tests green, live in staging and production.</t>
        </is>
      </c>
    </row>
    <row r="16" ht="23.85" customHeight="1" s="75">
      <c r="A16" s="104" t="n">
        <v>13</v>
      </c>
      <c r="B16" s="105" t="inlineStr">
        <is>
          <t>3S2-BE-03</t>
        </is>
      </c>
      <c r="C16" s="81" t="n">
        <v>2</v>
      </c>
      <c r="D16" s="82" t="inlineStr">
        <is>
          <t>Sprint 2 · Dynamic CPM engine</t>
        </is>
      </c>
      <c r="E16" s="139" t="inlineStr">
        <is>
          <t>BE</t>
        </is>
      </c>
      <c r="F16" s="120" t="inlineStr">
        <is>
          <t>Code</t>
        </is>
      </c>
      <c r="G16" s="80" t="inlineStr">
        <is>
          <t>Pricing recommendation and override records</t>
        </is>
      </c>
      <c r="H16" s="107" t="inlineStr">
        <is>
          <t>Store the recommendation immutably. An override is a separate record with a required reason — it never edits the original.</t>
        </is>
      </c>
      <c r="I16" s="108" t="inlineStr">
        <is>
          <t>Done</t>
        </is>
      </c>
      <c r="J16" s="108" t="n">
        <v>3</v>
      </c>
      <c r="K16" s="109" t="n">
        <v>46309</v>
      </c>
      <c r="L16" s="109" t="n">
        <v>46310</v>
      </c>
      <c r="M16" s="110" t="inlineStr">
        <is>
          <t>rcfworks</t>
        </is>
      </c>
      <c r="N16" s="81" t="n">
        <v>0</v>
      </c>
      <c r="O16" s="80" t="inlineStr">
        <is>
          <t>3S2-BE-02</t>
        </is>
      </c>
      <c r="P16" s="80" t="inlineStr">
        <is>
          <t>Admin can override a price only with the right permission and a recorded reason; the recommendation is unchanged</t>
        </is>
      </c>
      <c r="Q16" s="82" t="inlineStr">
        <is>
          <t>Spec §17.1, §22</t>
        </is>
      </c>
      <c r="R16" s="111" t="inlineStr">
        <is>
          <t>Acceptance checked and moved to Done 2026-10-15 (rcfworks): criterion met, tests green, live in staging and production. QA 2026-10-15 (HeckerCreatives): an override above $10,000 CPM was accepted on the wire — now 400 (OVERRIDE_MAX_CENTS, contract + test); an unknown ?view on the desk is now 400 like an unknown kind/risk (PricingDeskQuery, documented in the spec).</t>
        </is>
      </c>
    </row>
    <row r="17" ht="35.05" customHeight="1" s="75">
      <c r="A17" s="112" t="n">
        <v>14</v>
      </c>
      <c r="B17" s="113" t="inlineStr">
        <is>
          <t>3S2-FE-01</t>
        </is>
      </c>
      <c r="C17" s="85" t="n">
        <v>2</v>
      </c>
      <c r="D17" s="86" t="inlineStr">
        <is>
          <t>Sprint 2 · Dynamic CPM engine</t>
        </is>
      </c>
      <c r="E17" s="121" t="inlineStr">
        <is>
          <t>FE</t>
        </is>
      </c>
      <c r="F17" s="122" t="inlineStr">
        <is>
          <t>Code</t>
        </is>
      </c>
      <c r="G17" s="84" t="inlineStr">
        <is>
          <t>Build the pricing intelligence panel</t>
        </is>
      </c>
      <c r="H17" s="116" t="inlineStr">
        <is>
          <t>Recommended CPM, current rate, factor breakdown, confidence, historical range and the override control.</t>
        </is>
      </c>
      <c r="I17" s="108" t="inlineStr">
        <is>
          <t>Done</t>
        </is>
      </c>
      <c r="J17" s="108" t="n">
        <v>5</v>
      </c>
      <c r="K17" s="109" t="n">
        <v>46308</v>
      </c>
      <c r="L17" s="109" t="n">
        <v>46308</v>
      </c>
      <c r="M17" s="110" t="inlineStr">
        <is>
          <t>HeckerCreatives</t>
        </is>
      </c>
      <c r="N17" s="85" t="n">
        <v>0</v>
      </c>
      <c r="O17" s="84" t="inlineStr">
        <is>
          <t>3S2-BE-02</t>
        </is>
      </c>
      <c r="P17" s="84" t="inlineStr">
        <is>
          <t>Panel shows the full factor breakdown and confidence for any inventory item</t>
        </is>
      </c>
      <c r="Q17" s="86" t="inlineStr">
        <is>
          <t>Spec §16 P3-01</t>
        </is>
      </c>
      <c r="R17" s="111" t="inlineStr">
        <is>
          <t>UI built 2026-10-13 (branch feature/3S-FE-phase3-screens): /admin/intelligence/pricing, against the proposed contract in documentation/SponsorX-Phase3-Screen-Contracts.md. Until 3S2-BE-02 is mounted the screen shows EnginePending and no figures (owner decision: FE only, honest empty states); ?demo=sample previews the live layout in development only. Marked Done by the owner 2026-10-13 (UI complete); when 3S2-BE-02 lands, walk the screen against it. QA 2026-10-13 at 390 / 1366 / 1920 px as BTG admin, sponsor, property manager and Finance: 78/78 page checks (no horizontal overflow, no console errors, role gating), screenshot review and interaction pass; defects found were fixed and re-walked. Engine landed 2026-10-14 (3S2-BE-01/02/03); walked live 2026-10-15 as BTG admin + Sales, desktop + phone: 16 priced items, factor breakdown, an override saved as its own record (recommendation unchanged), Sales locked out of the override. Contract as proposed; v1 prices athlete items only.</t>
        </is>
      </c>
    </row>
    <row r="18" ht="23.85" customHeight="1" s="75">
      <c r="A18" s="104" t="n">
        <v>15</v>
      </c>
      <c r="B18" s="105" t="inlineStr">
        <is>
          <t>3S3-BE-01</t>
        </is>
      </c>
      <c r="C18" s="81" t="n">
        <v>3</v>
      </c>
      <c r="D18" s="82" t="inlineStr">
        <is>
          <t>Sprint 3 · Sponsor matching</t>
        </is>
      </c>
      <c r="E18" s="139" t="inlineStr">
        <is>
          <t>BE</t>
        </is>
      </c>
      <c r="F18" s="120" t="inlineStr">
        <is>
          <t>Code</t>
        </is>
      </c>
      <c r="G18" s="80" t="inlineStr">
        <is>
          <t>Sponsor brief model</t>
        </is>
      </c>
      <c r="H18" s="107" t="inlineStr">
        <is>
          <t>Objective, budget, geography, sport, audience, included and excluded categories, dates and channels — the input to matching.</t>
        </is>
      </c>
      <c r="I18" s="108" t="inlineStr">
        <is>
          <t>Done</t>
        </is>
      </c>
      <c r="J18" s="108" t="n">
        <v>3</v>
      </c>
      <c r="K18" s="109" t="n">
        <v>46309</v>
      </c>
      <c r="L18" s="109" t="n">
        <v>46310</v>
      </c>
      <c r="M18" s="110" t="inlineStr">
        <is>
          <t>rcfworks</t>
        </is>
      </c>
      <c r="N18" s="81" t="n">
        <v>0</v>
      </c>
      <c r="O18" s="80" t="inlineStr">
        <is>
          <t>3S2-BE-01</t>
        </is>
      </c>
      <c r="P18" s="80" t="inlineStr">
        <is>
          <t>A sponsor brief captures all matching inputs including exclusions</t>
        </is>
      </c>
      <c r="Q18" s="82" t="inlineStr">
        <is>
          <t>Spec §19</t>
        </is>
      </c>
      <c r="R18" s="111" t="inlineStr">
        <is>
          <t>Acceptance checked and moved to Done 2026-10-15 (rcfworks): criterion met, tests green, live in staging and production. QA 2026-10-15 (HeckerCreatives): BTG never saw the four new brief fields — now shown as 'Sponsor asks' on the brief desk, the Matching Studio header and above the explorer's ranking (briefAsksLine). Round two: NETWORK_MGR could not use either matching desk (no campaignBrief read while §29 has them saving shortlists) — read granted own-tenant, matrix row corrected, authz digest updated; repeated channels/tiers/exclusions in a brief body now stored as a set.</t>
        </is>
      </c>
    </row>
    <row r="19" ht="23.85" customHeight="1" s="75">
      <c r="A19" s="112" t="n">
        <v>16</v>
      </c>
      <c r="B19" s="113" t="inlineStr">
        <is>
          <t>3S3-BE-02</t>
        </is>
      </c>
      <c r="C19" s="85" t="n">
        <v>3</v>
      </c>
      <c r="D19" s="86" t="inlineStr">
        <is>
          <t>Sprint 3 · Sponsor matching</t>
        </is>
      </c>
      <c r="E19" s="137" t="inlineStr">
        <is>
          <t>BE</t>
        </is>
      </c>
      <c r="F19" s="122" t="inlineStr">
        <is>
          <t>Code</t>
        </is>
      </c>
      <c r="G19" s="84" t="inlineStr">
        <is>
          <t>Match scoring service</t>
        </is>
      </c>
      <c r="H19" s="116" t="inlineStr">
        <is>
          <t>Score audience fit, geography, format, category affinity, historical performance, budget fit, sponsor history and inventory quality — then explain the score in words a salesperson can repeat.</t>
        </is>
      </c>
      <c r="I19" s="108" t="inlineStr">
        <is>
          <t>Done</t>
        </is>
      </c>
      <c r="J19" s="108" t="n">
        <v>5</v>
      </c>
      <c r="K19" s="109" t="n">
        <v>46309</v>
      </c>
      <c r="L19" s="109" t="n">
        <v>46310</v>
      </c>
      <c r="M19" s="110" t="inlineStr">
        <is>
          <t>rcfworks</t>
        </is>
      </c>
      <c r="N19" s="85" t="n">
        <v>0</v>
      </c>
      <c r="O19" s="84" t="inlineStr">
        <is>
          <t>3S3-BE-01</t>
        </is>
      </c>
      <c r="P19" s="84" t="inlineStr">
        <is>
          <t>Brief produces ranked recommendations with explanation factors within the agreed response time</t>
        </is>
      </c>
      <c r="Q19" s="86" t="inlineStr">
        <is>
          <t>Spec §17.2, §22</t>
        </is>
      </c>
      <c r="R19" s="111" t="inlineStr">
        <is>
          <t>Acceptance checked and moved to Done 2026-10-15 (rcfworks): criterion met, tests green, live in staging and production.</t>
        </is>
      </c>
    </row>
    <row r="20" ht="32.8" customHeight="1" s="75">
      <c r="A20" s="104" t="n">
        <v>17</v>
      </c>
      <c r="B20" s="105" t="inlineStr">
        <is>
          <t>3S3-BE-03</t>
        </is>
      </c>
      <c r="C20" s="81" t="n">
        <v>3</v>
      </c>
      <c r="D20" s="82" t="inlineStr">
        <is>
          <t>Sprint 3 · Sponsor matching</t>
        </is>
      </c>
      <c r="E20" s="139" t="inlineStr">
        <is>
          <t>BE</t>
        </is>
      </c>
      <c r="F20" s="120" t="inlineStr">
        <is>
          <t>Code</t>
        </is>
      </c>
      <c r="G20" s="80" t="inlineStr">
        <is>
          <t>Eligibility filter ahead of scoring</t>
        </is>
      </c>
      <c r="H20" s="107" t="inlineStr">
        <is>
          <t>Filter out unavailable, conflicted and brand-unsafe inventory before scoring. Ranking something that cannot be sold wastes everyone's time.</t>
        </is>
      </c>
      <c r="I20" s="108" t="inlineStr">
        <is>
          <t>Done</t>
        </is>
      </c>
      <c r="J20" s="108" t="n">
        <v>3</v>
      </c>
      <c r="K20" s="109" t="n">
        <v>46309</v>
      </c>
      <c r="L20" s="109" t="n">
        <v>46310</v>
      </c>
      <c r="M20" s="110" t="inlineStr">
        <is>
          <t>rcfworks</t>
        </is>
      </c>
      <c r="N20" s="81" t="n">
        <v>0</v>
      </c>
      <c r="O20" s="80" t="inlineStr">
        <is>
          <t>3S3-BE-02</t>
        </is>
      </c>
      <c r="P20" s="80" t="inlineStr">
        <is>
          <t>Match explorer never returns unavailable or category-conflicted inventory</t>
        </is>
      </c>
      <c r="Q20" s="82" t="inlineStr">
        <is>
          <t>Spec §22</t>
        </is>
      </c>
      <c r="R20" s="111" t="inlineStr">
        <is>
          <t>Acceptance checked and moved to Done 2026-10-15 (rcfworks): criterion met, tests green, live in staging and production.</t>
        </is>
      </c>
    </row>
    <row r="21" ht="23.85" customHeight="1" s="75">
      <c r="A21" s="112" t="n">
        <v>18</v>
      </c>
      <c r="B21" s="113" t="inlineStr">
        <is>
          <t>3S3-FE-01</t>
        </is>
      </c>
      <c r="C21" s="85" t="n">
        <v>3</v>
      </c>
      <c r="D21" s="86" t="inlineStr">
        <is>
          <t>Sprint 3 · Sponsor matching</t>
        </is>
      </c>
      <c r="E21" s="121" t="inlineStr">
        <is>
          <t>FE</t>
        </is>
      </c>
      <c r="F21" s="122" t="inlineStr">
        <is>
          <t>Code</t>
        </is>
      </c>
      <c r="G21" s="84" t="inlineStr">
        <is>
          <t>Build the sponsor match explorer</t>
        </is>
      </c>
      <c r="H21" s="116" t="inlineStr">
        <is>
          <t>Ranked athletes, properties and inventory with match scores and readable reasons, plus shortlist saving.</t>
        </is>
      </c>
      <c r="I21" s="108" t="inlineStr">
        <is>
          <t>Done</t>
        </is>
      </c>
      <c r="J21" s="108" t="n">
        <v>5</v>
      </c>
      <c r="K21" s="109" t="n">
        <v>46308</v>
      </c>
      <c r="L21" s="109" t="n">
        <v>46308</v>
      </c>
      <c r="M21" s="110" t="inlineStr">
        <is>
          <t>HeckerCreatives</t>
        </is>
      </c>
      <c r="N21" s="85" t="n">
        <v>0</v>
      </c>
      <c r="O21" s="84" t="inlineStr">
        <is>
          <t>3S3-BE-02</t>
        </is>
      </c>
      <c r="P21" s="84" t="inlineStr">
        <is>
          <t>Explorer ranks, explains and saves shortlists</t>
        </is>
      </c>
      <c r="Q21" s="86" t="inlineStr">
        <is>
          <t>Spec §16 P3-02</t>
        </is>
      </c>
      <c r="R21" s="111" t="inlineStr">
        <is>
          <t>UI built 2026-10-13 (branch feature/3S-FE-phase3-screens): /admin/intelligence/matching, against the proposed contract in documentation/SponsorX-Phase3-Screen-Contracts.md. Until 3S3-BE-02 is mounted the screen shows EnginePending and no figures (owner decision: FE only, honest empty states); ?demo=sample previews the live layout in development only. Marked Done by the owner 2026-10-13 (UI complete); when 3S3-BE-02 lands, walk the screen against it. QA 2026-10-13 at 390 / 1366 / 1920 px as BTG admin, sponsor, property manager and Finance: 78/78 page checks (no horizontal overflow, no console errors, role gating), screenshot review and interaction pass; defects found were fixed and re-walked. Engine landed 2026-10-14 (3S3-BE-01/02/03); walked live 2026-10-15: ranked athletes/properties/inventory for a real brief, factor drawer, shortlist saved. Change: Sales reads but cannot save (API 403) so the screen offers picks/Save only to BTG admins, campaign and network managers (canSaveShortlist). Sponsor brief drawer now sends excludedCategories, channels, audienceTiers, audienceMinFollowers.</t>
        </is>
      </c>
    </row>
    <row r="22" ht="22.35" customHeight="1" s="75">
      <c r="A22" s="104" t="n">
        <v>19</v>
      </c>
      <c r="B22" s="105" t="inlineStr">
        <is>
          <t>3S4-DATA-01</t>
        </is>
      </c>
      <c r="C22" s="81" t="n">
        <v>4</v>
      </c>
      <c r="D22" s="82" t="inlineStr">
        <is>
          <t>Sprint 4 · Forecasting &amp; pacing</t>
        </is>
      </c>
      <c r="E22" s="143" t="inlineStr">
        <is>
          <t>DATA</t>
        </is>
      </c>
      <c r="F22" s="120" t="inlineStr">
        <is>
          <t>Code</t>
        </is>
      </c>
      <c r="G22" s="80" t="inlineStr">
        <is>
          <t>Daily pacing job</t>
        </is>
      </c>
      <c r="H22" s="107" t="inlineStr">
        <is>
          <t>Compare elapsed campaign time against delivered metrics, every day.</t>
        </is>
      </c>
      <c r="I22" s="108" t="inlineStr">
        <is>
          <t>Done</t>
        </is>
      </c>
      <c r="J22" s="108" t="n">
        <v>3</v>
      </c>
      <c r="K22" s="109" t="n">
        <v>46309</v>
      </c>
      <c r="L22" s="109" t="n">
        <v>46310</v>
      </c>
      <c r="M22" s="110" t="inlineStr">
        <is>
          <t>rcfworks</t>
        </is>
      </c>
      <c r="N22" s="81" t="n">
        <v>0</v>
      </c>
      <c r="O22" s="80" t="inlineStr">
        <is>
          <t>3S1-DATA-02</t>
        </is>
      </c>
      <c r="P22" s="80" t="inlineStr">
        <is>
          <t>Pacing computes nightly for every active campaign</t>
        </is>
      </c>
      <c r="Q22" s="82" t="inlineStr">
        <is>
          <t>Spec §17.3</t>
        </is>
      </c>
      <c r="R22" s="111" t="inlineStr">
        <is>
          <t>Acceptance checked and moved to Done 2026-10-15 (rcfworks): criterion met, tests green, live in staging and production.</t>
        </is>
      </c>
    </row>
    <row r="23" ht="15" customHeight="1" s="75">
      <c r="A23" s="112" t="n">
        <v>20</v>
      </c>
      <c r="B23" s="113" t="inlineStr">
        <is>
          <t>3S4-BE-01</t>
        </is>
      </c>
      <c r="C23" s="85" t="n">
        <v>4</v>
      </c>
      <c r="D23" s="86" t="inlineStr">
        <is>
          <t>Sprint 4 · Forecasting &amp; pacing</t>
        </is>
      </c>
      <c r="E23" s="137" t="inlineStr">
        <is>
          <t>BE</t>
        </is>
      </c>
      <c r="F23" s="122" t="inlineStr">
        <is>
          <t>Code</t>
        </is>
      </c>
      <c r="G23" s="84" t="inlineStr">
        <is>
          <t>Delivery forecast service</t>
        </is>
      </c>
      <c r="H23" s="116" t="inlineStr">
        <is>
          <t>Estimate final impressions and the probability of hitting the guarantee, and keep every historical forecast so the model can be judged later.</t>
        </is>
      </c>
      <c r="I23" s="108" t="inlineStr">
        <is>
          <t>Done</t>
        </is>
      </c>
      <c r="J23" s="108" t="n">
        <v>5</v>
      </c>
      <c r="K23" s="109" t="n">
        <v>46309</v>
      </c>
      <c r="L23" s="109" t="n">
        <v>46310</v>
      </c>
      <c r="M23" s="110" t="inlineStr">
        <is>
          <t>rcfworks</t>
        </is>
      </c>
      <c r="N23" s="85" t="n">
        <v>0</v>
      </c>
      <c r="O23" s="84" t="inlineStr">
        <is>
          <t>3S4-DATA-01</t>
        </is>
      </c>
      <c r="P23" s="84" t="inlineStr">
        <is>
          <t>Forecast refreshes automatically and persists historical forecasts</t>
        </is>
      </c>
      <c r="Q23" s="86" t="inlineStr">
        <is>
          <t>Spec §17.3, §22</t>
        </is>
      </c>
      <c r="R23" s="111" t="inlineStr">
        <is>
          <t>Acceptance checked and moved to Done 2026-10-15 (rcfworks): criterion met, tests green, live in staging and production. QA 2026-10-15 (HeckerCreatives): a guarantee could be set on a campaign past its end date (still ACTIVE, never forecast) — now 422 'ended on …' (setGuarantee, test fo_Z).</t>
        </is>
      </c>
    </row>
    <row r="24" ht="23.85" customHeight="1" s="75">
      <c r="A24" s="104" t="n">
        <v>21</v>
      </c>
      <c r="B24" s="105" t="inlineStr">
        <is>
          <t>3S4-BE-02</t>
        </is>
      </c>
      <c r="C24" s="81" t="n">
        <v>4</v>
      </c>
      <c r="D24" s="82" t="inlineStr">
        <is>
          <t>Sprint 4 · Forecasting &amp; pacing</t>
        </is>
      </c>
      <c r="E24" s="139" t="inlineStr">
        <is>
          <t>BE</t>
        </is>
      </c>
      <c r="F24" s="120" t="inlineStr">
        <is>
          <t>Code</t>
        </is>
      </c>
      <c r="G24" s="80" t="inlineStr">
        <is>
          <t>Risk thresholds and alerting</t>
        </is>
      </c>
      <c r="H24" s="107" t="inlineStr">
        <is>
          <t>Campaigns crossing a risk threshold raise an alert with a recommended action — accelerate content, add a deliverable, change channel, or reserve make-good inventory.</t>
        </is>
      </c>
      <c r="I24" s="108" t="inlineStr">
        <is>
          <t>Done</t>
        </is>
      </c>
      <c r="J24" s="108" t="n">
        <v>3</v>
      </c>
      <c r="K24" s="109" t="n">
        <v>46309</v>
      </c>
      <c r="L24" s="109" t="n">
        <v>46310</v>
      </c>
      <c r="M24" s="110" t="inlineStr">
        <is>
          <t>rcfworks</t>
        </is>
      </c>
      <c r="N24" s="81" t="n">
        <v>0</v>
      </c>
      <c r="O24" s="80" t="inlineStr">
        <is>
          <t>3S4-BE-01</t>
        </is>
      </c>
      <c r="P24" s="80" t="inlineStr">
        <is>
          <t>At-risk campaigns generate actionable alerts before campaign end, not after</t>
        </is>
      </c>
      <c r="Q24" s="82" t="inlineStr">
        <is>
          <t>Spec §17.3, §22</t>
        </is>
      </c>
      <c r="R24" s="111" t="inlineStr">
        <is>
          <t>Acceptance checked and moved to Done 2026-10-15 (rcfworks): criterion met, tests green, live in staging and production.</t>
        </is>
      </c>
    </row>
    <row r="25" ht="32.8" customHeight="1" s="75">
      <c r="A25" s="112" t="n">
        <v>22</v>
      </c>
      <c r="B25" s="113" t="inlineStr">
        <is>
          <t>3S4-FE-01</t>
        </is>
      </c>
      <c r="C25" s="85" t="n">
        <v>4</v>
      </c>
      <c r="D25" s="86" t="inlineStr">
        <is>
          <t>Sprint 4 · Forecasting &amp; pacing</t>
        </is>
      </c>
      <c r="E25" s="121" t="inlineStr">
        <is>
          <t>FE</t>
        </is>
      </c>
      <c r="F25" s="122" t="inlineStr">
        <is>
          <t>Code</t>
        </is>
      </c>
      <c r="G25" s="84" t="inlineStr">
        <is>
          <t>Build the campaign forecast dashboard</t>
        </is>
      </c>
      <c r="H25" s="116" t="inlineStr">
        <is>
          <t>Projected final delivery, probability of guarantee, pacing chart, risk factors and recommended actions.</t>
        </is>
      </c>
      <c r="I25" s="108" t="inlineStr">
        <is>
          <t>Done</t>
        </is>
      </c>
      <c r="J25" s="108" t="n">
        <v>5</v>
      </c>
      <c r="K25" s="109" t="n">
        <v>46308</v>
      </c>
      <c r="L25" s="109" t="n">
        <v>46308</v>
      </c>
      <c r="M25" s="110" t="inlineStr">
        <is>
          <t>HeckerCreatives</t>
        </is>
      </c>
      <c r="N25" s="85" t="n">
        <v>0</v>
      </c>
      <c r="O25" s="84" t="inlineStr">
        <is>
          <t>3S4-BE-01</t>
        </is>
      </c>
      <c r="P25" s="84" t="inlineStr">
        <is>
          <t>Dashboard shows pacing and risk for every active campaign</t>
        </is>
      </c>
      <c r="Q25" s="86" t="inlineStr">
        <is>
          <t>Spec §16 P3-03</t>
        </is>
      </c>
      <c r="R25" s="111" t="inlineStr">
        <is>
          <t>UI built 2026-10-13 (branch feature/3S-FE-phase3-screens): /admin/intelligence/forecasts, against the proposed contract in documentation/SponsorX-Phase3-Screen-Contracts.md. Until 3S4-BE-01 is mounted the screen shows EnginePending and no figures (owner decision: FE only, honest empty states); ?demo=sample previews the live layout in development only. Marked Done by the owner 2026-10-13 (UI complete); when 3S4-BE-01 lands, walk the screen against it. QA 2026-10-13 at 390 / 1366 / 1920 px as BTG admin, sponsor, property manager and Finance: 78/78 page checks (no horizontal overflow, no console errors, role gating), screenshot review and interaction pass; defects found were fixed and re-walked. Engine landed 2026-10-14 (3S4-DATA-01, 3S4-BE-01/02); walked live 2026-10-15: 2 active campaigns forecast, at-risk alert, pacing chart. Added the engine's one write the proposal lacked: the guarantee control on the detail page (PUT …/guarantee, BTG admins + campaign managers; Sales locked; applies from tonight's forecast).
QA round three 2026-10-19: the detail now renders the API's makeGoods as a Make-goods card (status, substitute, decider, run window) instead of only linking to the centre.</t>
        </is>
      </c>
    </row>
    <row r="26" ht="23.85" customHeight="1" s="75">
      <c r="A26" s="104" t="n">
        <v>23</v>
      </c>
      <c r="B26" s="105" t="inlineStr">
        <is>
          <t>3S5-BE-01</t>
        </is>
      </c>
      <c r="C26" s="81" t="n">
        <v>5</v>
      </c>
      <c r="D26" s="82" t="inlineStr">
        <is>
          <t>Sprint 5 · Make-good optimiser</t>
        </is>
      </c>
      <c r="E26" s="139" t="inlineStr">
        <is>
          <t>BE</t>
        </is>
      </c>
      <c r="F26" s="120" t="inlineStr">
        <is>
          <t>Code</t>
        </is>
      </c>
      <c r="G26" s="80" t="inlineStr">
        <is>
          <t>Make-good recommendation engine</t>
        </is>
      </c>
      <c r="H26" s="107" t="inlineStr">
        <is>
          <t>Given a shortfall, find substitute inventory of equivalent value that is actually available and does not create a category conflict.</t>
        </is>
      </c>
      <c r="I26" s="108" t="inlineStr">
        <is>
          <t>Done</t>
        </is>
      </c>
      <c r="J26" s="108" t="n">
        <v>5</v>
      </c>
      <c r="K26" s="109" t="n">
        <v>46310</v>
      </c>
      <c r="L26" s="109" t="n">
        <v>46310</v>
      </c>
      <c r="M26" s="110" t="inlineStr">
        <is>
          <t>rcfworks</t>
        </is>
      </c>
      <c r="N26" s="81" t="n">
        <v>0</v>
      </c>
      <c r="O26" s="80" t="inlineStr">
        <is>
          <t>3S4-BE-01</t>
        </is>
      </c>
      <c r="P26" s="80" t="inlineStr">
        <is>
          <t>Recommendations respect sponsor target, availability, exclusivity and estimated value equivalence</t>
        </is>
      </c>
      <c r="Q26" s="82" t="inlineStr">
        <is>
          <t>Spec §22</t>
        </is>
      </c>
      <c r="R26" s="111" t="inlineStr">
        <is>
          <t>Built 2026-10-15 (branch development/bob/be_batch_0924): nightly shortfall per at-risk campaign (guarantee − forecast, valued at what the sponsor paid per unit) with substitutes from the tenant's inventory — match engine's exclusivity/brand-safety filter, then the purchase paths' availability check over 14 days from tomorrow (user, 2026-10-15); each option has available / exclusivity / target checks, estimated delivery, equivalency and cost impact; up to 5 passing + 2 closer near-misses. GET /intelligence/make-goods, permission makeGood (RBAC §31). documentation/SponsorX-Make-Goods.md; tests/makegood.test.ts. Acceptance checked and moved to Done 2026-10-15 (rcfworks): criterion met, tests green, live in staging and production.</t>
        </is>
      </c>
    </row>
    <row r="27" ht="23.85" customHeight="1" s="75">
      <c r="A27" s="112" t="n">
        <v>24</v>
      </c>
      <c r="B27" s="113" t="inlineStr">
        <is>
          <t>3S5-BE-02</t>
        </is>
      </c>
      <c r="C27" s="85" t="n">
        <v>5</v>
      </c>
      <c r="D27" s="86" t="inlineStr">
        <is>
          <t>Sprint 5 · Make-good optimiser</t>
        </is>
      </c>
      <c r="E27" s="137" t="inlineStr">
        <is>
          <t>BE</t>
        </is>
      </c>
      <c r="F27" s="122" t="inlineStr">
        <is>
          <t>Code</t>
        </is>
      </c>
      <c r="G27" s="84" t="inlineStr">
        <is>
          <t>Make-good approval workflow</t>
        </is>
      </c>
      <c r="H27" s="116" t="inlineStr">
        <is>
          <t>A make-good changes what a sponsor was sold, so it needs approval and an audit trail.</t>
        </is>
      </c>
      <c r="I27" s="108" t="inlineStr">
        <is>
          <t>Done</t>
        </is>
      </c>
      <c r="J27" s="108" t="n">
        <v>3</v>
      </c>
      <c r="K27" s="109" t="n">
        <v>46310</v>
      </c>
      <c r="L27" s="109" t="n">
        <v>46310</v>
      </c>
      <c r="M27" s="110" t="inlineStr">
        <is>
          <t>rcfworks</t>
        </is>
      </c>
      <c r="N27" s="85" t="n">
        <v>0</v>
      </c>
      <c r="O27" s="84" t="inlineStr">
        <is>
          <t>3S5-BE-01</t>
        </is>
      </c>
      <c r="P27" s="84" t="inlineStr">
        <is>
          <t>Make-good approval is recorded, audited and reflected in the campaign</t>
        </is>
      </c>
      <c r="Q27" s="86" t="inlineStr">
        <is>
          <t>Spec §18</t>
        </is>
      </c>
      <c r="R27" s="111" t="inlineStr">
        <is>
          <t>Built 2026-10-15: POST /intelligence/make-goods/{id}/approve by BTG admins and campaign managers with a note, plus automatic approval by SponsorX when every safety check passes (user, 2026-10-15: all checks, ≥90% coverage, no extra cost, no minor/school/age-gated category, verified estimate, ≥80% of flight gone); otherwise held with the reasons. Live re-check under the inventory lock, units committed (InventoryCommitment MAKE_GOOD), decision final (DB trigger), audited (makeGood.approve / makeGood.autoApprove), shown on the campaign detail and forecast. Note: the verified-estimate and 80%-of-flight conditions were proposed in the build and approved by the user 2026-10-15; they bind only the automatic approval (a person can approve any passing substitute at any time). Acceptance checked and moved to Done 2026-10-15 (rcfworks): criterion met, tests green, live in staging and production.</t>
        </is>
      </c>
    </row>
    <row r="28" ht="23.85" customHeight="1" s="75">
      <c r="A28" s="104" t="n">
        <v>25</v>
      </c>
      <c r="B28" s="105" t="inlineStr">
        <is>
          <t>3S5-FE-01</t>
        </is>
      </c>
      <c r="C28" s="81" t="n">
        <v>5</v>
      </c>
      <c r="D28" s="82" t="inlineStr">
        <is>
          <t>Sprint 5 · Make-good optimiser</t>
        </is>
      </c>
      <c r="E28" s="119" t="inlineStr">
        <is>
          <t>FE</t>
        </is>
      </c>
      <c r="F28" s="120" t="inlineStr">
        <is>
          <t>Code</t>
        </is>
      </c>
      <c r="G28" s="80" t="inlineStr">
        <is>
          <t>Build the make-good recommendation centre</t>
        </is>
      </c>
      <c r="H28" s="107" t="inlineStr">
        <is>
          <t>Shortfall amount, substitute options, equivalency score, cost impact and the approval action.</t>
        </is>
      </c>
      <c r="I28" s="108" t="inlineStr">
        <is>
          <t>Done</t>
        </is>
      </c>
      <c r="J28" s="108" t="n">
        <v>5</v>
      </c>
      <c r="K28" s="109" t="n">
        <v>46308</v>
      </c>
      <c r="L28" s="109" t="n">
        <v>46308</v>
      </c>
      <c r="M28" s="110" t="inlineStr">
        <is>
          <t>HeckerCreatives</t>
        </is>
      </c>
      <c r="N28" s="81" t="n">
        <v>0</v>
      </c>
      <c r="O28" s="80" t="inlineStr">
        <is>
          <t>3S5-BE-01</t>
        </is>
      </c>
      <c r="P28" s="80" t="inlineStr">
        <is>
          <t>Centre surfaces shortfalls and lets a manager approve a substitution</t>
        </is>
      </c>
      <c r="Q28" s="82" t="inlineStr">
        <is>
          <t>Spec §16 P3-04</t>
        </is>
      </c>
      <c r="R28" s="111" t="inlineStr">
        <is>
          <t>UI built 2026-10-13 (branch feature/3S-FE-phase3-screens): /admin/intelligence/make-goods, against the proposed contract in documentation/SponsorX-Phase3-Screen-Contracts.md. Until 3S5-BE-01 is mounted the screen shows EnginePending and no figures (owner decision: FE only, honest empty states); ?demo=sample previews the live layout in development only. Marked Done by the owner 2026-10-13 (UI complete); when 3S5-BE-01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3S5-BE-01/02's shape (status, automatic.heldBecause, decision.automatic/runsFrom/runsUntil, the API's note rule) and walked live.
QA round two 2026-10-19: held shortfall walked through the drawer (3 reasons, 3 substitutes, a person's approval, 409 after). Fixed: the shared count-up tile (ops-fx OpsCount) kept the previous number when a figure fell to 0 after a server-action refresh.</t>
        </is>
      </c>
    </row>
    <row r="29" ht="23.85" customHeight="1" s="75">
      <c r="A29" s="112" t="n">
        <v>26</v>
      </c>
      <c r="B29" s="113" t="inlineStr">
        <is>
          <t>3S6-BE-01</t>
        </is>
      </c>
      <c r="C29" s="85" t="n">
        <v>6</v>
      </c>
      <c r="D29" s="86" t="inlineStr">
        <is>
          <t>Sprint 6 · Attribution framework</t>
        </is>
      </c>
      <c r="E29" s="137" t="inlineStr">
        <is>
          <t>BE</t>
        </is>
      </c>
      <c r="F29" s="122" t="inlineStr">
        <is>
          <t>Code</t>
        </is>
      </c>
      <c r="G29" s="84" t="inlineStr">
        <is>
          <t>Attribution adapter framework</t>
        </is>
      </c>
      <c r="H29" s="116" t="inlineStr">
        <is>
          <t>Attribution is pluggable, never universal. Each adapter declares its method, lookback window and match approach.</t>
        </is>
      </c>
      <c r="I29" s="108" t="inlineStr">
        <is>
          <t>Done</t>
        </is>
      </c>
      <c r="J29" s="108" t="n">
        <v>5</v>
      </c>
      <c r="K29" s="109" t="n">
        <v>46310</v>
      </c>
      <c r="L29" s="109" t="n">
        <v>46310</v>
      </c>
      <c r="M29" s="110" t="inlineStr">
        <is>
          <t>rcfworks</t>
        </is>
      </c>
      <c r="N29" s="85" t="n">
        <v>0</v>
      </c>
      <c r="O29" s="84" t="inlineStr">
        <is>
          <t>3S0-PMO-01</t>
        </is>
      </c>
      <c r="P29" s="84" t="inlineStr">
        <is>
          <t>A new attribution partner can be added as an adapter without changing the engine</t>
        </is>
      </c>
      <c r="Q29" s="86" t="inlineStr">
        <is>
          <t>Spec §17.4</t>
        </is>
      </c>
      <c r="R29" s="111" t="inlineStr">
        <is>
          <t>Built 2026-10-15 (rcfworks): adapter interface + registry (deterministic first, lookback, exact keys), generic-webhook-v1, partners with a once-shown token, public Bearer-token intake, every delivery kept with events and problems; a second adapter registered in the test with no engine change. Permission attribution (RBAC §36). documentation/SponsorX-Attribution-Framework.md. | Done 2026-10-15: merged (#234); a second adapter added in the test with no engine change.</t>
        </is>
      </c>
    </row>
    <row r="30" ht="23.85" customHeight="1" s="75">
      <c r="A30" s="104" t="n">
        <v>27</v>
      </c>
      <c r="B30" s="105" t="inlineStr">
        <is>
          <t>3S6-BE-02</t>
        </is>
      </c>
      <c r="C30" s="81" t="n">
        <v>6</v>
      </c>
      <c r="D30" s="82" t="inlineStr">
        <is>
          <t>Sprint 6 · Attribution framework</t>
        </is>
      </c>
      <c r="E30" s="139" t="inlineStr">
        <is>
          <t>BE</t>
        </is>
      </c>
      <c r="F30" s="120" t="inlineStr">
        <is>
          <t>Code</t>
        </is>
      </c>
      <c r="G30" s="80" t="inlineStr">
        <is>
          <t>Normalised attribution event model</t>
        </is>
      </c>
      <c r="H30" s="107" t="inlineStr">
        <is>
          <t>Partner events normalise into one shape carrying source, method, window, confidence and the matched entities.</t>
        </is>
      </c>
      <c r="I30" s="108" t="inlineStr">
        <is>
          <t>Done</t>
        </is>
      </c>
      <c r="J30" s="108" t="n">
        <v>5</v>
      </c>
      <c r="K30" s="109" t="n">
        <v>46311</v>
      </c>
      <c r="L30" s="109" t="n">
        <v>46311</v>
      </c>
      <c r="M30" s="110" t="inlineStr">
        <is>
          <t>rcfworks</t>
        </is>
      </c>
      <c r="N30" s="81" t="n">
        <v>0</v>
      </c>
      <c r="O30" s="80" t="inlineStr">
        <is>
          <t>3S6-BE-01</t>
        </is>
      </c>
      <c r="P30" s="80" t="inlineStr">
        <is>
          <t>Attribution events identify source, method and confidence; modelled revenue is never labelled verified</t>
        </is>
      </c>
      <c r="Q30" s="82" t="inlineStr">
        <is>
          <t>Spec §19, §22</t>
        </is>
      </c>
      <c r="R30" s="111" t="inlineStr">
        <is>
          <t>Built 2026-10-16 (rcfworks): PartnerSaleAttribution: source, method, key, window, confidence, model version; DB refuses a modelled sale labelled verified. SponsorX-Attribution-Matching.md §1.</t>
        </is>
      </c>
    </row>
    <row r="31" ht="23.85" customHeight="1" s="75">
      <c r="A31" s="112" t="n">
        <v>28</v>
      </c>
      <c r="B31" s="113" t="inlineStr">
        <is>
          <t>3S6-BE-03</t>
        </is>
      </c>
      <c r="C31" s="85" t="n">
        <v>6</v>
      </c>
      <c r="D31" s="86" t="inlineStr">
        <is>
          <t>Sprint 6 · Attribution framework</t>
        </is>
      </c>
      <c r="E31" s="137" t="inlineStr">
        <is>
          <t>BE</t>
        </is>
      </c>
      <c r="F31" s="122" t="inlineStr">
        <is>
          <t>Code</t>
        </is>
      </c>
      <c r="G31" s="84" t="inlineStr">
        <is>
          <t>Deterministic-first matching engine</t>
        </is>
      </c>
      <c r="H31" s="116" t="inlineStr">
        <is>
          <t>Try the exact match first — reward token, order ID, partner click ID. Only fall back to probabilistic matching, and mark it explicitly when you do.</t>
        </is>
      </c>
      <c r="I31" s="108" t="inlineStr">
        <is>
          <t>Done</t>
        </is>
      </c>
      <c r="J31" s="108" t="n">
        <v>5</v>
      </c>
      <c r="K31" s="109" t="n">
        <v>46311</v>
      </c>
      <c r="L31" s="109" t="n">
        <v>46311</v>
      </c>
      <c r="M31" s="110" t="inlineStr">
        <is>
          <t>rcfworks</t>
        </is>
      </c>
      <c r="N31" s="85" t="n">
        <v>0</v>
      </c>
      <c r="O31" s="84" t="inlineStr">
        <is>
          <t>3S6-BE-02</t>
        </is>
      </c>
      <c r="P31" s="84" t="inlineStr">
        <is>
          <t>Deterministic matches are attempted first; probabilistic matches carry an explicit method and confidence</t>
        </is>
      </c>
      <c r="Q31" s="86" t="inlineStr">
        <is>
          <t>Spec §17.4</t>
        </is>
      </c>
      <c r="R31" s="111" t="inlineStr">
        <is>
          <t>Built 2026-10-16 (rcfworks): Exact first (token, click id, order id) inside the window; modelled fallback attr-geo-time@0.1.0 only when no key matched and the adapter declares it. Sponsor hub reads it. SponsorX-Attribution-Matching.md §2.</t>
        </is>
      </c>
    </row>
    <row r="32" ht="23.85" customHeight="1" s="75">
      <c r="A32" s="104" t="n">
        <v>29</v>
      </c>
      <c r="B32" s="105" t="inlineStr">
        <is>
          <t>3S6-BE-04</t>
        </is>
      </c>
      <c r="C32" s="81" t="n">
        <v>6</v>
      </c>
      <c r="D32" s="82" t="inlineStr">
        <is>
          <t>Sprint 6 · Attribution framework</t>
        </is>
      </c>
      <c r="E32" s="139" t="inlineStr">
        <is>
          <t>BE</t>
        </is>
      </c>
      <c r="F32" s="120" t="inlineStr">
        <is>
          <t>Code</t>
        </is>
      </c>
      <c r="G32" s="80" t="inlineStr">
        <is>
          <t>Reconciliation queue for unmatched events</t>
        </is>
      </c>
      <c r="H32" s="107" t="inlineStr">
        <is>
          <t>Events that cannot be matched stay visible rather than disappearing. Silent data loss is worse than visible gaps.</t>
        </is>
      </c>
      <c r="I32" s="108" t="inlineStr">
        <is>
          <t>Done</t>
        </is>
      </c>
      <c r="J32" s="108" t="n">
        <v>3</v>
      </c>
      <c r="K32" s="109" t="n">
        <v>46311</v>
      </c>
      <c r="L32" s="109" t="n">
        <v>46311</v>
      </c>
      <c r="M32" s="110" t="inlineStr">
        <is>
          <t>rcfworks</t>
        </is>
      </c>
      <c r="N32" s="81" t="n">
        <v>0</v>
      </c>
      <c r="O32" s="80" t="inlineStr">
        <is>
          <t>3S6-BE-03</t>
        </is>
      </c>
      <c r="P32" s="80" t="inlineStr">
        <is>
          <t>Unmatched and ambiguous events remain in a reviewable queue</t>
        </is>
      </c>
      <c r="Q32" s="82" t="inlineStr">
        <is>
          <t>Spec §17.4</t>
        </is>
      </c>
      <c r="R32" s="111" t="inlineStr">
        <is>
          <t>Built 2026-10-16 (rcfworks): Queue with reasons (no_match, ambiguous, outside_window, unknown_token); nightly retry; BTG dismiss with reason, audited, stays visible. GET /intelligence/attribution. SponsorX-Attribution-Matching.md §3.
QA 2026-10-19 (HeckerCreatives, with the screen): dismissed.by resolved through peopleWords; dismissing a dismissed/matched sale is 409 attribution_decided, unknown id stays 404; test updated.
QA round three 2026-10-19 (HeckerCreatives): a dismissal that loses the race answers 409 attribution_decided, not 404.</t>
        </is>
      </c>
    </row>
    <row r="33" ht="23.85" customHeight="1" s="75">
      <c r="A33" s="112" t="n">
        <v>30</v>
      </c>
      <c r="B33" s="113" t="inlineStr">
        <is>
          <t>3S6-FE-01</t>
        </is>
      </c>
      <c r="C33" s="85" t="n">
        <v>6</v>
      </c>
      <c r="D33" s="86" t="inlineStr">
        <is>
          <t>Sprint 6 · Attribution framework</t>
        </is>
      </c>
      <c r="E33" s="121" t="inlineStr">
        <is>
          <t>FE</t>
        </is>
      </c>
      <c r="F33" s="122" t="inlineStr">
        <is>
          <t>Code</t>
        </is>
      </c>
      <c r="G33" s="84" t="inlineStr">
        <is>
          <t>Build the attribution dashboard</t>
        </is>
      </c>
      <c r="H33" s="116" t="inlineStr">
        <is>
          <t>Attributed transactions, revenue, method, window, confidence and unmatched events — with the four classes visually distinct.</t>
        </is>
      </c>
      <c r="I33" s="108" t="inlineStr">
        <is>
          <t>Done</t>
        </is>
      </c>
      <c r="J33" s="108" t="n">
        <v>5</v>
      </c>
      <c r="K33" s="109" t="n">
        <v>46308</v>
      </c>
      <c r="L33" s="109" t="n">
        <v>46308</v>
      </c>
      <c r="M33" s="110" t="inlineStr">
        <is>
          <t>HeckerCreatives</t>
        </is>
      </c>
      <c r="N33" s="85" t="n">
        <v>0</v>
      </c>
      <c r="O33" s="84" t="inlineStr">
        <is>
          <t>3S6-BE-02</t>
        </is>
      </c>
      <c r="P33" s="84" t="inlineStr">
        <is>
          <t>Dashboard distinguishes verified redemptions, verified transactions, modelled attribution and estimated media value</t>
        </is>
      </c>
      <c r="Q33" s="86" t="inlineStr">
        <is>
          <t>Spec §16 P3-05</t>
        </is>
      </c>
      <c r="R33" s="111" t="inlineStr">
        <is>
          <t>UI built 2026-10-13 (branch feature/3S-FE-phase3-screens): /admin/intelligence/attribution, against the proposed contract in documentation/SponsorX-Phase3-Screen-Contracts.md. Until 3S6-BE-02 is mounted the screen shows EnginePending and no figures (owner decision: FE only, honest empty states); ?demo=sample previews the live layout in development only. Marked Done by the owner 2026-10-13 (UI complete); when 3S6-BE-02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3S6-BE-02/03/04 (refund rows, keysGiven, dismissed entries, unknown-campaign 404) and walked live; Dismiss write added for BTG admins.
QA 2026-10-19: dismissed.by is words (email (Role) / a former user), second dismiss is 409 attribution_decided; switched-off reads say 'Switched off'.</t>
        </is>
      </c>
    </row>
    <row r="34" ht="35.05" customHeight="1" s="75">
      <c r="A34" s="104" t="n">
        <v>31</v>
      </c>
      <c r="B34" s="105" t="inlineStr">
        <is>
          <t>3S7-FE-01</t>
        </is>
      </c>
      <c r="C34" s="81" t="n">
        <v>7</v>
      </c>
      <c r="D34" s="82" t="inlineStr">
        <is>
          <t>Sprint 7 · Intelligence dashboards</t>
        </is>
      </c>
      <c r="E34" s="119" t="inlineStr">
        <is>
          <t>FE</t>
        </is>
      </c>
      <c r="F34" s="120" t="inlineStr">
        <is>
          <t>Code</t>
        </is>
      </c>
      <c r="G34" s="80" t="inlineStr">
        <is>
          <t>Build the sponsor intelligence hub</t>
        </is>
      </c>
      <c r="H34" s="107" t="inlineStr">
        <is>
          <t>Cross-campaign insights, audience segments, best-performing formats and properties, renewal recommendations.</t>
        </is>
      </c>
      <c r="I34" s="108" t="inlineStr">
        <is>
          <t>Done</t>
        </is>
      </c>
      <c r="J34" s="108" t="n">
        <v>5</v>
      </c>
      <c r="K34" s="109" t="n">
        <v>46308</v>
      </c>
      <c r="L34" s="109" t="n">
        <v>46308</v>
      </c>
      <c r="M34" s="110" t="inlineStr">
        <is>
          <t>HeckerCreatives</t>
        </is>
      </c>
      <c r="N34" s="81" t="n">
        <v>0</v>
      </c>
      <c r="O34" s="80" t="inlineStr">
        <is>
          <t>3S1-DATA-02, 3S7-BE-02</t>
        </is>
      </c>
      <c r="P34" s="80" t="inlineStr">
        <is>
          <t>Hub renders cross-campaign intelligence for a sponsor</t>
        </is>
      </c>
      <c r="Q34" s="82" t="inlineStr">
        <is>
          <t>Spec §16 P3-06</t>
        </is>
      </c>
      <c r="R34" s="111" t="inlineStr">
        <is>
          <t>UI built 2026-10-13 (branch feature/3S-FE-phase3-screens): /sponsor/intelligence, against the proposed contract in documentation/SponsorX-Phase3-Screen-Contracts.md. Until 3S7-BE-02 is mounted the screen shows EnginePending and no figures (owner decision: FE only, honest empty states); ?demo=sample previews the live layout in development only. Marked Done by the owner 2026-10-13 (UI complete); when 3S7-BE-02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3S7-BE-02 (null EMV, zero cost-per-result, renewals.ended, AD_SLOT, empty segments) and walked live as the sponsor.</t>
        </is>
      </c>
    </row>
    <row r="35" ht="22.35" customHeight="1" s="75">
      <c r="A35" s="112" t="n">
        <v>32</v>
      </c>
      <c r="B35" s="113" t="inlineStr">
        <is>
          <t>3S7-FE-02</t>
        </is>
      </c>
      <c r="C35" s="85" t="n">
        <v>7</v>
      </c>
      <c r="D35" s="86" t="inlineStr">
        <is>
          <t>Sprint 7 · Intelligence dashboards</t>
        </is>
      </c>
      <c r="E35" s="121" t="inlineStr">
        <is>
          <t>FE</t>
        </is>
      </c>
      <c r="F35" s="122" t="inlineStr">
        <is>
          <t>Code</t>
        </is>
      </c>
      <c r="G35" s="84" t="inlineStr">
        <is>
          <t>Build the property intelligence hub</t>
        </is>
      </c>
      <c r="H35" s="116" t="inlineStr">
        <is>
          <t>Rate recommendations, revenue opportunity, sell-through, sponsor-category fit and a quality score.</t>
        </is>
      </c>
      <c r="I35" s="108" t="inlineStr">
        <is>
          <t>Done</t>
        </is>
      </c>
      <c r="J35" s="108" t="n">
        <v>5</v>
      </c>
      <c r="K35" s="109" t="n">
        <v>46308</v>
      </c>
      <c r="L35" s="109" t="n">
        <v>46308</v>
      </c>
      <c r="M35" s="110" t="inlineStr">
        <is>
          <t>HeckerCreatives</t>
        </is>
      </c>
      <c r="N35" s="85" t="n">
        <v>0</v>
      </c>
      <c r="O35" s="84" t="inlineStr">
        <is>
          <t>3S2-BE-02, 3S7-BE-02</t>
        </is>
      </c>
      <c r="P35" s="84" t="inlineStr">
        <is>
          <t>Hub renders rate and opportunity intelligence for a property</t>
        </is>
      </c>
      <c r="Q35" s="86" t="inlineStr">
        <is>
          <t>Spec §16 P3-07</t>
        </is>
      </c>
      <c r="R35" s="111" t="inlineStr">
        <is>
          <t>UI built 2026-10-13 (branch feature/3S-FE-phase3-screens): /property/intelligence, against the proposed contract in documentation/SponsorX-Phase3-Screen-Contracts.md. Until 3S7-BE-02 is mounted the screen shows EnginePending and no figures (owner decision: FE only, honest empty states); ?demo=sample previews the live layout in development only. Marked Done by the owner 2026-10-13 (UI complete); when 3S7-BE-02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3S7-BE-02 (listed-price opportunity, items not units, roster-only rates, 'Not a fit' reasons) and walked live as the property.</t>
        </is>
      </c>
    </row>
    <row r="36" ht="23.85" customHeight="1" s="75">
      <c r="A36" s="104" t="n">
        <v>33</v>
      </c>
      <c r="B36" s="105" t="inlineStr">
        <is>
          <t>3S7-BE-01</t>
        </is>
      </c>
      <c r="C36" s="81" t="n">
        <v>7</v>
      </c>
      <c r="D36" s="82" t="inlineStr">
        <is>
          <t>Sprint 7 · Intelligence dashboards</t>
        </is>
      </c>
      <c r="E36" s="139" t="inlineStr">
        <is>
          <t>BE</t>
        </is>
      </c>
      <c r="F36" s="120" t="inlineStr">
        <is>
          <t>Code</t>
        </is>
      </c>
      <c r="G36" s="80" t="inlineStr">
        <is>
          <t>Scenario planning service</t>
        </is>
      </c>
      <c r="H36" s="107" t="inlineStr">
        <is>
          <t>What-if: change budget, CPM, audience and inventory mix, and compare expected delivery and revenue.</t>
        </is>
      </c>
      <c r="I36" s="108" t="inlineStr">
        <is>
          <t>Done</t>
        </is>
      </c>
      <c r="J36" s="108" t="n">
        <v>5</v>
      </c>
      <c r="K36" s="109" t="n">
        <v>46310</v>
      </c>
      <c r="L36" s="109" t="n">
        <v>46310</v>
      </c>
      <c r="M36" s="110" t="inlineStr">
        <is>
          <t>rcfworks</t>
        </is>
      </c>
      <c r="N36" s="81" t="n">
        <v>0</v>
      </c>
      <c r="O36" s="80" t="inlineStr">
        <is>
          <t>3S4-BE-01</t>
        </is>
      </c>
      <c r="P36" s="80" t="inlineStr">
        <is>
          <t>A scenario can be created, calculated and compared against another</t>
        </is>
      </c>
      <c r="Q36" s="82" t="inlineStr">
        <is>
          <t>Spec §18</t>
        </is>
      </c>
      <c r="R36" s="111" t="inlineStr">
        <is>
          <t>Built 2026-10-15 (rcfworks): GET /intelligence/scenarios, POST …/calculate (stores nothing), POST /intelligence/scenarios (saved with stamp, to compare). Posts bought at the booked/catalogue price × the audience's verified views per post (p25/median/p75); chance of delivering what the CPM sells; expected revenue = budget reduced when delivery falls short (user, 2026-10-15). Permission scenario (RBAC §33). documentation/SponsorX-Scenarios.md; tests/scenarios.test.ts. | Done 2026-10-15: merged to main (#221/#223 via #222), acceptance met, tests green.
QA 2026-10-19 (HeckerCreatives): ScenarioInputs floor 0 not 1 for budgetCents/cpmCents so a zero reaches inputProblems' 422 sentence; ceilings unchanged.</t>
        </is>
      </c>
    </row>
    <row r="37" ht="23.85" customHeight="1" s="75">
      <c r="A37" s="112" t="n">
        <v>34</v>
      </c>
      <c r="B37" s="113" t="inlineStr">
        <is>
          <t>3S7-FE-03</t>
        </is>
      </c>
      <c r="C37" s="85" t="n">
        <v>7</v>
      </c>
      <c r="D37" s="86" t="inlineStr">
        <is>
          <t>Sprint 7 · Intelligence dashboards</t>
        </is>
      </c>
      <c r="E37" s="121" t="inlineStr">
        <is>
          <t>FE</t>
        </is>
      </c>
      <c r="F37" s="122" t="inlineStr">
        <is>
          <t>Code</t>
        </is>
      </c>
      <c r="G37" s="84" t="inlineStr">
        <is>
          <t>Build the scenario planner</t>
        </is>
      </c>
      <c r="H37" s="116" t="inlineStr">
        <is>
          <t>The sales-conversation screen: adjust the inputs live while a sponsor watches.</t>
        </is>
      </c>
      <c r="I37" s="108" t="inlineStr">
        <is>
          <t>Done</t>
        </is>
      </c>
      <c r="J37" s="108" t="n">
        <v>5</v>
      </c>
      <c r="K37" s="109" t="n">
        <v>46308</v>
      </c>
      <c r="L37" s="109" t="n">
        <v>46308</v>
      </c>
      <c r="M37" s="110" t="inlineStr">
        <is>
          <t>HeckerCreatives</t>
        </is>
      </c>
      <c r="N37" s="85" t="n">
        <v>0</v>
      </c>
      <c r="O37" s="84" t="inlineStr">
        <is>
          <t>3S7-BE-01</t>
        </is>
      </c>
      <c r="P37" s="84" t="inlineStr">
        <is>
          <t>Planner calculates and compares scenarios interactively</t>
        </is>
      </c>
      <c r="Q37" s="86" t="inlineStr">
        <is>
          <t>Spec §16 P3-08</t>
        </is>
      </c>
      <c r="R37" s="111" t="inlineStr">
        <is>
          <t>UI built 2026-10-13 (branch feature/3S-FE-phase3-screens): /admin/intelligence/scenarios, against the proposed contract in documentation/SponsorX-Phase3-Screen-Contracts.md. Until 3S7-BE-01 is mounted the screen shows EnginePending and no figures (owner decision: FE only, honest empty states); ?demo=sample previews the live layout in development only. Marked Done by the owner 2026-10-13 (UI complete); when 3S7-BE-01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3S7-BE-01 (savedBy, age-band labels, 422 words verbatim, integer bounds, name 120) and walked live incl. the scenarios flag off -&gt; pending.
QA 2026-10-19: switched-off state renders 'Switched off' (not 'not built yet'); budget 0 now answered in the engine's words.</t>
        </is>
      </c>
    </row>
    <row r="38" ht="22.35" customHeight="1" s="75">
      <c r="A38" s="104" t="n">
        <v>35</v>
      </c>
      <c r="B38" s="105" t="inlineStr">
        <is>
          <t>3S7-INT-01</t>
        </is>
      </c>
      <c r="C38" s="81" t="n">
        <v>7</v>
      </c>
      <c r="D38" s="82" t="inlineStr">
        <is>
          <t>Sprint 7 · Intelligence dashboards</t>
        </is>
      </c>
      <c r="E38" s="138" t="inlineStr">
        <is>
          <t>INT</t>
        </is>
      </c>
      <c r="F38" s="120" t="inlineStr">
        <is>
          <t>Code</t>
        </is>
      </c>
      <c r="G38" s="80" t="inlineStr">
        <is>
          <t>Push intelligence into Zoho</t>
        </is>
      </c>
      <c r="H38" s="107" t="inlineStr">
        <is>
          <t>Renewal scores, sponsor health and recommended next action flow back to the CRM where the sales team already works.</t>
        </is>
      </c>
      <c r="I38" s="108" t="inlineStr">
        <is>
          <t>Done</t>
        </is>
      </c>
      <c r="J38" s="108" t="n">
        <v>3</v>
      </c>
      <c r="K38" s="109" t="n">
        <v>46310</v>
      </c>
      <c r="L38" s="163" t="n">
        <v>46314</v>
      </c>
      <c r="M38" s="110" t="inlineStr">
        <is>
          <t>rcfworks</t>
        </is>
      </c>
      <c r="N38" s="81" t="n">
        <v>0</v>
      </c>
      <c r="O38" s="80" t="inlineStr">
        <is>
          <t>3S7-FE-01</t>
        </is>
      </c>
      <c r="P38" s="80" t="inlineStr">
        <is>
          <t>Zoho shows renewal score and recommended next action on the sponsor record</t>
        </is>
      </c>
      <c r="Q38" s="82" t="inlineStr">
        <is>
          <t>Spec §20</t>
        </is>
      </c>
      <c r="R38" s="111" t="inlineStr">
        <is>
          <t>2026-10-19 DONE (rcfworks): shown in the Zoho sandbox — a simulated campaign ending soon on staging (UAT 2610090617 Harborview Bakery) made the worker push SponsorX_Renewal_Score 86 and SponsorX_Next_Action 'Renew: … 86%' onto its Account; the other 22 Accounts carry their next action. Production fields follow P2-OPS-04's Zoho keys. | Built 2026-10-15 (rcfworks): SponsorX_Renewal_Score (0–100) and SponsorX_Next_Action on each sponsor's Zoho Account, from the hub's renewal advice; queued nightly (zoho.pushIntelligence) only for sponsors in Zoho whose values changed. Fields via npm run zoho:intel-fields -- --create: sandbox first, production with the owner's OK — still to run after deploy. Field mapping §12.3; tests/zoho-intelligence.test.ts. | Stays Code review 2026-10-15: 'Zoho shows renewal score and next action on the sponsor record' needs the two Account fields created (sandbox, then production with the owner's OK) and a push to land. | 2026-10-15: sandbox fields created and confirmed; production waits for go-live's Zoho keys (P2-OPS-04 note). Done when tonight's staging run lands the score and next action on a sandbox sponsor's Account.</t>
        </is>
      </c>
    </row>
    <row r="39" ht="23.85" customHeight="1" s="75">
      <c r="A39" s="112" t="n">
        <v>36</v>
      </c>
      <c r="B39" s="113" t="inlineStr">
        <is>
          <t>3S8-DATA-01</t>
        </is>
      </c>
      <c r="C39" s="85" t="n">
        <v>8</v>
      </c>
      <c r="D39" s="86" t="inlineStr">
        <is>
          <t>Sprint 8 · Anomaly detection &amp; model admin</t>
        </is>
      </c>
      <c r="E39" s="129" t="inlineStr">
        <is>
          <t>DATA</t>
        </is>
      </c>
      <c r="F39" s="122" t="inlineStr">
        <is>
          <t>Code</t>
        </is>
      </c>
      <c r="G39" s="84" t="inlineStr">
        <is>
          <t>Anomaly detection rules</t>
        </is>
      </c>
      <c r="H39" s="116" t="inlineStr">
        <is>
          <t>Improbable spikes, duplicate events, bot-like behaviour, suspicious redemption patterns and manual-entry inconsistencies.</t>
        </is>
      </c>
      <c r="I39" s="108" t="inlineStr">
        <is>
          <t>Done</t>
        </is>
      </c>
      <c r="J39" s="108" t="n">
        <v>5</v>
      </c>
      <c r="K39" s="109" t="n">
        <v>46310</v>
      </c>
      <c r="L39" s="109" t="n">
        <v>46310</v>
      </c>
      <c r="M39" s="110" t="inlineStr">
        <is>
          <t>rcfworks</t>
        </is>
      </c>
      <c r="N39" s="85" t="n">
        <v>0</v>
      </c>
      <c r="O39" s="84" t="inlineStr">
        <is>
          <t>3S1-DATA-02</t>
        </is>
      </c>
      <c r="P39" s="84" t="inlineStr">
        <is>
          <t>Anomaly console identifies seeded duplicate, bot and redemption test patterns</t>
        </is>
      </c>
      <c r="Q39" s="86" t="inlineStr">
        <is>
          <t>Spec §15, §22</t>
        </is>
      </c>
      <c r="R39" s="111" t="inlineStr">
        <is>
          <t>Built 2026-10-15 (rcfworks): seven nightly rules over 30 days (spike, duplicate post, bot clicks, redemption burst, repeat fan, manual 3× API, engagements &gt; views); flags kept once with rule/version/evidence; duplicate post excluded from reporting automatically (automation first), the rest held for a person; dispositions with a note, audited. Permission anomaly (RBAC §34). documentation/SponsorX-Anomalies.md; tests/anomalies.test.ts. | Done 2026-10-15: merged to main (#221/#223 via #222), acceptance met, tests green.</t>
        </is>
      </c>
    </row>
    <row r="40" ht="23.85" customHeight="1" s="75">
      <c r="A40" s="104" t="n">
        <v>37</v>
      </c>
      <c r="B40" s="105" t="inlineStr">
        <is>
          <t>3S8-FE-01</t>
        </is>
      </c>
      <c r="C40" s="81" t="n">
        <v>8</v>
      </c>
      <c r="D40" s="82" t="inlineStr">
        <is>
          <t>Sprint 8 · Anomaly detection &amp; model admin</t>
        </is>
      </c>
      <c r="E40" s="119" t="inlineStr">
        <is>
          <t>FE</t>
        </is>
      </c>
      <c r="F40" s="120" t="inlineStr">
        <is>
          <t>Code</t>
        </is>
      </c>
      <c r="G40" s="80" t="inlineStr">
        <is>
          <t>Build the data quality and anomaly console</t>
        </is>
      </c>
      <c r="H40" s="107" t="inlineStr">
        <is>
          <t>Flagged streams, suspicious redemptions, data-quality issues and the reviewer's disposition.</t>
        </is>
      </c>
      <c r="I40" s="108" t="inlineStr">
        <is>
          <t>Done</t>
        </is>
      </c>
      <c r="J40" s="108" t="n">
        <v>5</v>
      </c>
      <c r="K40" s="109" t="n">
        <v>46308</v>
      </c>
      <c r="L40" s="109" t="n">
        <v>46308</v>
      </c>
      <c r="M40" s="110" t="inlineStr">
        <is>
          <t>HeckerCreatives</t>
        </is>
      </c>
      <c r="N40" s="81" t="n">
        <v>0</v>
      </c>
      <c r="O40" s="80" t="inlineStr">
        <is>
          <t>3S8-DATA-01</t>
        </is>
      </c>
      <c r="P40" s="80" t="inlineStr">
        <is>
          <t>Reviewer can triage and resolve every flagged anomaly</t>
        </is>
      </c>
      <c r="Q40" s="82" t="inlineStr">
        <is>
          <t>Spec §16 P3-09</t>
        </is>
      </c>
      <c r="R40" s="111" t="inlineStr">
        <is>
          <t>UI built 2026-10-13 (branch feature/3S-FE-phase3-screens): /admin/intelligence/anomalies, against the proposed contract in documentation/SponsorX-Phase3-Screen-Contracts.md. Until 3S8-DATA-01 is mounted the screen shows EnginePending and no figures (owner decision: FE only, honest empty states); ?demo=sample previews the live layout in development only. Marked Done by the owner 2026-10-13 (UI complete); when 3S8-DATA-01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3S8-DATA-01 (rule stamp, epoch asOf, disposition.automatic, real rule ids) and walked live with a person's final decision.</t>
        </is>
      </c>
    </row>
    <row r="41" ht="22.35" customHeight="1" s="75">
      <c r="A41" s="112" t="n">
        <v>38</v>
      </c>
      <c r="B41" s="113" t="inlineStr">
        <is>
          <t>3S8-BE-01</t>
        </is>
      </c>
      <c r="C41" s="85" t="n">
        <v>8</v>
      </c>
      <c r="D41" s="86" t="inlineStr">
        <is>
          <t>Sprint 8 · Anomaly detection &amp; model admin</t>
        </is>
      </c>
      <c r="E41" s="137" t="inlineStr">
        <is>
          <t>BE</t>
        </is>
      </c>
      <c r="F41" s="122" t="inlineStr">
        <is>
          <t>Code</t>
        </is>
      </c>
      <c r="G41" s="84" t="inlineStr">
        <is>
          <t>Model registry and activation</t>
        </is>
      </c>
      <c r="H41" s="116" t="inlineStr">
        <is>
          <t>Versions activate, roll back and compare without a code deployment. Pricing that requires a release to change is pricing nobody will trust.</t>
        </is>
      </c>
      <c r="I41" s="108" t="inlineStr">
        <is>
          <t>Done</t>
        </is>
      </c>
      <c r="J41" s="108" t="n">
        <v>5</v>
      </c>
      <c r="K41" s="109" t="n">
        <v>46310</v>
      </c>
      <c r="L41" s="109" t="n">
        <v>46310</v>
      </c>
      <c r="M41" s="110" t="inlineStr">
        <is>
          <t>rcfworks</t>
        </is>
      </c>
      <c r="N41" s="85" t="n">
        <v>0</v>
      </c>
      <c r="O41" s="84" t="inlineStr">
        <is>
          <t>3S0-PMO-02</t>
        </is>
      </c>
      <c r="P41" s="84" t="inlineStr">
        <is>
          <t>A model version can be activated, rolled back and compared without deploying code</t>
        </is>
      </c>
      <c r="Q41" s="86" t="inlineStr">
        <is>
          <t>Spec §22</t>
        </is>
      </c>
      <c r="R41" s="111" t="inlineStr">
        <is>
          <t>Built 2026-10-15 (rcfworks): five engines' settings versioned per tenant with safe ranges; a change inside them goes live automatically, outside is held for a second person; activate / roll back / compare without a deploy; engines read the active settings each run and stamp outputs with the version. Permission modelRegistry (RBAC §35). tests/model-registry.test.ts. | Done 2026-10-15: merged to main (#221/#223 via #222), acceptance met, tests green.
QA 2026-10-19 (HeckerCreatives): GET /intelligence/models thresholds carry `integer` so the screen can refuse a fraction before the API does.
QA round three 2026-10-19 (HeckerCreatives): changeSettings idempotent under a double submit — live values are 422 'Nothing changed', a draft's values return that draft; test added.</t>
        </is>
      </c>
    </row>
    <row r="42" ht="23.85" customHeight="1" s="75">
      <c r="A42" s="104" t="n">
        <v>39</v>
      </c>
      <c r="B42" s="105" t="inlineStr">
        <is>
          <t>3S8-FE-02</t>
        </is>
      </c>
      <c r="C42" s="81" t="n">
        <v>8</v>
      </c>
      <c r="D42" s="82" t="inlineStr">
        <is>
          <t>Sprint 8 · Anomaly detection &amp; model admin</t>
        </is>
      </c>
      <c r="E42" s="119" t="inlineStr">
        <is>
          <t>FE</t>
        </is>
      </c>
      <c r="F42" s="120" t="inlineStr">
        <is>
          <t>Code</t>
        </is>
      </c>
      <c r="G42" s="80" t="inlineStr">
        <is>
          <t>Build the model and rule administration screen</t>
        </is>
      </c>
      <c r="H42" s="107" t="inlineStr">
        <is>
          <t>Pricing factors, model versions, thresholds, benchmarks, rollouts and feature flags.</t>
        </is>
      </c>
      <c r="I42" s="108" t="inlineStr">
        <is>
          <t>Done</t>
        </is>
      </c>
      <c r="J42" s="108" t="n">
        <v>5</v>
      </c>
      <c r="K42" s="109" t="n">
        <v>46308</v>
      </c>
      <c r="L42" s="109" t="n">
        <v>46308</v>
      </c>
      <c r="M42" s="110" t="inlineStr">
        <is>
          <t>HeckerCreatives</t>
        </is>
      </c>
      <c r="N42" s="81" t="n">
        <v>0</v>
      </c>
      <c r="O42" s="80" t="inlineStr">
        <is>
          <t>3S8-BE-01</t>
        </is>
      </c>
      <c r="P42" s="80" t="inlineStr">
        <is>
          <t>Admin can manage model versions and thresholds from the UI</t>
        </is>
      </c>
      <c r="Q42" s="82" t="inlineStr">
        <is>
          <t>Spec §16 P3-10</t>
        </is>
      </c>
      <c r="R42" s="111" t="inlineStr">
        <is>
          <t>UI built 2026-10-13 (branch feature/3S-FE-phase3-screens): /admin/intelligence/models, against the proposed contract in documentation/SponsorX-Phase3-Screen-Contracts.md. Until 3S8-BE-01 is mounted the screen shows EnginePending and no figures (owner decision: FE only, honest empty states); ?demo=sample previews the live layout in development only. Marked Done by the owner 2026-10-13 (UI complete); when 3S8-BE-01 lands, walk the screen against it. QA 2026-10-13 at 390 / 1366 / 1920 px as BTG admin, sponsor, property manager and Finance: 78/78 page checks (no horizontal overflow, no console errors, role gating), screenshot review and interaction pass; defects found were fixed and re-walked.
2026-10-19: reconciled with 3S8-BE-01/OPS-01 + 3S9-QA-01/02 (settings, backtests, benchmarkValidation, held drafts, Validate button, 10 flags, reasons 10-500) and walked live.
QA 2026-10-19: editor refuses a fraction for whole-number settings with the API's sentence; benchmark verdicts joined on the API's label; held-draft -&gt; second-person validate -&gt; activate -&gt; rollback walked end to end.</t>
        </is>
      </c>
    </row>
    <row r="43" ht="23.85" customHeight="1" s="75">
      <c r="A43" s="112" t="n">
        <v>40</v>
      </c>
      <c r="B43" s="113" t="inlineStr">
        <is>
          <t>3S8-OPS-01</t>
        </is>
      </c>
      <c r="C43" s="85" t="n">
        <v>8</v>
      </c>
      <c r="D43" s="86" t="inlineStr">
        <is>
          <t>Sprint 8 · Anomaly detection &amp; model admin</t>
        </is>
      </c>
      <c r="E43" s="123" t="inlineStr">
        <is>
          <t>OPS</t>
        </is>
      </c>
      <c r="F43" s="122" t="inlineStr">
        <is>
          <t>Code</t>
        </is>
      </c>
      <c r="G43" s="84" t="inlineStr">
        <is>
          <t>Per-tenant feature flags for intelligence</t>
        </is>
      </c>
      <c r="H43" s="116" t="inlineStr">
        <is>
          <t>Every intelligence feature must be disableable per tenant. Not every customer should see a forecast.</t>
        </is>
      </c>
      <c r="I43" s="108" t="inlineStr">
        <is>
          <t>Done</t>
        </is>
      </c>
      <c r="J43" s="108" t="n">
        <v>3</v>
      </c>
      <c r="K43" s="109" t="n">
        <v>46310</v>
      </c>
      <c r="L43" s="109" t="n">
        <v>46310</v>
      </c>
      <c r="M43" s="110" t="inlineStr">
        <is>
          <t>rcfworks</t>
        </is>
      </c>
      <c r="N43" s="85" t="n">
        <v>0</v>
      </c>
      <c r="O43" s="84" t="inlineStr">
        <is>
          <t>3S8-BE-01</t>
        </is>
      </c>
      <c r="P43" s="84" t="inlineStr">
        <is>
          <t>All intelligence features can be disabled per tenant through feature flags</t>
        </is>
      </c>
      <c r="Q43" s="86" t="inlineStr">
        <is>
          <t>Spec §22</t>
        </is>
      </c>
      <c r="R43" s="111" t="inlineStr">
        <is>
          <t>Built 2026-10-15 (rcfworks): nine intelligence features switchable per tenant (pricing, matching, forecast, makegood, anomalies, scenarios, sponsorHub, propertyHub, zohoIntelligence); off = nightly run skips the tenant and reads/writes answer 403 feature_off; PATCH /intelligence/flags with a reason, audited. | Done 2026-10-15: merged to main (#221/#223 via #222), acceptance met, tests green.</t>
        </is>
      </c>
    </row>
    <row r="44" ht="23.85" customHeight="1" s="75">
      <c r="A44" s="104" t="n">
        <v>41</v>
      </c>
      <c r="B44" s="105" t="inlineStr">
        <is>
          <t>3S9-QA-01</t>
        </is>
      </c>
      <c r="C44" s="81" t="n">
        <v>9</v>
      </c>
      <c r="D44" s="82" t="inlineStr">
        <is>
          <t>Sprint 9 · Backtesting &amp; rollout</t>
        </is>
      </c>
      <c r="E44" s="135" t="inlineStr">
        <is>
          <t>QA</t>
        </is>
      </c>
      <c r="F44" s="120" t="inlineStr">
        <is>
          <t>Code</t>
        </is>
      </c>
      <c r="G44" s="80" t="inlineStr">
        <is>
          <t>Backtest the pricing and forecast models</t>
        </is>
      </c>
      <c r="H44" s="107" t="inlineStr">
        <is>
          <t>Run the models against historical campaigns and check whether they would actually have been right. This is what separates intelligence from decoration.</t>
        </is>
      </c>
      <c r="I44" s="108" t="inlineStr">
        <is>
          <t>Done</t>
        </is>
      </c>
      <c r="J44" s="108" t="n">
        <v>5</v>
      </c>
      <c r="K44" s="109" t="n">
        <v>46310</v>
      </c>
      <c r="L44" s="109" t="n">
        <v>46310</v>
      </c>
      <c r="M44" s="110" t="inlineStr">
        <is>
          <t>rcfworks</t>
        </is>
      </c>
      <c r="N44" s="81" t="n">
        <v>0</v>
      </c>
      <c r="O44" s="80" t="inlineStr">
        <is>
          <t>3S8-BE-01</t>
        </is>
      </c>
      <c r="P44" s="80" t="inlineStr">
        <is>
          <t>Backtest results documented with accuracy and confidence calibration per model</t>
        </is>
      </c>
      <c r="Q44" s="82" t="inlineStr">
        <is>
          <t>Spec §21</t>
        </is>
      </c>
      <c r="R44" s="111" t="inlineStr">
        <is>
          <t>Built 2026-10-15 (rcfworks): forecast and pricing backtests per version, nightly, kept as BacktestRun, on the models screen. No real history yet; simulated forecast history (300 campaigns): good projection (4.7% error at 3/4), probability overconfident early (95%→74% at 1/4). Recommendations in documentation/SponsorX-Backtest.md for the owner. | Done 2026-10-15: merged (#230), acceptance met. | Follow-up 2026-10-15 (owner-approved): forecast-rules@2.0.0, paceUncertainty 0.6 — early overconfidence gone, Brier 0.108→0.096.</t>
        </is>
      </c>
    </row>
    <row r="45" ht="23.85" customHeight="1" s="75">
      <c r="A45" s="112" t="n">
        <v>42</v>
      </c>
      <c r="B45" s="113" t="inlineStr">
        <is>
          <t>3S9-QA-02</t>
        </is>
      </c>
      <c r="C45" s="85" t="n">
        <v>9</v>
      </c>
      <c r="D45" s="86" t="inlineStr">
        <is>
          <t>Sprint 9 · Backtesting &amp; rollout</t>
        </is>
      </c>
      <c r="E45" s="134" t="inlineStr">
        <is>
          <t>QA</t>
        </is>
      </c>
      <c r="F45" s="122" t="inlineStr">
        <is>
          <t>Code</t>
        </is>
      </c>
      <c r="G45" s="84" t="inlineStr">
        <is>
          <t>Benchmark and reconciliation validation</t>
        </is>
      </c>
      <c r="H45" s="116" t="inlineStr">
        <is>
          <t>Confirm benchmarks are statistically meaningful and warehouse totals still tie out.</t>
        </is>
      </c>
      <c r="I45" s="108" t="inlineStr">
        <is>
          <t>Done</t>
        </is>
      </c>
      <c r="J45" s="108" t="n">
        <v>3</v>
      </c>
      <c r="K45" s="109" t="n">
        <v>46310</v>
      </c>
      <c r="L45" s="109" t="n">
        <v>46310</v>
      </c>
      <c r="M45" s="110" t="inlineStr">
        <is>
          <t>rcfworks</t>
        </is>
      </c>
      <c r="N45" s="85" t="n">
        <v>0</v>
      </c>
      <c r="O45" s="84" t="inlineStr">
        <is>
          <t>3S1-DATA-03</t>
        </is>
      </c>
      <c r="P45" s="84" t="inlineStr">
        <is>
          <t>Benchmarks validated for sample size; reconciliation within tolerance</t>
        </is>
      </c>
      <c r="Q45" s="86" t="inlineStr">
        <is>
          <t>Spec §22</t>
        </is>
      </c>
      <c r="R45" s="111" t="inlineStr">
        <is>
          <t>Built 2026-10-15 (rcfworks): benchmarks validated (ordered, fresh ≤2 days, ≥10 orders, spread ≤4×) with reasons; reconciliation = nightly fact check, exact tolerance, ≤2 days old. Models screen + nightly log + npm run benchmarks:validate. | Done 2026-10-15: merged (#230), acceptance met.
QA 2026-10-19 (HeckerCreatives): each benchmarkValidation check carries `label` (the row's segment label) so screens join by data, not rebuilt prose.</t>
        </is>
      </c>
    </row>
    <row r="46" ht="23.85" customHeight="1" s="75">
      <c r="A46" s="104" t="n">
        <v>43</v>
      </c>
      <c r="B46" s="105" t="inlineStr">
        <is>
          <t>3S9-PMO-01</t>
        </is>
      </c>
      <c r="C46" s="81" t="n">
        <v>9</v>
      </c>
      <c r="D46" s="82" t="inlineStr">
        <is>
          <t>Sprint 9 · Backtesting &amp; rollout</t>
        </is>
      </c>
      <c r="E46" s="104" t="inlineStr">
        <is>
          <t>PMO</t>
        </is>
      </c>
      <c r="F46" s="106" t="inlineStr">
        <is>
          <t>Document</t>
        </is>
      </c>
      <c r="G46" s="80" t="inlineStr">
        <is>
          <t>Phase 3 UAT and staged rollout</t>
        </is>
      </c>
      <c r="H46" s="107" t="inlineStr">
        <is>
          <t>Roll out per tenant behind flags, starting with BTG's own data, before any external property sees a recommendation.</t>
        </is>
      </c>
      <c r="I46" s="108" t="inlineStr">
        <is>
          <t>Done</t>
        </is>
      </c>
      <c r="J46" s="108" t="n">
        <v>5</v>
      </c>
      <c r="K46" s="109" t="n">
        <v>46311</v>
      </c>
      <c r="L46" s="109" t="n">
        <v>46311</v>
      </c>
      <c r="M46" s="110" t="inlineStr">
        <is>
          <t>rcfworks</t>
        </is>
      </c>
      <c r="N46" s="81" t="n">
        <v>0</v>
      </c>
      <c r="O46" s="80" t="inlineStr">
        <is>
          <t>3S9-QA-01</t>
        </is>
      </c>
      <c r="P46" s="80" t="inlineStr">
        <is>
          <t>All 12 Phase 3 acceptance criteria demonstrated and signed off</t>
        </is>
      </c>
      <c r="Q46" s="82" t="inlineStr">
        <is>
          <t>Spec §22</t>
        </is>
      </c>
      <c r="R46" s="111" t="inlineStr">
        <is>
          <t>Written 2026-10-16 (rcfworks): SponsorX-Phase3-UAT.md, all 12 criteria with their proof (196/196 tests on release 11d0a316), criterion 12 test for all ten flags, staged rollout plan. Signed off by the user 2026-10-16.</t>
        </is>
      </c>
    </row>
    <row r="47" ht="23.85" customHeight="1" s="75">
      <c r="A47" s="112" t="n">
        <v>44</v>
      </c>
      <c r="B47" s="113" t="inlineStr">
        <is>
          <t>3S9-OPS-01</t>
        </is>
      </c>
      <c r="C47" s="85" t="n">
        <v>9</v>
      </c>
      <c r="D47" s="86" t="inlineStr">
        <is>
          <t>Sprint 9 · Backtesting &amp; rollout</t>
        </is>
      </c>
      <c r="E47" s="123" t="inlineStr">
        <is>
          <t>OPS</t>
        </is>
      </c>
      <c r="F47" s="124" t="inlineStr">
        <is>
          <t>Vendor console</t>
        </is>
      </c>
      <c r="G47" s="84" t="inlineStr">
        <is>
          <t>Model and pipeline monitoring</t>
        </is>
      </c>
      <c r="H47" s="116" t="inlineStr">
        <is>
          <t>Job failures, model drift, pipeline lag and data freshness all need alerts. A silently stale forecast is worse than none.</t>
        </is>
      </c>
      <c r="I47" s="108" t="inlineStr">
        <is>
          <t>Done</t>
        </is>
      </c>
      <c r="J47" s="108" t="n">
        <v>3</v>
      </c>
      <c r="K47" s="109" t="n">
        <v>46310</v>
      </c>
      <c r="L47" s="109" t="n">
        <v>46310</v>
      </c>
      <c r="M47" s="110" t="inlineStr">
        <is>
          <t>rcfworks</t>
        </is>
      </c>
      <c r="N47" s="85" t="n">
        <v>0</v>
      </c>
      <c r="O47" s="84" t="inlineStr">
        <is>
          <t>3S9-QA-01</t>
        </is>
      </c>
      <c r="P47" s="84" t="inlineStr">
        <is>
          <t>Monitoring and alerting live for every scheduled job and model service</t>
        </is>
      </c>
      <c r="Q47" s="86" t="inlineStr">
        <is>
          <t>Spec §20, §38</t>
        </is>
      </c>
      <c r="R47" s="111" t="inlineStr">
        <is>
          <t>Built 2026-10-15 (rcfworks): every nightly step recorded (PipelineRun); /health/full pipeline check fails on a failed step, 26 h without success, stale forecasts with active campaigns, or backtest drift; the existing uptime monitor alerts. documentation/SponsorX-Pipeline-Monitoring.md. | Done 2026-10-15: live on staging and production (release 1122a37); /health/full shows pipeline ok, configured.</t>
        </is>
      </c>
    </row>
    <row r="48" ht="23.85" customHeight="1" s="75">
      <c r="A48" s="104" t="n">
        <v>3.1</v>
      </c>
      <c r="B48" s="105" t="inlineStr">
        <is>
          <t>3S0-BE-01</t>
        </is>
      </c>
      <c r="C48" s="81" t="n">
        <v>0</v>
      </c>
      <c r="D48" s="82" t="inlineStr">
        <is>
          <t>Sprint 0 · Analytics architecture</t>
        </is>
      </c>
      <c r="E48" s="143" t="inlineStr">
        <is>
          <t>BE</t>
        </is>
      </c>
      <c r="F48" s="106" t="inlineStr">
        <is>
          <t>Code</t>
        </is>
      </c>
      <c r="G48" s="80" t="inlineStr">
        <is>
          <t>Timestamp every metric row</t>
        </is>
      </c>
      <c r="H48" s="107" t="inlineStr">
        <is>
          <t>MetricDaily had no time and a same-source correction overwrote the row, so "what did we know on day X" could not be read. createdAt (first recorded, never moves) and updatedAt (latest correction); existing rows dated from their metric.record audit rows.</t>
        </is>
      </c>
      <c r="I48" s="108" t="inlineStr">
        <is>
          <t>Done</t>
        </is>
      </c>
      <c r="J48" s="108" t="n">
        <v>1</v>
      </c>
      <c r="K48" s="109" t="n">
        <v>46307</v>
      </c>
      <c r="L48" s="109" t="n">
        <v>46307</v>
      </c>
      <c r="M48" s="110" t="inlineStr">
        <is>
          <t>rcfworks</t>
        </is>
      </c>
      <c r="N48" s="81" t="n">
        <v>0</v>
      </c>
      <c r="O48" s="80" t="inlineStr">
        <is>
          <t>3S0-DATA-01</t>
        </is>
      </c>
      <c r="P48" s="80" t="inlineStr">
        <is>
          <t>MetricDaily carries createdAt and updatedAt; a correction moves only updatedAt; rows recorded before are dated from the audit log; POST /deliverables/{id}/metrics answers with both</t>
        </is>
      </c>
      <c r="Q48" s="82" t="inlineStr">
        <is>
          <t>Spec §19, §22</t>
        </is>
      </c>
      <c r="R48" s="111" t="inlineStr">
        <is>
          <t>3S0-DATA-01 gap G7. Migration 20261012100000_metric_daily_timestamps. Test: tests/metric-timestamps.test.ts</t>
        </is>
      </c>
    </row>
    <row r="49">
      <c r="A49" s="104" t="n">
        <v>3.2</v>
      </c>
      <c r="B49" s="105" t="inlineStr">
        <is>
          <t>3S0-BE-02</t>
        </is>
      </c>
      <c r="C49" s="81" t="n">
        <v>0</v>
      </c>
      <c r="D49" s="82" t="inlineStr">
        <is>
          <t>Sprint 0 · Analytics architecture</t>
        </is>
      </c>
      <c r="E49" s="143" t="inlineStr">
        <is>
          <t>BE</t>
        </is>
      </c>
      <c r="F49" s="106" t="inlineStr">
        <is>
          <t>Code</t>
        </is>
      </c>
      <c r="G49" s="80" t="inlineStr">
        <is>
          <t>Send the campaign-live email</t>
        </is>
      </c>
      <c r="H49" s="107" t="inlineStr">
        <is>
          <t>Every launch queued notify.campaignLive and nothing consumed it, so nobody outside BTG was told a campaign went live and the rows waited forever. The worker now emails the sponsor's admins and the athletes on active orders (a minor's guardian too); launches queued before this are closed as skipped.</t>
        </is>
      </c>
      <c r="I49" s="108" t="inlineStr">
        <is>
          <t>Done</t>
        </is>
      </c>
      <c r="J49" s="108" t="n">
        <v>3</v>
      </c>
      <c r="K49" s="109" t="n">
        <v>46307</v>
      </c>
      <c r="L49" s="109" t="n">
        <v>46307</v>
      </c>
      <c r="M49" s="110" t="inlineStr">
        <is>
          <t>rcfworks</t>
        </is>
      </c>
      <c r="N49" s="81" t="n">
        <v>0</v>
      </c>
      <c r="O49" s="80" t="inlineStr">
        <is>
          <t>3S0-DATA-01</t>
        </is>
      </c>
      <c r="P49" s="80" t="inlineStr">
        <is>
          <t>A launch emails the sponsor admins and every athlete with an ACTIVE order (and a controlling guardian), once per address; a campaign no longer ACTIVE sends nothing; the backlog is marked skipped, not sent</t>
        </is>
      </c>
      <c r="Q49" s="82" t="inlineStr">
        <is>
          <t>Spec §21</t>
        </is>
      </c>
      <c r="R49" s="111" t="inlineStr">
        <is>
          <t>3S0-DATA-01 gap G1. Domain src/domain/campaign-live-mail.ts; template campaign.live; migration 20261012100300_campaign_live_backlog. Test: tests/campaign-live-mail.test.ts</t>
        </is>
      </c>
    </row>
    <row r="50">
      <c r="A50" s="104" t="n">
        <v>3.3</v>
      </c>
      <c r="B50" s="105" t="inlineStr">
        <is>
          <t>3S0-BE-03</t>
        </is>
      </c>
      <c r="C50" s="81" t="n">
        <v>0</v>
      </c>
      <c r="D50" s="82" t="inlineStr">
        <is>
          <t>Sprint 0 · Analytics architecture</t>
        </is>
      </c>
      <c r="E50" s="143" t="inlineStr">
        <is>
          <t>BE</t>
        </is>
      </c>
      <c r="F50" s="106" t="inlineStr">
        <is>
          <t>Code</t>
        </is>
      </c>
      <c r="G50" s="80" t="inlineStr">
        <is>
          <t>One audit name for archiving a listing</t>
        </is>
      </c>
      <c r="H50" s="107" t="inlineStr">
        <is>
          <t>A listing archive was logged as listing.archive (onboarding, athlete leaving) and listing.archived (the seller), splitting one move across two names. Now listing.archive everywhere. Rows already written stay as they are: the audit log is append-only.</t>
        </is>
      </c>
      <c r="I50" s="108" t="inlineStr">
        <is>
          <t>Done</t>
        </is>
      </c>
      <c r="J50" s="108" t="n">
        <v>1</v>
      </c>
      <c r="K50" s="109" t="n">
        <v>46307</v>
      </c>
      <c r="L50" s="109" t="n">
        <v>46307</v>
      </c>
      <c r="M50" s="110" t="inlineStr">
        <is>
          <t>rcfworks</t>
        </is>
      </c>
      <c r="N50" s="81" t="n">
        <v>0</v>
      </c>
      <c r="O50" s="80" t="inlineStr">
        <is>
          <t>3S0-DATA-01</t>
        </is>
      </c>
      <c r="P50" s="80" t="inlineStr">
        <is>
          <t>The seller archiving a listing is audited as listing.archive; no new listing.archived rows</t>
        </is>
      </c>
      <c r="Q50" s="82" t="inlineStr">
        <is>
          <t>Spec §21</t>
        </is>
      </c>
      <c r="R50" s="111" t="inlineStr">
        <is>
          <t>3S0-DATA-01 gap G9. Test: tests/phase2-listing-auto-publish.test.ts</t>
        </is>
      </c>
    </row>
    <row r="51">
      <c r="A51" s="104" t="n">
        <v>3.4</v>
      </c>
      <c r="B51" s="105" t="inlineStr">
        <is>
          <t>3S0-BE-04</t>
        </is>
      </c>
      <c r="C51" s="81" t="n">
        <v>0</v>
      </c>
      <c r="D51" s="82" t="inlineStr">
        <is>
          <t>Sprint 0 · Analytics architecture</t>
        </is>
      </c>
      <c r="E51" s="143" t="inlineStr">
        <is>
          <t>BE</t>
        </is>
      </c>
      <c r="F51" s="106" t="inlineStr">
        <is>
          <t>Code</t>
        </is>
      </c>
      <c r="G51" s="80" t="inlineStr">
        <is>
          <t>Count refused redemptions of a used code</t>
        </is>
      </c>
      <c r="H51" s="107" t="inlineStr">
        <is>
          <t>A used code presented again was refused and nothing recorded, losing the main signal of a shared or screenshotted code. The code now counts those refusals and keeps the time of the latest; the reward detail shows both per code. Only "already used" refusals count.</t>
        </is>
      </c>
      <c r="I51" s="108" t="inlineStr">
        <is>
          <t>Done</t>
        </is>
      </c>
      <c r="J51" s="108" t="n">
        <v>1</v>
      </c>
      <c r="K51" s="109" t="n">
        <v>46307</v>
      </c>
      <c r="L51" s="109" t="n">
        <v>46307</v>
      </c>
      <c r="M51" s="110" t="inlineStr">
        <is>
          <t>rcfworks</t>
        </is>
      </c>
      <c r="N51" s="81" t="n">
        <v>0</v>
      </c>
      <c r="O51" s="80" t="inlineStr">
        <is>
          <t>3S0-DATA-01</t>
        </is>
      </c>
      <c r="P51" s="80" t="inlineStr">
        <is>
          <t>A used code tried again is still refused (409) and its refusedRedeems / lastRefusedRedeemAt move; other refusals do not count; GET /rewards/{id} returns both per token</t>
        </is>
      </c>
      <c r="Q51" s="82" t="inlineStr">
        <is>
          <t>Spec §21, §22</t>
        </is>
      </c>
      <c r="R51" s="111" t="inlineStr">
        <is>
          <t>3S0-DATA-01 gap G4. Migration 20261012100100_reward_token_refused_redeems. Test: tests/reward.limits.test.ts</t>
        </is>
      </c>
    </row>
    <row r="52">
      <c r="A52" s="104" t="n">
        <v>3.5</v>
      </c>
      <c r="B52" s="105" t="inlineStr">
        <is>
          <t>3S0-BE-05</t>
        </is>
      </c>
      <c r="C52" s="81" t="n">
        <v>0</v>
      </c>
      <c r="D52" s="82" t="inlineStr">
        <is>
          <t>Sprint 0 · Analytics architecture</t>
        </is>
      </c>
      <c r="E52" s="143" t="inlineStr">
        <is>
          <t>BE</t>
        </is>
      </c>
      <c r="F52" s="106" t="inlineStr">
        <is>
          <t>Code</t>
        </is>
      </c>
      <c r="G52" s="80" t="inlineStr">
        <is>
          <t>Reward venue: where an in-person reward is handed out</t>
        </is>
      </c>
      <c r="H52" s="107" t="inlineStr">
        <is>
          <t>The fan funnel had no geography (IP lookup never filled for rewards, GeoLite unset). A reward now takes an optional venue city and US state when created and returns it on read: the reward's location, never the fan's. Market geography for benchmarks comes from the athlete's and property's registered city and state.</t>
        </is>
      </c>
      <c r="I52" s="108" t="inlineStr">
        <is>
          <t>Done</t>
        </is>
      </c>
      <c r="J52" s="108" t="n">
        <v>1</v>
      </c>
      <c r="K52" s="109" t="n">
        <v>46307</v>
      </c>
      <c r="L52" s="109" t="n">
        <v>46307</v>
      </c>
      <c r="M52" s="110" t="inlineStr">
        <is>
          <t>rcfworks</t>
        </is>
      </c>
      <c r="N52" s="81" t="n">
        <v>1</v>
      </c>
      <c r="O52" s="80" t="inlineStr">
        <is>
          <t>3S0-DATA-01</t>
        </is>
      </c>
      <c r="P52" s="80" t="inlineStr">
        <is>
          <t>POST /campaigns/{id}/rewards accepts venue {city, stateCode} (US states only), stores it, and GET /rewards/{id} returns it; none reads back as null</t>
        </is>
      </c>
      <c r="Q52" s="82" t="inlineStr">
        <is>
          <t>Spec §19</t>
        </is>
      </c>
      <c r="R52" s="111" t="inlineStr">
        <is>
          <t>3S0-DATA-01 gap G2/G3. Migration 20261012100200_reward_venue. Test: tests/reward.limits.test.ts. Form field split to 3S0-FE-01</t>
        </is>
      </c>
    </row>
    <row r="53">
      <c r="A53" s="104" t="n">
        <v>3.6</v>
      </c>
      <c r="B53" s="105" t="inlineStr">
        <is>
          <t>3S0-FE-01</t>
        </is>
      </c>
      <c r="C53" s="81" t="n">
        <v>0</v>
      </c>
      <c r="D53" s="82" t="inlineStr">
        <is>
          <t>Sprint 0 · Analytics architecture</t>
        </is>
      </c>
      <c r="E53" s="143" t="inlineStr">
        <is>
          <t>FE</t>
        </is>
      </c>
      <c r="F53" s="106" t="inlineStr">
        <is>
          <t>Code</t>
        </is>
      </c>
      <c r="G53" s="80" t="inlineStr">
        <is>
          <t>Reward form: venue field</t>
        </is>
      </c>
      <c r="H53" s="107" t="inlineStr">
        <is>
          <t>Split from 3S0-BE-05 (backend only). The reward create form gets an optional venue: city and US state. The API (venue {city, stateCode}) is live.</t>
        </is>
      </c>
      <c r="I53" s="108" t="inlineStr">
        <is>
          <t>Done</t>
        </is>
      </c>
      <c r="J53" s="108" t="n">
        <v>1</v>
      </c>
      <c r="K53" s="109" t="n">
        <v>46308</v>
      </c>
      <c r="L53" s="109" t="n">
        <v>46308</v>
      </c>
      <c r="M53" s="110" t="inlineStr">
        <is>
          <t>HeckerCreatives</t>
        </is>
      </c>
      <c r="N53" s="81" t="n">
        <v>0</v>
      </c>
      <c r="O53" s="80" t="inlineStr">
        <is>
          <t>3S0-BE-05</t>
        </is>
      </c>
      <c r="P53" s="80" t="inlineStr">
        <is>
          <t>BTG can enter a venue city and state when creating a reward, and the reward detail shows it</t>
        </is>
      </c>
      <c r="Q53" s="82" t="inlineStr">
        <is>
          <t>Spec §16</t>
        </is>
      </c>
      <c r="R53" s="111" t="inlineStr">
        <is>
          <t>Branch feature/3S-FE-phase3-screens. The live reward creator (live-rewards-desk.tsx) and the demo wizard share reward-venue-fields.tsx; half a venue is refused in the form and in the action; each reward shows 'City, ST' or 'Online only'. State list mirrors the backend's US_STATES (50 + DC). Test: tests/reward-venue.test.ts QA 2026-10-13 at 390 / 1366 / 1920 px as BTG admin, sponsor, property manager and Finance: 78/78 page checks (no horizontal overflow, no console errors, role gating), screenshot review and interaction pass; defects found were fixed and re-walked.</t>
        </is>
      </c>
    </row>
    <row r="54">
      <c r="A54" s="104" t="n">
        <v>3.7</v>
      </c>
      <c r="B54" s="105" t="inlineStr">
        <is>
          <t>3S0-BE-06</t>
        </is>
      </c>
      <c r="C54" s="81" t="n">
        <v>0</v>
      </c>
      <c r="D54" s="82" t="inlineStr">
        <is>
          <t>Sprint 0 · Analytics architecture</t>
        </is>
      </c>
      <c r="E54" s="143" t="inlineStr">
        <is>
          <t>BE</t>
        </is>
      </c>
      <c r="F54" s="106" t="inlineStr">
        <is>
          <t>Code</t>
        </is>
      </c>
      <c r="G54" s="80" t="inlineStr">
        <is>
          <t>Record a deliverable's platform at publish</t>
        </is>
      </c>
      <c r="H54" s="107" t="inlineStr">
        <is>
          <t>Raised by 3S0-DATA-02 (open item O1): no table recorded the platform, so channel could only be inferred. Publishing now stores platform (INSTAGRAM | TIKTOK | YOUTUBE | X | FACEBOOK | OTHER) from the published URL's host; earlier rows backfilled by the same rule in SQL; a CHECK refuses anything else; the deliverable list returns it.</t>
        </is>
      </c>
      <c r="I54" s="108" t="inlineStr">
        <is>
          <t>Done</t>
        </is>
      </c>
      <c r="J54" s="108" t="n">
        <v>1</v>
      </c>
      <c r="K54" s="109" t="n">
        <v>46307</v>
      </c>
      <c r="L54" s="109" t="n">
        <v>46307</v>
      </c>
      <c r="M54" s="110" t="inlineStr">
        <is>
          <t>rcfworks</t>
        </is>
      </c>
      <c r="N54" s="81" t="n">
        <v>0</v>
      </c>
      <c r="O54" s="80" t="inlineStr">
        <is>
          <t>3S0-DATA-01</t>
        </is>
      </c>
      <c r="P54" s="80" t="inlineStr">
        <is>
          <t>Publishing records platform from the URL host (a host matches only itself or its subdomains); earlier rows backfilled identically; the database refuses any other value; the deliverable list returns it</t>
        </is>
      </c>
      <c r="Q54" s="82" t="inlineStr">
        <is>
          <t>Spec §19</t>
        </is>
      </c>
      <c r="R54" s="111" t="inlineStr">
        <is>
          <t>Domain src/domain/deliverable-platform.ts; migration 20261012100400_deliverable_platform. Tests: tests/deliverable-platform.test.ts (incl. SQL-vs-code parity on Postgres), deliverable.chain, deliverables.read.</t>
        </is>
      </c>
    </row>
    <row r="55" s="75">
      <c r="A55" s="112" t="n">
        <v>7.1</v>
      </c>
      <c r="B55" s="113" t="inlineStr">
        <is>
          <t>3S1-BE-01</t>
        </is>
      </c>
      <c r="C55" s="85" t="n">
        <v>1</v>
      </c>
      <c r="D55" s="86" t="inlineStr">
        <is>
          <t>Sprint 1 · Warehouse &amp; benchmarks</t>
        </is>
      </c>
      <c r="E55" s="129" t="inlineStr">
        <is>
          <t>BE</t>
        </is>
      </c>
      <c r="F55" s="122" t="inlineStr">
        <is>
          <t>Code</t>
        </is>
      </c>
      <c r="G55" s="84" t="inlineStr">
        <is>
          <t>Fact ledger and daily summaries</t>
        </is>
      </c>
      <c r="H55" s="116" t="inlineStr">
        <is>
          <t>A fact ledger in the app database: the same transaction that books, cancels, pays or delivers also writes one fact row (what, which campaign/athlete/job/channel/market, how much, when), with values from the app's own code. Daily campaign summaries are updated in that same transaction. Corrections are new rows, never edits. Raised 2026-10-13 (user review): the separate warehouse re-derived business meaning from copied tables — two copies of the rules, a copy job that can fail, edits it cannot see. Replaced by facts the app records at the moment of each action.</t>
        </is>
      </c>
      <c r="I55" s="108" t="inlineStr">
        <is>
          <t>Done</t>
        </is>
      </c>
      <c r="J55" s="108" t="n">
        <v>2</v>
      </c>
      <c r="K55" s="109" t="n">
        <v>46308</v>
      </c>
      <c r="L55" s="109" t="n">
        <v>46310</v>
      </c>
      <c r="M55" s="110" t="inlineStr">
        <is>
          <t>rcfworks</t>
        </is>
      </c>
      <c r="N55" s="85" t="n">
        <v>0</v>
      </c>
      <c r="O55" s="84" t="n"/>
      <c r="P55" s="84" t="inlineStr">
        <is>
          <t>Facts and summaries are written in the same transaction as the change (both or neither); summaries always equal the sum of the facts; a correction adds rows and never edits one</t>
        </is>
      </c>
      <c r="Q55" s="86" t="inlineStr">
        <is>
          <t>Spec §19, §21, §22</t>
        </is>
      </c>
      <c r="R55" s="111" t="inlineStr">
        <is>
          <t>documentation/SponsorX-Fact-Ledger.md; backend/src/domain/facts.ts (recordFact / reverseFact / checkFactSummaries) and fact-rules.ts (closed lists); Fact + CampaignDaySummary, migration 20261013120000_fact_ledger (a trigger refuses editing or deleting a fact). Tests: tests/fact-ledger.test.ts (11). No action writes facts yet — 3S1-BE-02. Acceptance checked and moved to Done 2026-10-15 (rcfworks): criterion met, tests green, live in staging and production.</t>
        </is>
      </c>
    </row>
    <row r="56" s="75">
      <c r="A56" s="112" t="n">
        <v>30.5</v>
      </c>
      <c r="B56" s="113" t="inlineStr">
        <is>
          <t>3S7-BE-02</t>
        </is>
      </c>
      <c r="C56" s="85" t="n">
        <v>7</v>
      </c>
      <c r="D56" s="86" t="inlineStr">
        <is>
          <t>Sprint 7 · Intelligence dashboards</t>
        </is>
      </c>
      <c r="E56" s="129" t="inlineStr">
        <is>
          <t>BE</t>
        </is>
      </c>
      <c r="F56" s="122" t="inlineStr">
        <is>
          <t>Code</t>
        </is>
      </c>
      <c r="G56" s="84" t="inlineStr">
        <is>
          <t>Serve sponsor and property intelligence</t>
        </is>
      </c>
      <c r="H56" s="116" t="inlineStr">
        <is>
          <t>Raised building 3S7-FE-01 / 3S7-FE-02 (2026-10-13): both hubs depend on warehouse facts, but no task serves them. GET /intelligence/sponsor and GET /intelligence/property, scoped by the API to the caller's own sponsor org or property, reading the semantic layer and the CPM engine.</t>
        </is>
      </c>
      <c r="I56" s="108" t="inlineStr">
        <is>
          <t>Done</t>
        </is>
      </c>
      <c r="J56" s="108" t="n">
        <v>3</v>
      </c>
      <c r="K56" s="109" t="n">
        <v>46310</v>
      </c>
      <c r="L56" s="109" t="n">
        <v>46310</v>
      </c>
      <c r="M56" s="110" t="inlineStr">
        <is>
          <t>rcfworks</t>
        </is>
      </c>
      <c r="N56" s="85" t="n">
        <v>2</v>
      </c>
      <c r="O56" s="84" t="inlineStr">
        <is>
          <t>3S1-OPS-04, 3S2-BE-02</t>
        </is>
      </c>
      <c r="P56" s="84" t="inlineStr">
        <is>
          <t>Both reads answer the shapes in documentation/SponsorX-Phase3-Screen-Contracts.md; cross-tenant and cross-org reads are refused; the four attribution classes are returned separately</t>
        </is>
      </c>
      <c r="Q56" s="86" t="inlineStr">
        <is>
          <t>Spec §16 P3-06, P3-07; §19</t>
        </is>
      </c>
      <c r="R56" s="111" t="inlineStr">
        <is>
          <t>Unblocks 3S7-FE-01 and 3S7-FE-02 (their UI is built and waits on this). Re-pointed 2026-10-13 to the fact ledger (3S1-BE-01…): reads the daily summaries in the app database, not the warehouse. Built 2026-10-15 (rcfworks): GET /intelligence/sponsor (four attribution classes kept apart; transactions and modelled 0 until 3S6; media value = verified views × benchmark, an estimate; formats, partners, renewal advice at 80%/50%; no unsourced segments) and GET /intelligence/property (roster's suggested prices, opportunity, sell-through, category fit, quality). Permissions sponsorIntelligence / propertyIntelligence (RBAC §32), scoped by the caller. documentation/SponsorX-Hub-Intelligence.md; tests/hub-intelligence.test.ts. | Done 2026-10-15: merged to main (#221/#223 via #222), acceptance met, tests green.</t>
        </is>
      </c>
    </row>
    <row r="57">
      <c r="A57" s="112" t="n">
        <v>7.2</v>
      </c>
      <c r="B57" s="113" t="inlineStr">
        <is>
          <t>3S1-BE-02</t>
        </is>
      </c>
      <c r="C57" s="85" t="n">
        <v>1</v>
      </c>
      <c r="D57" s="86" t="inlineStr">
        <is>
          <t>Sprint 1 · Warehouse &amp; benchmarks</t>
        </is>
      </c>
      <c r="E57" s="129" t="inlineStr">
        <is>
          <t>BE</t>
        </is>
      </c>
      <c r="F57" s="122" t="inlineStr">
        <is>
          <t>Code</t>
        </is>
      </c>
      <c r="G57" s="84" t="inlineStr">
        <is>
          <t>Record facts in every money and delivery action</t>
        </is>
      </c>
      <c r="H57" s="116" t="inlineStr">
        <is>
          <t>Wire the fact writer into every action that changes money or delivery: order booked/cancelled, earning paid, invoice issued/paid, deliverable due/published/verified/revision, metric recorded/corrected, ad slot sold, marketplace milestones and financials. Fan scans, clicks and edition views are already one row per event and are counted, not copied.</t>
        </is>
      </c>
      <c r="I57" s="108" t="inlineStr">
        <is>
          <t>Done</t>
        </is>
      </c>
      <c r="J57" s="108" t="n">
        <v>2</v>
      </c>
      <c r="K57" s="109" t="n">
        <v>46308</v>
      </c>
      <c r="L57" s="109" t="n">
        <v>46310</v>
      </c>
      <c r="M57" s="110" t="inlineStr">
        <is>
          <t>rcfworks</t>
        </is>
      </c>
      <c r="N57" s="85" t="n">
        <v>0</v>
      </c>
      <c r="O57" s="84" t="inlineStr">
        <is>
          <t>3S1-BE-01</t>
        </is>
      </c>
      <c r="P57" s="84" t="inlineStr">
        <is>
          <t>Every listed action writes its fact in its own transaction; the daily summaries match the app's own totals for a seeded campaign</t>
        </is>
      </c>
      <c r="Q57" s="86" t="inlineStr">
        <is>
          <t>Spec §19, §21, §22</t>
        </is>
      </c>
      <c r="R57" s="111" t="inlineStr">
        <is>
          <t>backend/src/domain/fact-writers.ts — one writer per event, called inside each action's transaction: acceptOrder / respondToOffer (booked + deliverables due), transitionOrder (cancelled; its deliverables' due facts reversed), markPublished / verifyPublished / requestRevision / submitDraft checks, recordMetric (correction = reversal + new fact), transitionEarning PAID, ingestZohoInvoice (amount change or void reverses), edition sale and cancellation (slots), ledger bookOrder / reverseOrder (marketplace lines), the four refund-SENT sites. Tests: tests/fact-wiring.test.ts (9, real actions, summaries = app totals, self-check passes) plus fact checks in edition-automation, phase2-line-cancellation, phase2-offer-answers. Full suite 199 files / 3,167 tests green twice. Doc: SponsorX-Fact-Ledger.md v1.1 §4. Acceptance checked and moved to Done 2026-10-15 (rcfworks): criterion met, tests green, live in staging and production.</t>
        </is>
      </c>
    </row>
    <row r="58">
      <c r="A58" s="112" t="n">
        <v>7.3</v>
      </c>
      <c r="B58" s="113" t="inlineStr">
        <is>
          <t>3S1-QA-02</t>
        </is>
      </c>
      <c r="C58" s="85" t="n">
        <v>1</v>
      </c>
      <c r="D58" s="86" t="inlineStr">
        <is>
          <t>Sprint 1 · Warehouse &amp; benchmarks</t>
        </is>
      </c>
      <c r="E58" s="129" t="inlineStr">
        <is>
          <t>QA</t>
        </is>
      </c>
      <c r="F58" s="122" t="inlineStr">
        <is>
          <t>Code</t>
        </is>
      </c>
      <c r="G58" s="84" t="inlineStr">
        <is>
          <t>Nothing slips through: action and status coverage tests</t>
        </is>
      </c>
      <c r="H58" s="116" t="inlineStr">
        <is>
          <t>Tests that fail the build when an action that changes money or delivery does not write its fact, or when a new order state, payment type or metric source is added without being classified for the facts.</t>
        </is>
      </c>
      <c r="I58" s="108" t="inlineStr">
        <is>
          <t>Done</t>
        </is>
      </c>
      <c r="J58" s="108" t="n">
        <v>1</v>
      </c>
      <c r="K58" s="109" t="n">
        <v>46308</v>
      </c>
      <c r="L58" s="109" t="n">
        <v>46310</v>
      </c>
      <c r="M58" s="110" t="inlineStr">
        <is>
          <t>rcfworks</t>
        </is>
      </c>
      <c r="N58" s="85" t="n">
        <v>0</v>
      </c>
      <c r="O58" s="84" t="inlineStr">
        <is>
          <t>3S1-BE-02</t>
        </is>
      </c>
      <c r="P58" s="84" t="inlineStr">
        <is>
          <t>Removing a fact write, or adding an unclassified state, fails CI</t>
        </is>
      </c>
      <c r="Q58" s="86" t="inlineStr">
        <is>
          <t>Spec §19, §21, §22</t>
        </is>
      </c>
      <c r="R58" s="111" t="inlineStr">
        <is>
          <t>tests/fact-coverage.static.test.ts + tests/support/fact-coverage.ts: reads the code, finds every money/delivery write (32 today), each with a reviewed decision — the fact calls its function makes and how many, or none and why. Fails on: a removed (or commented-out) fact call, a new write with no decision, a new caller of createDeliverablesFromJob, a write to the fact tables outside facts.ts, a stale decision; self-tests prove each. src/domain/fact-classification.ts: every order/deliverable/earning/edition/marketplace-order state, metric source, platform, payment method, refund cause/state/method and dispute state classified, typed against the app's own lists (typecheck + test fail on a new value). Writers read the metric and platform tables. Full suite 200 files / 3,190 tests green twice. Doc: SponsorX-Fact-Ledger.md v1.2 §6. Acceptance checked and moved to Done 2026-10-15 (rcfworks): criterion met, tests green, live in staging and production.</t>
        </is>
      </c>
    </row>
    <row r="59">
      <c r="A59" s="112" t="n">
        <v>7.4</v>
      </c>
      <c r="B59" s="113" t="inlineStr">
        <is>
          <t>3S1-DATA-05</t>
        </is>
      </c>
      <c r="C59" s="85" t="n">
        <v>1</v>
      </c>
      <c r="D59" s="86" t="inlineStr">
        <is>
          <t>Sprint 1 · Warehouse &amp; benchmarks</t>
        </is>
      </c>
      <c r="E59" s="129" t="inlineStr">
        <is>
          <t>DATA</t>
        </is>
      </c>
      <c r="F59" s="122" t="inlineStr">
        <is>
          <t>Code</t>
        </is>
      </c>
      <c r="G59" s="84" t="inlineStr">
        <is>
          <t>Fill history: orders and deliverables</t>
        </is>
      </c>
      <c r="H59" s="116" t="inlineStr">
        <is>
          <t>Split 2026-10-13 (user) from the 1-day fill into five half-day tasks. A re-runnable fill, through the live fact writers, of orders booked and cancelled, deliverables due / published / verified, and drafts sent back — dated from the records and their audit history.</t>
        </is>
      </c>
      <c r="I59" s="108" t="inlineStr">
        <is>
          <t>Done</t>
        </is>
      </c>
      <c r="J59" s="108" t="n">
        <v>0.5</v>
      </c>
      <c r="K59" s="109" t="n">
        <v>46308</v>
      </c>
      <c r="L59" s="109" t="n">
        <v>46310</v>
      </c>
      <c r="M59" s="110" t="inlineStr">
        <is>
          <t>rcfworks</t>
        </is>
      </c>
      <c r="N59" s="85" t="n">
        <v>0</v>
      </c>
      <c r="O59" s="84" t="inlineStr">
        <is>
          <t>3S1-QA-03</t>
        </is>
      </c>
      <c r="P59" s="84" t="inlineStr">
        <is>
          <t>After the fill the check matches these measures for every campaign; re-running adds nothing</t>
        </is>
      </c>
      <c r="Q59" s="86" t="inlineStr">
        <is>
          <t>Spec §19, §21, §22</t>
        </is>
      </c>
      <c r="R59" s="111" t="inlineStr">
        <is>
          <t>backend/src/domain/fact-history.ts fillOrderHistory: per accepted order, one transaction, through the live writers — booked (acceptance day) with deliverables due, revisions (audit log; audit count less facts already there, oldest first), published (published date), verified (audit), cancelled last (audit). No audit entry → fallback date, counted. Revisions sent back before publication filed UNPUBLISHED (factRevisionRequested now dates its channel by the published date — same answer live). scripts/fill-fact-history.mts (npm run facts:fill -- orders [--tenant id]; production needs --confirm-production) fills then runs the check for its measures. Tests: fact-history.test.ts (6) — history plus two orders that carried on live (a live revision, a live cancellation): the check matches every campaign, dates and channels as live, nothing counted twice, a re-run adds nothing. Full suite 202 files / 3,203 tests green twice. Doc: SponsorX-Fact-Ledger.md v1.4 §8. Acceptance checked and moved to Done 2026-10-15 (rcfworks): criterion met, tests green, live in staging and production.</t>
        </is>
      </c>
    </row>
    <row r="60">
      <c r="A60" s="112" t="n">
        <v>7.5</v>
      </c>
      <c r="B60" s="113" t="inlineStr">
        <is>
          <t>3S1-OPS-02</t>
        </is>
      </c>
      <c r="C60" s="85" t="n">
        <v>1</v>
      </c>
      <c r="D60" s="86" t="inlineStr">
        <is>
          <t>Sprint 1 · Warehouse &amp; benchmarks</t>
        </is>
      </c>
      <c r="E60" s="129" t="inlineStr">
        <is>
          <t>OPS</t>
        </is>
      </c>
      <c r="F60" s="122" t="inlineStr">
        <is>
          <t>Code</t>
        </is>
      </c>
      <c r="G60" s="84" t="inlineStr">
        <is>
          <t>Retire the warehouse</t>
        </is>
      </c>
      <c r="H60" s="116" t="inlineStr">
        <is>
          <t>Stop the hourly copy, remove the warehouse settings and code, and delete Postgres-warehouse and Postgres-warehouse-production (with the owner's OK) once the facts and summaries are live.</t>
        </is>
      </c>
      <c r="I60" s="108" t="inlineStr">
        <is>
          <t>Done</t>
        </is>
      </c>
      <c r="J60" s="108" t="n">
        <v>1</v>
      </c>
      <c r="K60" s="109" t="n">
        <v>46311</v>
      </c>
      <c r="L60" s="109" t="n">
        <v>46311</v>
      </c>
      <c r="M60" s="110" t="inlineStr">
        <is>
          <t>rcfworks</t>
        </is>
      </c>
      <c r="N60" s="85" t="n">
        <v>0</v>
      </c>
      <c r="O60" s="84" t="inlineStr">
        <is>
          <t>3S1-OPS-04</t>
        </is>
      </c>
      <c r="P60" s="84" t="inlineStr">
        <is>
          <t>No warehouse service, setting or code remains; analysis reads the summaries; the design docs say so</t>
        </is>
      </c>
      <c r="Q60" s="86" t="inlineStr">
        <is>
          <t>Spec §19, §21, §22</t>
        </is>
      </c>
      <c r="R60" s="111" t="inlineStr">
        <is>
          <t>Done 2026-10-16 (rcfworks, on the user's instruction): hourly copy, backend/worker/warehouse/, its tests and the warehouse:reader script removed. The databases Postgres-warehouse and Postgres-warehouse-production stay on Railway, unused, by the user's decision; noted in stack-decision.md D4.</t>
        </is>
      </c>
    </row>
    <row r="61">
      <c r="A61" s="112" t="n">
        <v>7.6</v>
      </c>
      <c r="B61" s="113" t="inlineStr">
        <is>
          <t>3S1-OPS-03</t>
        </is>
      </c>
      <c r="C61" s="85" t="n">
        <v>1</v>
      </c>
      <c r="D61" s="86" t="inlineStr">
        <is>
          <t>Sprint 1 · Warehouse &amp; benchmarks</t>
        </is>
      </c>
      <c r="E61" s="129" t="inlineStr">
        <is>
          <t>OPS</t>
        </is>
      </c>
      <c r="F61" s="122" t="inlineStr">
        <is>
          <t>Code / Vendor console</t>
        </is>
      </c>
      <c r="G61" s="84" t="inlineStr">
        <is>
          <t>Only the app writes to the live database</t>
        </is>
      </c>
      <c r="H61" s="116" t="inlineStr">
        <is>
          <t>A dedicated login for the app with write access; people get read-only access. Corrections go through admin actions, which record their facts — so no edit can bypass the ledger.</t>
        </is>
      </c>
      <c r="I61" s="108" t="inlineStr">
        <is>
          <t>Done</t>
        </is>
      </c>
      <c r="J61" s="108" t="n">
        <v>1</v>
      </c>
      <c r="K61" s="109" t="n">
        <v>46309</v>
      </c>
      <c r="L61" s="109" t="n">
        <v>46310</v>
      </c>
      <c r="M61" s="110" t="inlineStr">
        <is>
          <t>rcfworks</t>
        </is>
      </c>
      <c r="N61" s="85" t="n">
        <v>0</v>
      </c>
      <c r="O61" s="84" t="n"/>
      <c r="P61" s="84" t="inlineStr">
        <is>
          <t>In staging and production only the app's login can write; a read-only login exists for people; the change is recorded in the deployment runbook</t>
        </is>
      </c>
      <c r="Q61" s="86" t="inlineStr">
        <is>
          <t>Spec §19, §21, §22</t>
        </is>
      </c>
      <c r="R61" s="111" t="inlineStr">
        <is>
          <t>Acceptance checked and moved to Done 2026-10-15 (rcfworks): criterion met, tests green, live in staging and production.</t>
        </is>
      </c>
    </row>
    <row r="62">
      <c r="A62" s="112" t="n">
        <v>7.35</v>
      </c>
      <c r="B62" s="113" t="inlineStr">
        <is>
          <t>3S1-QA-03</t>
        </is>
      </c>
      <c r="C62" s="85" t="n">
        <v>1</v>
      </c>
      <c r="D62" s="86" t="inlineStr">
        <is>
          <t>Sprint 1 · Warehouse &amp; benchmarks</t>
        </is>
      </c>
      <c r="E62" s="129" t="inlineStr">
        <is>
          <t>QA</t>
        </is>
      </c>
      <c r="F62" s="122" t="inlineStr">
        <is>
          <t>Code</t>
        </is>
      </c>
      <c r="G62" s="84" t="inlineStr">
        <is>
          <t>"Match the app" check</t>
        </is>
      </c>
      <c r="H62" s="116" t="inlineStr">
        <is>
          <t>For every campaign, the daily summaries compared with the app's own figures (bookings, cancellations, deliverables due/published/verified/sent back, views and engagements by label, earnings paid, invoices, ad slots sold); for every tenant, marketplace sales and refunds. Each difference named. Used by each history fill, by 3S1-OPS-04, and nightly by 3S1-QA-01.</t>
        </is>
      </c>
      <c r="I62" s="108" t="inlineStr">
        <is>
          <t>Done</t>
        </is>
      </c>
      <c r="J62" s="108" t="n">
        <v>0.5</v>
      </c>
      <c r="K62" s="109" t="n">
        <v>46308</v>
      </c>
      <c r="L62" s="109" t="n">
        <v>46310</v>
      </c>
      <c r="M62" s="110" t="inlineStr">
        <is>
          <t>rcfworks</t>
        </is>
      </c>
      <c r="N62" s="85" t="n">
        <v>0</v>
      </c>
      <c r="O62" s="84" t="inlineStr">
        <is>
          <t>3S1-BE-02</t>
        </is>
      </c>
      <c r="P62" s="84" t="inlineStr">
        <is>
          <t>After a campaign is run through the real actions the check passes; a missing fact or a changed summary is reported by campaign and measure; a script runs it read-only against any database</t>
        </is>
      </c>
      <c r="Q62" s="86" t="inlineStr">
        <is>
          <t>Spec §22</t>
        </is>
      </c>
      <c r="R62" s="111" t="inlineStr">
        <is>
          <t>backend/src/domain/fact-check.ts checkFactsAgainstApp: per campaign, summaries vs the app's records (booked, cancelled, deliverables due/published/verified, revisions from the audit log, views/engagements by label, earnings paid, invoices, ad slots sold); per tenant the marketplace's gross/net/refunded. metric_corrections not compared (the app keeps no count), held to MEASURE_COLUMNS by test. scripts/check-facts.mts (npm run facts:check [-- --tenant id]) runs both checks in a READ ONLY transaction, exits 1 on a difference. Tests: fact-app-check.test.ts (history written without facts is named measure by measure; filling with the live writers passes; a hand-edited summary and an order cancelled in the database are caught), plus the check passing in fact-wiring and phase2-line-cancellation, and for slots in edition-automation. The app deletes none of these records, so a difference is real. Full suite 201 files / 3,197 tests green twice. Doc: SponsorX-Fact-Ledger.md v1.3 §7. Acceptance checked and moved to Done 2026-10-15 (rcfworks): criterion met, tests green, live in staging and production.</t>
        </is>
      </c>
    </row>
    <row r="63">
      <c r="A63" s="112" t="n">
        <v>7.41</v>
      </c>
      <c r="B63" s="113" t="inlineStr">
        <is>
          <t>3S1-DATA-06</t>
        </is>
      </c>
      <c r="C63" s="85" t="n">
        <v>1</v>
      </c>
      <c r="D63" s="86" t="inlineStr">
        <is>
          <t>Sprint 1 · Warehouse &amp; benchmarks</t>
        </is>
      </c>
      <c r="E63" s="129" t="inlineStr">
        <is>
          <t>DATA</t>
        </is>
      </c>
      <c r="F63" s="122" t="inlineStr">
        <is>
          <t>Code</t>
        </is>
      </c>
      <c r="G63" s="84" t="inlineStr">
        <is>
          <t>Fill history: views, payments and invoices</t>
        </is>
      </c>
      <c r="H63" s="116" t="inlineStr">
        <is>
          <t>Re-runnable fill through the live fact writers: daily views and engagements (final figure per day and label; earlier corrections counted from the audit log), earnings paid, Zoho invoices issued and paid.</t>
        </is>
      </c>
      <c r="I63" s="108" t="inlineStr">
        <is>
          <t>Done</t>
        </is>
      </c>
      <c r="J63" s="108" t="n">
        <v>0.5</v>
      </c>
      <c r="K63" s="109" t="n">
        <v>46308</v>
      </c>
      <c r="L63" s="109" t="n">
        <v>46310</v>
      </c>
      <c r="M63" s="110" t="inlineStr">
        <is>
          <t>rcfworks</t>
        </is>
      </c>
      <c r="N63" s="85" t="n">
        <v>0</v>
      </c>
      <c r="O63" s="84" t="inlineStr">
        <is>
          <t>3S1-QA-03</t>
        </is>
      </c>
      <c r="P63" s="84" t="inlineStr">
        <is>
          <t>After the fill the check matches these measures for every campaign; re-running adds nothing</t>
        </is>
      </c>
      <c r="Q63" s="86" t="inlineStr">
        <is>
          <t>Spec §21</t>
        </is>
      </c>
      <c r="R63" s="111" t="inlineStr">
        <is>
          <t>backend/src/domain/fact-history.ts: fillViewHistory (each MetricDaily row through factMetricRecorded; corrections = value changes in its metric.record audit entries less corrections the facts already count — catches a pre-ledger figure corrected live, which the live writer cannot count), fillPaymentHistory (PAID earnings, paid day), fillInvoiceHistory (factInvoice; void records nothing). Fixed: factMetricRecorded now compares only facts holding a figure, so a corrections-only fact is never mistaken for an old figure (a re-run had re-recorded 4 facts). npm run facts:fill -- views payments invoices. Tests: fact-history-money.test.ts (5) — history plus a live correction, a live payment and a live Zoho invoice: check matches, days right, corrections counted once, nothing doubled, re-run adds nothing. Full suite 203 files / 3,208 tests green twice. Doc: SponsorX-Fact-Ledger.md v1.5 §8. Acceptance checked and moved to Done 2026-10-15 (rcfworks): criterion met, tests green, live in staging and production.</t>
        </is>
      </c>
    </row>
    <row r="64">
      <c r="A64" s="112" t="n">
        <v>7.42</v>
      </c>
      <c r="B64" s="113" t="inlineStr">
        <is>
          <t>3S1-DATA-07</t>
        </is>
      </c>
      <c r="C64" s="85" t="n">
        <v>1</v>
      </c>
      <c r="D64" s="86" t="inlineStr">
        <is>
          <t>Sprint 1 · Warehouse &amp; benchmarks</t>
        </is>
      </c>
      <c r="E64" s="129" t="inlineStr">
        <is>
          <t>DATA</t>
        </is>
      </c>
      <c r="F64" s="122" t="inlineStr">
        <is>
          <t>Code</t>
        </is>
      </c>
      <c r="G64" s="84" t="inlineStr">
        <is>
          <t>Fill history: NEXT ad slots and the marketplace</t>
        </is>
      </c>
      <c r="H64" s="116" t="inlineStr">
        <is>
          <t>Re-runnable fill: NEXT ad slots sold (a cancelled edition's released slots rebuilt from the cancelled-sale record, sale and reversal), marketplace lines contracted and unwound, marketplace refunds sent.</t>
        </is>
      </c>
      <c r="I64" s="108" t="inlineStr">
        <is>
          <t>Done</t>
        </is>
      </c>
      <c r="J64" s="108" t="n">
        <v>0.5</v>
      </c>
      <c r="K64" s="109" t="n">
        <v>46308</v>
      </c>
      <c r="L64" s="109" t="n">
        <v>46310</v>
      </c>
      <c r="M64" s="110" t="inlineStr">
        <is>
          <t>rcfworks</t>
        </is>
      </c>
      <c r="N64" s="85" t="n">
        <v>0</v>
      </c>
      <c r="O64" s="84" t="inlineStr">
        <is>
          <t>3S1-QA-03</t>
        </is>
      </c>
      <c r="P64" s="84" t="inlineStr">
        <is>
          <t>After the fill the check matches these measures for every campaign and tenant; re-running adds nothing</t>
        </is>
      </c>
      <c r="Q64" s="86" t="inlineStr">
        <is>
          <t>Spec §21</t>
        </is>
      </c>
      <c r="R64" s="111" t="inlineStr">
        <is>
          <t>backend/src/domain/fact-history.ts: fillSlotHistory (slots sold now via factAdSlotSold; each CancelledAdSale rebuilt — sold on its adSlot.sell audit day, one per campaign×edition, reversed on cancelledAt; skipped when recorded live), fillMarketplaceHistory (factMarketplaceContracted on contractedAt; each line with a REVERSAL journal unwound on that day; refunds SENT). npm run facts:fill -- slots marketplace. Proof: tests erase live facts and refill from history — marketplace facts identical key for key (phase2-line-cancellation); a cancelled edition's per-campaign day figures identical (edition-automation); and the campaign side (orders, deliverables, views, payments, invoices) every non-zero daily summary figure identical (fact-wiring). Full suite 203 files / 3,210 tests green twice. Acceptance checked and moved to Done 2026-10-15 (rcfworks): criterion met, tests green, live in staging and production.</t>
        </is>
      </c>
    </row>
    <row r="65">
      <c r="A65" s="112" t="n">
        <v>7.43</v>
      </c>
      <c r="B65" s="113" t="inlineStr">
        <is>
          <t>3S1-OPS-04</t>
        </is>
      </c>
      <c r="C65" s="85" t="n">
        <v>1</v>
      </c>
      <c r="D65" s="86" t="inlineStr">
        <is>
          <t>Sprint 1 · Warehouse &amp; benchmarks</t>
        </is>
      </c>
      <c r="E65" s="129" t="inlineStr">
        <is>
          <t>OPS</t>
        </is>
      </c>
      <c r="F65" s="122" t="inlineStr">
        <is>
          <t>Code / Vendor console</t>
        </is>
      </c>
      <c r="G65" s="84" t="inlineStr">
        <is>
          <t>Fill the history on staging and production</t>
        </is>
      </c>
      <c r="H65" s="116" t="inlineStr">
        <is>
          <t>Run the three fills on staging, then production with the owner's OK; the check must then pass for every campaign and tenant.</t>
        </is>
      </c>
      <c r="I65" s="108" t="inlineStr">
        <is>
          <t>Done</t>
        </is>
      </c>
      <c r="J65" s="108" t="n">
        <v>0.5</v>
      </c>
      <c r="K65" s="109" t="n">
        <v>46308</v>
      </c>
      <c r="L65" s="109" t="n">
        <v>46310</v>
      </c>
      <c r="M65" s="110" t="inlineStr">
        <is>
          <t>rcfworks</t>
        </is>
      </c>
      <c r="N65" s="85" t="n">
        <v>0</v>
      </c>
      <c r="O65" s="84" t="inlineStr">
        <is>
          <t>3S1-DATA-05, 3S1-DATA-06, 3S1-DATA-07</t>
        </is>
      </c>
      <c r="P65" s="84" t="inlineStr">
        <is>
          <t>History filled for all tenants in both environments; the check passes; a second run adds nothing</t>
        </is>
      </c>
      <c r="Q65" s="86" t="inlineStr">
        <is>
          <t>Spec §21</t>
        </is>
      </c>
      <c r="R65" s="111" t="inlineStr">
        <is>
          <t>Deployed f00d36a to staging + production by hand 2026-10-13 10:36 UTC (main green; user's OK). STAGING: check before — only gap seed_tenant_btg marketplace gross/net 580000 (no campaign orders, deliverables, metrics, earnings, invoices or sold slots at all — counted read-only); fill: 6 marketplace orders → 7 facts, 0 fallback dates; check after: both pass; second run 0. PRODUCTION (run by the user — the classifier blocks a production shell): check before already passing (no money history before the ledger); fill: 0 records in every part; check after: both pass. Acceptance checked and moved to Done 2026-10-15 (rcfworks): criterion met, tests green, live in staging and production.</t>
        </is>
      </c>
    </row>
    <row r="66">
      <c r="A66" s="112" t="n">
        <v>10.1</v>
      </c>
      <c r="B66" s="113" t="inlineStr">
        <is>
          <t>3S1-FE-01</t>
        </is>
      </c>
      <c r="C66" s="85" t="n">
        <v>1</v>
      </c>
      <c r="D66" s="86" t="inlineStr">
        <is>
          <t>Sprint 1 · Warehouse &amp; benchmarks</t>
        </is>
      </c>
      <c r="E66" s="134" t="inlineStr">
        <is>
          <t>FE</t>
        </is>
      </c>
      <c r="F66" s="122" t="inlineStr">
        <is>
          <t>Code</t>
        </is>
      </c>
      <c r="G66" s="84" t="inlineStr">
        <is>
          <t>Figures check on the integrations screen</t>
        </is>
      </c>
      <c r="H66" s="116" t="inlineStr">
        <is>
          <t>Raised by 3S1-QA-01 (2026-10-13). Show the nightly fact check on the admin integrations screen beside Zoho, webhooks and the queue, from the `facts` section of GET /operations/integration-health: last run, whether report figures match the app, since when not, the differences in words, whether emails are on.</t>
        </is>
      </c>
      <c r="I66" s="108" t="inlineStr">
        <is>
          <t>Done</t>
        </is>
      </c>
      <c r="J66" s="108" t="n">
        <v>0.5</v>
      </c>
      <c r="K66" s="109" t="n">
        <v>46309</v>
      </c>
      <c r="L66" s="109" t="n">
        <v>46309</v>
      </c>
      <c r="M66" s="110" t="inlineStr">
        <is>
          <t>HeckerCreatives</t>
        </is>
      </c>
      <c r="N66" s="85" t="n">
        <v>0</v>
      </c>
      <c r="O66" s="84" t="inlineStr">
        <is>
          <t>3S1-QA-01</t>
        </is>
      </c>
      <c r="P66" s="84" t="inlineStr">
        <is>
          <t>The integrations screen shows the section in its three states (never run; matching; not matching with its differences); BTG only</t>
        </is>
      </c>
      <c r="Q66" s="86" t="inlineStr">
        <is>
          <t>Spec §22, §23</t>
        </is>
      </c>
      <c r="R66" s="111" t="inlineStr">
        <is>
          <t>Built 2026-10-14: frontend/src/lib/fact-check-live.ts (states, unit-tested: tests/fact-check-live.test.ts, 8) and the 'Figures check · nightly' section on /admin/integrations from GET /operations/integration-health `facts`. Draws never run, matching, not matching (since when, differences in words, '…and N more' past 20) and a fourth state: the check could not run (matches null + lastError) — shown as 'not run', never as a mismatch. A mismatch or failed run joins the page's 'needs attention' summary. QA 2026-10-14: live walk as BTG admin on desktop + mobile with each state staged in FactCheckRun (another tenant's differences never shown); Finance never reaches the screen. Frontend 139 files / 1,528 tests green, lint clean, next build green. Built while the lead dev revises the fact ledger (2026-10-14) — re-walk when that lands in case the `facts` shape moves.</t>
        </is>
      </c>
    </row>
  </sheetData>
  <autoFilter ref="A4:R66"/>
  <mergeCells count="2">
    <mergeCell ref="A2:R2"/>
    <mergeCell ref="A1:R1"/>
  </mergeCells>
  <conditionalFormatting sqref="I5:I66">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66">
    <cfRule type="expression" rank="0" priority="7" equalAverage="0" aboveAverage="0" dxfId="32" text="" percent="0" bottom="0">
      <formula>$I5="Done"</formula>
    </cfRule>
  </conditionalFormatting>
  <conditionalFormatting sqref="N5:N66">
    <cfRule type="cellIs" rank="0" priority="8" equalAverage="0" operator="greaterThanOrEqual" aboveAverage="0" dxfId="33" text="" percent="0" bottom="0">
      <formula>50</formula>
    </cfRule>
  </conditionalFormatting>
  <dataValidations count="1">
    <dataValidation sqref="I5:I66" showDropDown="0" showInputMessage="0" showErrorMessage="0" allowBlank="0" type="list" errorStyle="stop" operator="between">
      <formula1>"Ready,In progress,Code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23"/>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46" t="inlineStr">
        <is>
          <t>SponsorX — Phase 4 · INFINEX World Integration</t>
        </is>
      </c>
    </row>
    <row r="2" ht="15" customHeight="1" s="75">
      <c r="A2" s="77" t="inlineStr">
        <is>
          <t>19 tasks, all Done and signed off as built (4S9-PMO-03) · SponsorX's side of virtual sponsorship as built: the world and placement registry, bookings, creative and the manifest, pause and rollback, machine login, client endpoints and settings, the telemetry intake, the cross-channel campaign model. Every open task moved on 2026-10-20 to the game phase (Phase 6 since 2026-10-27) (the game is parked).</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32.8" customHeight="1" s="75">
      <c r="A5" s="104" t="n">
        <v>1</v>
      </c>
      <c r="B5" s="105" t="inlineStr">
        <is>
          <t>4S0-PMO-01</t>
        </is>
      </c>
      <c r="C5" s="81" t="n">
        <v>0</v>
      </c>
      <c r="D5" s="82" t="inlineStr">
        <is>
          <t>Sprint 0 · Contract &amp; taxonomy</t>
        </is>
      </c>
      <c r="E5" s="104" t="inlineStr">
        <is>
          <t>PMO</t>
        </is>
      </c>
      <c r="F5" s="106" t="inlineStr">
        <is>
          <t>Document</t>
        </is>
      </c>
      <c r="G5" s="80" t="inlineStr">
        <is>
          <t>Define the world contract: runtime, environments and identity</t>
        </is>
      </c>
      <c r="H5" s="107" t="inlineStr">
        <is>
          <t>The rules any world must follow to work with SponsorX, written before the game exists so the game is built to them: engine-neutral (recorded per world), staging and production environments, stable world/zone/placement IDs never reused, sessions and players only as anonymous references.</t>
        </is>
      </c>
      <c r="I5" s="108" t="inlineStr">
        <is>
          <t>Done</t>
        </is>
      </c>
      <c r="J5" s="108" t="n">
        <v>3</v>
      </c>
      <c r="K5" s="109" t="n">
        <v>46311</v>
      </c>
      <c r="L5" s="109" t="n">
        <v>46311</v>
      </c>
      <c r="M5" s="110" t="inlineStr">
        <is>
          <t>rcfworks</t>
        </is>
      </c>
      <c r="N5" s="81" t="n">
        <v>0</v>
      </c>
      <c r="O5" s="80" t="inlineStr">
        <is>
          <t>Phase 3 complete</t>
        </is>
      </c>
      <c r="P5" s="80" t="inlineStr">
        <is>
          <t>Runtime-neutral contract, environment versioning and identity/session model written and approved</t>
        </is>
      </c>
      <c r="Q5" s="82" t="inlineStr">
        <is>
          <t>Spec §33</t>
        </is>
      </c>
      <c r="R5" s="111" t="inlineStr">
        <is>
          <t>Done 2026-10-16 (rcfworks): SponsorX-INFINEX-World-Contract.md — any engine, STAGING/PRODUCTION, stable IDs never reused, anonymous sessionRef/subjectRef, two callers. Approved by the user.</t>
        </is>
      </c>
    </row>
    <row r="6" ht="23.85" customHeight="1" s="75">
      <c r="A6" s="112" t="n">
        <v>2</v>
      </c>
      <c r="B6" s="113" t="inlineStr">
        <is>
          <t>4S0-PMO-02</t>
        </is>
      </c>
      <c r="C6" s="85" t="n">
        <v>0</v>
      </c>
      <c r="D6" s="86" t="inlineStr">
        <is>
          <t>Sprint 0 · Contract &amp; taxonomy</t>
        </is>
      </c>
      <c r="E6" s="112" t="inlineStr">
        <is>
          <t>PMO</t>
        </is>
      </c>
      <c r="F6" s="130" t="inlineStr">
        <is>
          <t>Document</t>
        </is>
      </c>
      <c r="G6" s="84" t="inlineStr">
        <is>
          <t>Agree the world and placement taxonomy</t>
        </is>
      </c>
      <c r="H6" s="116" t="inlineStr">
        <is>
          <t>World, district, venue, zone, surface. Getting this vocabulary right once saves renaming an inventory model later.</t>
        </is>
      </c>
      <c r="I6" s="108" t="inlineStr">
        <is>
          <t>Done</t>
        </is>
      </c>
      <c r="J6" s="108" t="n">
        <v>3</v>
      </c>
      <c r="K6" s="109" t="n">
        <v>46311</v>
      </c>
      <c r="L6" s="109" t="n">
        <v>46311</v>
      </c>
      <c r="M6" s="110" t="inlineStr">
        <is>
          <t>rcfworks</t>
        </is>
      </c>
      <c r="N6" s="85" t="n">
        <v>0</v>
      </c>
      <c r="O6" s="84" t="inlineStr">
        <is>
          <t>4S0-PMO-01</t>
        </is>
      </c>
      <c r="P6" s="84" t="inlineStr">
        <is>
          <t>Taxonomy documented and mapped to SponsorX entities</t>
        </is>
      </c>
      <c r="Q6" s="86" t="inlineStr">
        <is>
          <t>Spec §25, §27.1</t>
        </is>
      </c>
      <c r="R6" s="111" t="inlineStr">
        <is>
          <t>Done 2026-10-16 (rcfworks): SponsorX-Virtual-Taxonomy.md — five levels in three tables (VirtualWorld, VirtualZone, VirtualPlacement), seven placement kinds, mapped to Property VIRTUAL and InventoryItem VIRTUAL_PLACEMENT. Approved by the user.</t>
        </is>
      </c>
    </row>
    <row r="7" ht="23.85" customHeight="1" s="75">
      <c r="A7" s="104" t="n">
        <v>5</v>
      </c>
      <c r="B7" s="105" t="inlineStr">
        <is>
          <t>4S0-SEC-01</t>
        </is>
      </c>
      <c r="C7" s="81" t="n">
        <v>0</v>
      </c>
      <c r="D7" s="82" t="inlineStr">
        <is>
          <t>Sprint 0 · Contract &amp; taxonomy</t>
        </is>
      </c>
      <c r="E7" s="140" t="inlineStr">
        <is>
          <t>SEC</t>
        </is>
      </c>
      <c r="F7" s="120" t="inlineStr">
        <is>
          <t>Code</t>
        </is>
      </c>
      <c r="G7" s="80" t="inlineStr">
        <is>
          <t>Trusted client authentication design</t>
        </is>
      </c>
      <c r="H7" s="107" t="inlineStr">
        <is>
          <t>The INFINEX client sends telemetry that becomes sponsor billing data. Its authentication has to be strong enough that fabricated events are not possible.</t>
        </is>
      </c>
      <c r="I7" s="108" t="inlineStr">
        <is>
          <t>Done</t>
        </is>
      </c>
      <c r="J7" s="108" t="n">
        <v>3</v>
      </c>
      <c r="K7" s="163" t="n">
        <v>46314</v>
      </c>
      <c r="L7" s="163" t="n">
        <v>46314</v>
      </c>
      <c r="M7" s="110" t="inlineStr">
        <is>
          <t>rcfworks</t>
        </is>
      </c>
      <c r="N7" s="81" t="n">
        <v>0</v>
      </c>
      <c r="O7" s="80" t="inlineStr">
        <is>
          <t>4S0-PMO-01</t>
        </is>
      </c>
      <c r="P7" s="80" t="inlineStr">
        <is>
          <t>Client authentication and event signing design reviewed and approved</t>
        </is>
      </c>
      <c r="Q7" s="82" t="inlineStr">
        <is>
          <t>Spec §29, §31</t>
        </is>
      </c>
      <c r="R7" s="111" t="inlineStr">
        <is>
          <t>2026-10-19 DONE (rcfworks): merged in #259, acceptance met (tests green on CI). | 2026-10-19 (rcfworks): design approved by the user as the plan; API spec §6.2. Built: InfinexCredential (secret shown once, SHA-256 stored, own service user) → POST /infinex/token 15-min sxm_ token; POST /infinex/clients/{id}/sessions → game session token pinned to its world + signing key derived from INFINEX_SIGNING_SECRET (never stored); raw-body HMAC verifier (±300 s). Roles INFINEX_SERVICE/INFINEX_CLIENT (RBAC §38, digest b1f1e50851c850e3), scopes narrow only, all protected fields denied. Checked every call. Migration 20261019180000_infinex_machine_auth. tests/infinex-auth.test.ts (11).</t>
        </is>
      </c>
    </row>
    <row r="8" ht="32.8" customHeight="1" s="75">
      <c r="A8" s="112" t="n">
        <v>6</v>
      </c>
      <c r="B8" s="113" t="inlineStr">
        <is>
          <t>4S1-BE-01</t>
        </is>
      </c>
      <c r="C8" s="85" t="n">
        <v>1</v>
      </c>
      <c r="D8" s="86" t="inlineStr">
        <is>
          <t>Sprint 1 · World &amp; placement registry</t>
        </is>
      </c>
      <c r="E8" s="137" t="inlineStr">
        <is>
          <t>BE</t>
        </is>
      </c>
      <c r="F8" s="122" t="inlineStr">
        <is>
          <t>Code</t>
        </is>
      </c>
      <c r="G8" s="84" t="inlineStr">
        <is>
          <t>World and zone registry</t>
        </is>
      </c>
      <c r="H8" s="116" t="inlineStr">
        <is>
          <t>Register INFINEX worlds and their districts, venues and zones against stable external IDs.</t>
        </is>
      </c>
      <c r="I8" s="108" t="inlineStr">
        <is>
          <t>Done</t>
        </is>
      </c>
      <c r="J8" s="108" t="n">
        <v>3</v>
      </c>
      <c r="K8" s="109" t="n">
        <v>46311</v>
      </c>
      <c r="L8" s="109" t="n">
        <v>46311</v>
      </c>
      <c r="M8" s="110" t="inlineStr">
        <is>
          <t>rcfworks</t>
        </is>
      </c>
      <c r="N8" s="85" t="n">
        <v>0</v>
      </c>
      <c r="O8" s="84" t="inlineStr">
        <is>
          <t>4S0-PMO-02</t>
        </is>
      </c>
      <c r="P8" s="84" t="inlineStr">
        <is>
          <t>SponsorX can register a world and its zones against stable external IDs</t>
        </is>
      </c>
      <c r="Q8" s="86" t="inlineStr">
        <is>
          <t>Spec §28, §30</t>
        </is>
      </c>
      <c r="R8" s="111" t="inlineStr">
        <is>
          <t>Done 2026-10-16 (merged #243) (rcfworks): worlds per environment under the owner's external ID; zones upserted by external ID, all or nothing; IDs fixed by a DB trigger. SponsorX-Virtual-Registry.md §1.</t>
        </is>
      </c>
    </row>
    <row r="9" ht="32.8" customHeight="1" s="75">
      <c r="A9" s="104" t="n">
        <v>7</v>
      </c>
      <c r="B9" s="105" t="inlineStr">
        <is>
          <t>4S1-BE-02</t>
        </is>
      </c>
      <c r="C9" s="81" t="n">
        <v>1</v>
      </c>
      <c r="D9" s="82" t="inlineStr">
        <is>
          <t>Sprint 1 · World &amp; placement registry</t>
        </is>
      </c>
      <c r="E9" s="139" t="inlineStr">
        <is>
          <t>BE</t>
        </is>
      </c>
      <c r="F9" s="120" t="inlineStr">
        <is>
          <t>Code</t>
        </is>
      </c>
      <c r="G9" s="80" t="inlineStr">
        <is>
          <t>Virtual placement model</t>
        </is>
      </c>
      <c r="H9" s="107" t="inlineStr">
        <is>
          <t>Billboards, LED surfaces, naming rights, branded rooms, courts, tunnels, kiosks. Each with technical creative constraints, a viewability rule and capacity.</t>
        </is>
      </c>
      <c r="I9" s="108" t="inlineStr">
        <is>
          <t>Done</t>
        </is>
      </c>
      <c r="J9" s="108" t="n">
        <v>5</v>
      </c>
      <c r="K9" s="109" t="n">
        <v>46311</v>
      </c>
      <c r="L9" s="109" t="n">
        <v>46311</v>
      </c>
      <c r="M9" s="110" t="inlineStr">
        <is>
          <t>rcfworks</t>
        </is>
      </c>
      <c r="N9" s="81" t="n">
        <v>0</v>
      </c>
      <c r="O9" s="80" t="inlineStr">
        <is>
          <t>4S1-BE-01</t>
        </is>
      </c>
      <c r="P9" s="80" t="inlineStr">
        <is>
          <t>A placement can be registered with specs, viewability rule and availability</t>
        </is>
      </c>
      <c r="Q9" s="82" t="inlineStr">
        <is>
          <t>Spec §30</t>
        </is>
      </c>
      <c r="R9" s="111" t="inlineStr">
        <is>
          <t>Done 2026-10-16 (merged #243) (rcfworks): placements with kind, specs, creative types, limits, capacity, viewability rule, price, dates; draft until on sale; specs fixed on sale. §2.</t>
        </is>
      </c>
    </row>
    <row r="10" ht="23.85" customHeight="1" s="75">
      <c r="A10" s="112" t="n">
        <v>8</v>
      </c>
      <c r="B10" s="113" t="inlineStr">
        <is>
          <t>4S1-BE-03</t>
        </is>
      </c>
      <c r="C10" s="85" t="n">
        <v>1</v>
      </c>
      <c r="D10" s="86" t="inlineStr">
        <is>
          <t>Sprint 1 · World &amp; placement registry</t>
        </is>
      </c>
      <c r="E10" s="137" t="inlineStr">
        <is>
          <t>BE</t>
        </is>
      </c>
      <c r="F10" s="122" t="inlineStr">
        <is>
          <t>Code</t>
        </is>
      </c>
      <c r="G10" s="84" t="inlineStr">
        <is>
          <t>Map placements to sellable inventory</t>
        </is>
      </c>
      <c r="H10" s="116" t="inlineStr">
        <is>
          <t>The join that makes virtual surfaces purchasable through the same campaign system as everything else.</t>
        </is>
      </c>
      <c r="I10" s="108" t="inlineStr">
        <is>
          <t>Done</t>
        </is>
      </c>
      <c r="J10" s="108" t="n">
        <v>3</v>
      </c>
      <c r="K10" s="109" t="n">
        <v>46311</v>
      </c>
      <c r="L10" s="109" t="n">
        <v>46311</v>
      </c>
      <c r="M10" s="110" t="inlineStr">
        <is>
          <t>rcfworks</t>
        </is>
      </c>
      <c r="N10" s="85" t="n">
        <v>0</v>
      </c>
      <c r="O10" s="84" t="inlineStr">
        <is>
          <t>4S1-BE-02</t>
        </is>
      </c>
      <c r="P10" s="84" t="inlineStr">
        <is>
          <t>A virtual placement maps to a sellable SponsorX inventory record</t>
        </is>
      </c>
      <c r="Q10" s="86" t="inlineStr">
        <is>
          <t>Spec §27.1</t>
        </is>
      </c>
      <c r="R10" s="111" t="inlineStr">
        <is>
          <t>Done 2026-10-16 (merged #243) (rcfworks): on sale = one InventoryItem VIRTUAL_PLACEMENT owned by the world's property, kept in step; owner cannot edit or list it. §3.</t>
        </is>
      </c>
    </row>
    <row r="11" ht="32.8" customHeight="1" s="75">
      <c r="A11" s="104" t="n">
        <v>9</v>
      </c>
      <c r="B11" s="105" t="inlineStr">
        <is>
          <t>4S1-BE-04</t>
        </is>
      </c>
      <c r="C11" s="81" t="n">
        <v>1</v>
      </c>
      <c r="D11" s="82" t="inlineStr">
        <is>
          <t>Sprint 1 · World &amp; placement registry</t>
        </is>
      </c>
      <c r="E11" s="139" t="inlineStr">
        <is>
          <t>BE</t>
        </is>
      </c>
      <c r="F11" s="120" t="inlineStr">
        <is>
          <t>Code</t>
        </is>
      </c>
      <c r="G11" s="80" t="inlineStr">
        <is>
          <t>Placement availability windows</t>
        </is>
      </c>
      <c r="H11" s="107" t="inlineStr">
        <is>
          <t>Sellable time windows with capacity, so two sponsors cannot buy the same billboard for the same week.</t>
        </is>
      </c>
      <c r="I11" s="108" t="inlineStr">
        <is>
          <t>Done</t>
        </is>
      </c>
      <c r="J11" s="108" t="n">
        <v>3</v>
      </c>
      <c r="K11" s="109" t="n">
        <v>46311</v>
      </c>
      <c r="L11" s="109" t="n">
        <v>46311</v>
      </c>
      <c r="M11" s="110" t="inlineStr">
        <is>
          <t>rcfworks</t>
        </is>
      </c>
      <c r="N11" s="81" t="n">
        <v>0</v>
      </c>
      <c r="O11" s="80" t="inlineStr">
        <is>
          <t>4S1-BE-02</t>
        </is>
      </c>
      <c r="P11" s="80" t="inlineStr">
        <is>
          <t>Overlapping purchases of the same placement are rejected</t>
        </is>
      </c>
      <c r="Q11" s="82" t="inlineStr">
        <is>
          <t>Spec §30</t>
        </is>
      </c>
      <c r="R11" s="111" t="inlineStr">
        <is>
          <t>Done 2026-10-16 (merged #244) (rcfworks): PlacementWindow books whole days inside a draft campaign at the weekly price pro rata; DB exclusion constraint refuses overlaps per placement and slot; released on campaign cancel; no retire with bookings ahead. SponsorX-Virtual-Registry.md §4.</t>
        </is>
      </c>
    </row>
    <row r="12" ht="23.85" customHeight="1" s="75">
      <c r="A12" s="104" t="n">
        <v>13</v>
      </c>
      <c r="B12" s="105" t="inlineStr">
        <is>
          <t>4S2-BE-01</t>
        </is>
      </c>
      <c r="C12" s="81" t="n">
        <v>2</v>
      </c>
      <c r="D12" s="82" t="inlineStr">
        <is>
          <t>Sprint 2 · Manifest &amp; creative deployment</t>
        </is>
      </c>
      <c r="E12" s="139" t="inlineStr">
        <is>
          <t>BE</t>
        </is>
      </c>
      <c r="F12" s="120" t="inlineStr">
        <is>
          <t>Code</t>
        </is>
      </c>
      <c r="G12" s="80" t="inlineStr">
        <is>
          <t>Creative deployment model</t>
        </is>
      </c>
      <c r="H12" s="107" t="inlineStr">
        <is>
          <t>Associate approved sponsor assets with placements, versioned, with start and end times.</t>
        </is>
      </c>
      <c r="I12" s="108" t="inlineStr">
        <is>
          <t>Done</t>
        </is>
      </c>
      <c r="J12" s="108" t="n">
        <v>5</v>
      </c>
      <c r="K12" s="109" t="n">
        <v>46311</v>
      </c>
      <c r="L12" s="109" t="n">
        <v>46311</v>
      </c>
      <c r="M12" s="110" t="inlineStr">
        <is>
          <t>rcfworks</t>
        </is>
      </c>
      <c r="N12" s="81" t="n">
        <v>0</v>
      </c>
      <c r="O12" s="80" t="inlineStr">
        <is>
          <t>4S1-BE-03</t>
        </is>
      </c>
      <c r="P12" s="80" t="inlineStr">
        <is>
          <t>A deployment record ties campaign, placement, asset version and schedule</t>
        </is>
      </c>
      <c r="Q12" s="82" t="inlineStr">
        <is>
          <t>Spec §27.2, §30</t>
        </is>
      </c>
      <c r="R12" s="111" t="inlineStr">
        <is>
          <t>Done 2026-10-16 (merged #250) (rcfworks): CreativeDeployment ties window (campaign, placement), validated creative version and dates inside the window; DRAFT→APPROVED→ENDED; DB refuses overlapping approved deployments; bumps sequence and world manifestVersion. Registry doc §6.</t>
        </is>
      </c>
    </row>
    <row r="13" ht="23.85" customHeight="1" s="75">
      <c r="A13" s="112" t="n">
        <v>14</v>
      </c>
      <c r="B13" s="113" t="inlineStr">
        <is>
          <t>4S2-BE-02</t>
        </is>
      </c>
      <c r="C13" s="85" t="n">
        <v>2</v>
      </c>
      <c r="D13" s="86" t="inlineStr">
        <is>
          <t>Sprint 2 · Manifest &amp; creative deployment</t>
        </is>
      </c>
      <c r="E13" s="137" t="inlineStr">
        <is>
          <t>BE</t>
        </is>
      </c>
      <c r="F13" s="122" t="inlineStr">
        <is>
          <t>Code</t>
        </is>
      </c>
      <c r="G13" s="84" t="inlineStr">
        <is>
          <t>Creative validation against placement specs</t>
        </is>
      </c>
      <c r="H13" s="116" t="inlineStr">
        <is>
          <t>Reject assets that do not fit the surface before they reach the world, not after a sponsor complains.</t>
        </is>
      </c>
      <c r="I13" s="108" t="inlineStr">
        <is>
          <t>Done</t>
        </is>
      </c>
      <c r="J13" s="108" t="n">
        <v>3</v>
      </c>
      <c r="K13" s="109" t="n">
        <v>46311</v>
      </c>
      <c r="L13" s="109" t="n">
        <v>46311</v>
      </c>
      <c r="M13" s="110" t="inlineStr">
        <is>
          <t>rcfworks</t>
        </is>
      </c>
      <c r="N13" s="85" t="n">
        <v>0</v>
      </c>
      <c r="O13" s="84" t="inlineStr">
        <is>
          <t>4S2-BE-01</t>
        </is>
      </c>
      <c r="P13" s="84" t="inlineStr">
        <is>
          <t>An asset failing the placement's technical constraints is rejected at upload</t>
        </is>
      </c>
      <c r="Q13" s="86" t="inlineStr">
        <is>
          <t>Spec §27.2</t>
        </is>
      </c>
      <c r="R13" s="111" t="inlineStr">
        <is>
          <t>Done 2026-10-16 (merged #250) (rcfworks): creative uploaded direct to the private bucket and checked on register against the placement (type, exact pixels, size, video length) from the stored file (size, checksum, image pixels and format via sharp); failing = REJECTED with reasons, file deleted. §5.</t>
        </is>
      </c>
    </row>
    <row r="14" ht="15" customHeight="1" s="75">
      <c r="A14" s="104" t="n">
        <v>15</v>
      </c>
      <c r="B14" s="105" t="inlineStr">
        <is>
          <t>4S2-BE-03</t>
        </is>
      </c>
      <c r="C14" s="81" t="n">
        <v>2</v>
      </c>
      <c r="D14" s="82" t="inlineStr">
        <is>
          <t>Sprint 2 · Manifest &amp; creative deployment</t>
        </is>
      </c>
      <c r="E14" s="139" t="inlineStr">
        <is>
          <t>BE</t>
        </is>
      </c>
      <c r="F14" s="120" t="inlineStr">
        <is>
          <t>Code</t>
        </is>
      </c>
      <c r="G14" s="80" t="inlineStr">
        <is>
          <t>Active manifest service</t>
        </is>
      </c>
      <c r="H14" s="107" t="inlineStr">
        <is>
          <t>The endpoint INFINEX calls to ask what is live right now. Must return only approved, in-window deployments for the requested world and time.</t>
        </is>
      </c>
      <c r="I14" s="108" t="inlineStr">
        <is>
          <t>Done</t>
        </is>
      </c>
      <c r="J14" s="108" t="n">
        <v>5</v>
      </c>
      <c r="K14" s="109" t="n">
        <v>46311</v>
      </c>
      <c r="L14" s="109" t="n">
        <v>46311</v>
      </c>
      <c r="M14" s="110" t="inlineStr">
        <is>
          <t>rcfworks</t>
        </is>
      </c>
      <c r="N14" s="81" t="n">
        <v>0</v>
      </c>
      <c r="O14" s="80" t="inlineStr">
        <is>
          <t>4S2-BE-01</t>
        </is>
      </c>
      <c r="P14" s="80" t="inlineStr">
        <is>
          <t>Manifest returns only approved, in-window deployments for the requested world and time</t>
        </is>
      </c>
      <c r="Q14" s="82" t="inlineStr">
        <is>
          <t>Spec §28, §34</t>
        </is>
      </c>
      <c r="R14" s="111" t="inlineStr">
        <is>
          <t>Done 2026-10-16 (merged #250) (rcfworks): GET /virtual/worlds/{id}/manifest?at= — only approved, in-date deployments on booked windows, on-sale placements, validated creative, active world; manifestVersion + ETag/304. Download links 4S2-BE-04; game login 4S0-SEC-01. §7.</t>
        </is>
      </c>
    </row>
    <row r="15" ht="22.35" customHeight="1" s="75">
      <c r="A15" s="112" t="n">
        <v>16</v>
      </c>
      <c r="B15" s="113" t="inlineStr">
        <is>
          <t>4S2-BE-04</t>
        </is>
      </c>
      <c r="C15" s="85" t="n">
        <v>2</v>
      </c>
      <c r="D15" s="86" t="inlineStr">
        <is>
          <t>Sprint 2 · Manifest &amp; creative deployment</t>
        </is>
      </c>
      <c r="E15" s="137" t="inlineStr">
        <is>
          <t>BE</t>
        </is>
      </c>
      <c r="F15" s="122" t="inlineStr">
        <is>
          <t>Code</t>
        </is>
      </c>
      <c r="G15" s="84" t="inlineStr">
        <is>
          <t>Signed asset delivery through the CDN</t>
        </is>
      </c>
      <c r="H15" s="116" t="inlineStr">
        <is>
          <t>Creative is served fast and signed, so assets cannot be lifted from the URL.</t>
        </is>
      </c>
      <c r="I15" s="108" t="inlineStr">
        <is>
          <t>Done</t>
        </is>
      </c>
      <c r="J15" s="108" t="n">
        <v>3</v>
      </c>
      <c r="K15" s="163" t="n">
        <v>46314</v>
      </c>
      <c r="L15" s="163" t="n">
        <v>46314</v>
      </c>
      <c r="M15" s="110" t="inlineStr">
        <is>
          <t>rcfworks</t>
        </is>
      </c>
      <c r="N15" s="85" t="n">
        <v>0</v>
      </c>
      <c r="O15" s="84" t="inlineStr">
        <is>
          <t>4S2-BE-03</t>
        </is>
      </c>
      <c r="P15" s="84" t="inlineStr">
        <is>
          <t>Creative is delivered through signed, short-lived CDN URLs</t>
        </is>
      </c>
      <c r="Q15" s="86" t="inlineStr">
        <is>
          <t>Spec §31</t>
        </is>
      </c>
      <c r="R15" s="111" t="inlineStr">
        <is>
          <t>2026-10-19 DONE (rcfworks): merged in #255, acceptance met (tests green on CI). | 2026-10-19 (rcfworks): each manifest file carries url (signed GET to the private R2 bucket, 15-min life) and urlExpiresAt. Signed at the start of each 5-min step, so every link handed out is good &gt;=10 min and a poll inside one step gets 304 with nothing signed. One virtual.creativeLinksGrant audit row per grant (keys, never links). Not edge-cached: a caching layer only if 4S8-OPS-01 needs one. tests/virtual-creative.test.ts (14).</t>
        </is>
      </c>
    </row>
    <row r="16" ht="23.85" customHeight="1" s="75">
      <c r="A16" s="104" t="n">
        <v>17</v>
      </c>
      <c r="B16" s="105" t="inlineStr">
        <is>
          <t>4S2-BE-05</t>
        </is>
      </c>
      <c r="C16" s="81" t="n">
        <v>2</v>
      </c>
      <c r="D16" s="82" t="inlineStr">
        <is>
          <t>Sprint 2 · Manifest &amp; creative deployment</t>
        </is>
      </c>
      <c r="E16" s="139" t="inlineStr">
        <is>
          <t>BE</t>
        </is>
      </c>
      <c r="F16" s="120" t="inlineStr">
        <is>
          <t>Code</t>
        </is>
      </c>
      <c r="G16" s="80" t="inlineStr">
        <is>
          <t>Deployment pause and rollback</t>
        </is>
      </c>
      <c r="H16" s="107" t="inlineStr">
        <is>
          <t>A sponsor needs their creative down in minutes, not at the next release. Pausing invalidates the manifest and the prior asset state.</t>
        </is>
      </c>
      <c r="I16" s="108" t="inlineStr">
        <is>
          <t>Done</t>
        </is>
      </c>
      <c r="J16" s="108" t="n">
        <v>3</v>
      </c>
      <c r="K16" s="163" t="n">
        <v>46314</v>
      </c>
      <c r="L16" s="163" t="n">
        <v>46314</v>
      </c>
      <c r="M16" s="110" t="inlineStr">
        <is>
          <t>rcfworks</t>
        </is>
      </c>
      <c r="N16" s="81" t="n">
        <v>0</v>
      </c>
      <c r="O16" s="80" t="inlineStr">
        <is>
          <t>4S2-BE-03</t>
        </is>
      </c>
      <c r="P16" s="80" t="inlineStr">
        <is>
          <t>Creative can be paused or rolled back from SponsorX without redeploying the INFINEX application</t>
        </is>
      </c>
      <c r="Q16" s="82" t="inlineStr">
        <is>
          <t>Spec §27.2, §34</t>
        </is>
      </c>
      <c r="R16" s="111" t="inlineStr">
        <is>
          <t>2026-10-19 DONE (rcfworks): merged in #257, acceptance met (tests green on CI). | 2026-10-19 (rcfworks): POST /virtual/deployments/{id}/pause and /resume, POST /virtual/windows/{id}/rollback. Pause takes it off the manifest on the next poll (manifestVersion + ETag change); resume re-checks like approval (and the one-at-a-time rule); rollback puts the previous (or named) validated version on from now to the old end in one transaction. No new links for a paused deployment; issued ones lapse within 15 min. Audited; pausedAt/rolledBackAt/stateReason/replacedById held by a CHECK. Migration 20261019150000_deployment_pause_rollback. tests/virtual-deployment-control.test.ts (6).</t>
        </is>
      </c>
    </row>
    <row r="17" ht="23.85" customHeight="1" s="75">
      <c r="A17" s="112" t="n">
        <v>20</v>
      </c>
      <c r="B17" s="113" t="inlineStr">
        <is>
          <t>4S3-INT-02</t>
        </is>
      </c>
      <c r="C17" s="85" t="n">
        <v>3</v>
      </c>
      <c r="D17" s="86" t="inlineStr">
        <is>
          <t>Sprint 3 · INFINEX client endpoints</t>
        </is>
      </c>
      <c r="E17" s="141" t="inlineStr">
        <is>
          <t>INT</t>
        </is>
      </c>
      <c r="F17" s="122" t="inlineStr">
        <is>
          <t>Code</t>
        </is>
      </c>
      <c r="G17" s="84" t="inlineStr">
        <is>
          <t>Client registry and heartbeat endpoint</t>
        </is>
      </c>
      <c r="H17" s="116" t="inlineStr">
        <is>
          <t>SponsorX's side: the client registry, the heartbeat endpoint and the missing-heartbeat alert, proven with the stand-in world. The game sending it is 6S1-INT-02.</t>
        </is>
      </c>
      <c r="I17" s="108" t="inlineStr">
        <is>
          <t>Done</t>
        </is>
      </c>
      <c r="J17" s="108" t="n">
        <v>2</v>
      </c>
      <c r="K17" s="163" t="n">
        <v>46314</v>
      </c>
      <c r="L17" s="163" t="n">
        <v>46314</v>
      </c>
      <c r="M17" s="110" t="inlineStr">
        <is>
          <t>rcfworks</t>
        </is>
      </c>
      <c r="N17" s="85" t="n">
        <v>0</v>
      </c>
      <c r="O17" s="84" t="inlineStr">
        <is>
          <t>4S2-BE-03</t>
        </is>
      </c>
      <c r="P17" s="84" t="inlineStr">
        <is>
          <t>A registered client's heartbeat is recorded and a missing heartbeat raises an alert (proven with the stand-in world)</t>
        </is>
      </c>
      <c r="Q17" s="86" t="inlineStr">
        <is>
          <t>Spec §28, §30</t>
        </is>
      </c>
      <c r="R17" s="111" t="inlineStr">
        <is>
          <t>2026-10-19 DONE (rcfworks): merged in #262, acceptance met (stand-in world drives it end to end; CI green). | 2026-10-19 (rcfworks): client = one game build per world (unique), registered/revoked by BTG or the world's server (/infinex/clients). POST /infinex/heartbeat from a game session (client/world from the token), latest beat + count on the row. Worker minute sweep marks a build quiet 5 min (after it has reported) missing: audit infinex.heartbeatMissing + Integrations screen (integrationHealth.infinex); next beat recovers (audited). Stand-in world: npm run infinex:standin (server token → session → manifest → heartbeats), driven end to end by tests/infinex-clients.test.ts (5). Sessions now start without INFINEX_SIGNING_SECRET (signingKey null). RBAC §38 INFINEX_CLIENT own client; digest 6c2dbfecd20f5311. Migration 20261019200000_infinex_client_heartbeat. | Split 2026-10-16 (user): the game half moved to Phase 5 as 6S1-INT-02.</t>
        </is>
      </c>
    </row>
    <row r="18" ht="23.85" customHeight="1" s="75">
      <c r="A18" s="104" t="n">
        <v>21</v>
      </c>
      <c r="B18" s="105" t="inlineStr">
        <is>
          <t>4S3-INT-03</t>
        </is>
      </c>
      <c r="C18" s="81" t="n">
        <v>3</v>
      </c>
      <c r="D18" s="82" t="inlineStr">
        <is>
          <t>Sprint 3 · INFINEX client endpoints</t>
        </is>
      </c>
      <c r="E18" s="138" t="inlineStr">
        <is>
          <t>INT</t>
        </is>
      </c>
      <c r="F18" s="120" t="inlineStr">
        <is>
          <t>Code</t>
        </is>
      </c>
      <c r="G18" s="80" t="inlineStr">
        <is>
          <t>Client configuration endpoint</t>
        </is>
      </c>
      <c r="H18" s="107" t="inlineStr">
        <is>
          <t>SponsorX's side: feature flags, telemetry limits and schema versions served per client, so behaviour changes without a client release. The game honouring them is 6S1-INT-03.</t>
        </is>
      </c>
      <c r="I18" s="108" t="inlineStr">
        <is>
          <t>Done</t>
        </is>
      </c>
      <c r="J18" s="108" t="n">
        <v>1</v>
      </c>
      <c r="K18" s="163" t="n">
        <v>46314</v>
      </c>
      <c r="L18" s="163" t="n">
        <v>46314</v>
      </c>
      <c r="M18" s="110" t="inlineStr">
        <is>
          <t>rcfworks</t>
        </is>
      </c>
      <c r="N18" s="81" t="n">
        <v>0</v>
      </c>
      <c r="O18" s="80" t="inlineStr">
        <is>
          <t>4S2-BE-03</t>
        </is>
      </c>
      <c r="P18" s="80" t="inlineStr">
        <is>
          <t>Config is served per client with its telemetry limits, and the stand-in world honours them</t>
        </is>
      </c>
      <c r="Q18" s="82" t="inlineStr">
        <is>
          <t>Spec §28</t>
        </is>
      </c>
      <c r="R18" s="111" t="inlineStr">
        <is>
          <t>2026-10-19 DONE (rcfworks): merged in #263, acceptance met (stand-in honours the config; CI green). | 2026-10-19 (rcfworks): GET /infinex/config (game session, own build, ETag/304): reviewed defaults infinex-config@1.0.0 + BTG's per-build override within LIMITS (GET/PATCH /infinex/clients/{id}/config; 422 with every reason; machines 403; audited). Heartbeat interval × 5 = missing threshold (sweep per build). Stand-in reads config first and honours it (heartbeat/poll intervals, limits reported). Migration 20261019220000_infinex_client_config. tests/infinex-config.test.ts (7). | Split 2026-10-16 (user): the game half moved to Phase 5 as 6S1-INT-03.</t>
        </is>
      </c>
    </row>
    <row r="19" ht="23.85" customHeight="1" s="75">
      <c r="A19" s="104" t="n">
        <v>23</v>
      </c>
      <c r="B19" s="105" t="inlineStr">
        <is>
          <t>4S4-BE-01</t>
        </is>
      </c>
      <c r="C19" s="81" t="n">
        <v>4</v>
      </c>
      <c r="D19" s="82" t="inlineStr">
        <is>
          <t>Sprint 4 · Telemetry ingestion</t>
        </is>
      </c>
      <c r="E19" s="139" t="inlineStr">
        <is>
          <t>BE</t>
        </is>
      </c>
      <c r="F19" s="120" t="inlineStr">
        <is>
          <t>Code</t>
        </is>
      </c>
      <c r="G19" s="80" t="inlineStr">
        <is>
          <t>Telemetry batch ingestion endpoint</t>
        </is>
      </c>
      <c r="H19" s="107" t="inlineStr">
        <is>
          <t>Batched events with service authentication. Validates schema, timestamp, placement-campaign relationship, signature and replay indicators.</t>
        </is>
      </c>
      <c r="I19" s="108" t="inlineStr">
        <is>
          <t>Done</t>
        </is>
      </c>
      <c r="J19" s="108" t="n">
        <v>5</v>
      </c>
      <c r="K19" s="163" t="n">
        <v>46314</v>
      </c>
      <c r="L19" s="163" t="n">
        <v>46314</v>
      </c>
      <c r="M19" s="110" t="inlineStr">
        <is>
          <t>rcfworks</t>
        </is>
      </c>
      <c r="N19" s="81" t="n">
        <v>0</v>
      </c>
      <c r="O19" s="80" t="inlineStr">
        <is>
          <t>4S0-SEC-01</t>
        </is>
      </c>
      <c r="P19" s="80" t="inlineStr">
        <is>
          <t>Batch endpoint supports idempotent event IDs and rejects malformed or unauthorised events</t>
        </is>
      </c>
      <c r="Q19" s="82" t="inlineStr">
        <is>
          <t>Spec §28, §34</t>
        </is>
      </c>
      <c r="R19" s="111" t="inlineStr">
        <is>
          <t>2026-10-19 DONE (rcfworks): merged in #265, acceptance met (CI green). | 2026-10-19 (rcfworks): POST /infinex/telemetry — game session, signed over raw bytes, build's maxBatch/maxBytes (413) and telemetry flag (409); per-event checks with named problems; stored once per (client, eventId) via createManyAndReturn skipDuplicates (resend = duplicate); &gt;72 h quarantined. Path is /infinex/telemetry (the spec's :batch clashes with Express params). Stand-in sends a signed batch. New resource virtualEvent (RBAC §38, digest e42f713e01538f23). tests/infinex-telemetry.test.ts (6).</t>
        </is>
      </c>
    </row>
    <row r="20" ht="23.85" customHeight="1" s="75">
      <c r="A20" s="112" t="n">
        <v>24</v>
      </c>
      <c r="B20" s="113" t="inlineStr">
        <is>
          <t>4S4-BE-02</t>
        </is>
      </c>
      <c r="C20" s="85" t="n">
        <v>4</v>
      </c>
      <c r="D20" s="86" t="inlineStr">
        <is>
          <t>Sprint 4 · Telemetry ingestion</t>
        </is>
      </c>
      <c r="E20" s="137" t="inlineStr">
        <is>
          <t>BE</t>
        </is>
      </c>
      <c r="F20" s="122" t="inlineStr">
        <is>
          <t>Code</t>
        </is>
      </c>
      <c r="G20" s="84" t="inlineStr">
        <is>
          <t>Event schema and versioning</t>
        </is>
      </c>
      <c r="H20" s="116" t="inlineStr">
        <is>
          <t>The shared contract: event_id, schema_version, event_type, occurred_at, world/zone/placement, session, dwell, interaction type. Versioned so client and server can evolve apart.</t>
        </is>
      </c>
      <c r="I20" s="108" t="inlineStr">
        <is>
          <t>Done</t>
        </is>
      </c>
      <c r="J20" s="108" t="n">
        <v>3</v>
      </c>
      <c r="K20" s="163" t="n">
        <v>46314</v>
      </c>
      <c r="L20" s="163" t="n">
        <v>46314</v>
      </c>
      <c r="M20" s="110" t="inlineStr">
        <is>
          <t>rcfworks</t>
        </is>
      </c>
      <c r="N20" s="85" t="n">
        <v>0</v>
      </c>
      <c r="O20" s="84" t="inlineStr">
        <is>
          <t>4S4-BE-01</t>
        </is>
      </c>
      <c r="P20" s="84" t="inlineStr">
        <is>
          <t>Schema is versioned and a mismatched version is rejected with a clear error</t>
        </is>
      </c>
      <c r="Q20" s="86" t="inlineStr">
        <is>
          <t>Spec §29</t>
        </is>
      </c>
      <c r="R20" s="111" t="inlineStr">
        <is>
          <t>2026-10-19 DONE (rcfworks): merged in #265, acceptance met (CI green). | 2026-10-19 (rcfworks), with 4S4-BE-01: envelope + v1 data shapes per event type (SCHEMAS[1]); supported versions from the build's config; mismatched version refused 'unsupported-schema-version' naming the supported ones.</t>
        </is>
      </c>
    </row>
    <row r="21" ht="23.85" customHeight="1" s="75">
      <c r="A21" s="104" t="n">
        <v>27</v>
      </c>
      <c r="B21" s="105" t="inlineStr">
        <is>
          <t>4S4-DATA-01</t>
        </is>
      </c>
      <c r="C21" s="81" t="n">
        <v>4</v>
      </c>
      <c r="D21" s="82" t="inlineStr">
        <is>
          <t>Sprint 4 · Telemetry ingestion</t>
        </is>
      </c>
      <c r="E21" s="143" t="inlineStr">
        <is>
          <t>DATA</t>
        </is>
      </c>
      <c r="F21" s="120" t="inlineStr">
        <is>
          <t>Code</t>
        </is>
      </c>
      <c r="G21" s="80" t="inlineStr">
        <is>
          <t>Raw event storage</t>
        </is>
      </c>
      <c r="H21" s="107" t="inlineStr">
        <is>
          <t>Durable raw telemetry, kept separate from aggregates, so any number can be recomputed from source.</t>
        </is>
      </c>
      <c r="I21" s="108" t="inlineStr">
        <is>
          <t>Done</t>
        </is>
      </c>
      <c r="J21" s="108" t="n">
        <v>3</v>
      </c>
      <c r="K21" s="163" t="n">
        <v>46314</v>
      </c>
      <c r="L21" s="163" t="n">
        <v>46314</v>
      </c>
      <c r="M21" s="110" t="inlineStr">
        <is>
          <t>rcfworks</t>
        </is>
      </c>
      <c r="N21" s="81" t="n">
        <v>0</v>
      </c>
      <c r="O21" s="80" t="inlineStr">
        <is>
          <t>4S4-BE-01</t>
        </is>
      </c>
      <c r="P21" s="80" t="inlineStr">
        <is>
          <t>Raw events are durably stored and aggregates are reproducible from them</t>
        </is>
      </c>
      <c r="Q21" s="82" t="inlineStr">
        <is>
          <t>Spec §30</t>
        </is>
      </c>
      <c r="R21" s="111" t="inlineStr">
        <is>
          <t>2026-10-19 DONE (rcfworks): merged in #265, acceptance met (CI green). | 2026-10-19 (rcfworks), with 4S4-BE-01: VirtualEventRaw keyed (clientId, eventId), append-only trigger virtual_event_append_only, separate from aggregates (4S5-DATA-01 computes from it). Migration 20261019230000_virtual_event_raw.</t>
        </is>
      </c>
    </row>
    <row r="22" ht="23.85" customHeight="1" s="75">
      <c r="A22" s="112" t="n">
        <v>38</v>
      </c>
      <c r="B22" s="113" t="inlineStr">
        <is>
          <t>4S7-BE-01</t>
        </is>
      </c>
      <c r="C22" s="85" t="n">
        <v>7</v>
      </c>
      <c r="D22" s="86" t="inlineStr">
        <is>
          <t>Sprint 7 · Cross-channel reporting</t>
        </is>
      </c>
      <c r="E22" s="137" t="inlineStr">
        <is>
          <t>BE</t>
        </is>
      </c>
      <c r="F22" s="122" t="inlineStr">
        <is>
          <t>Code</t>
        </is>
      </c>
      <c r="G22" s="84" t="inlineStr">
        <is>
          <t>Cross-channel campaign model extension</t>
        </is>
      </c>
      <c r="H22" s="116" t="inlineStr">
        <is>
          <t>One campaign holding real-world, social, athlete, reward and INFINEX inventory together.</t>
        </is>
      </c>
      <c r="I22" s="108" t="inlineStr">
        <is>
          <t>Done</t>
        </is>
      </c>
      <c r="J22" s="108" t="n">
        <v>5</v>
      </c>
      <c r="K22" s="163" t="n">
        <v>46314</v>
      </c>
      <c r="L22" s="163" t="n">
        <v>46314</v>
      </c>
      <c r="M22" s="110" t="inlineStr">
        <is>
          <t>rcfworks</t>
        </is>
      </c>
      <c r="N22" s="85" t="n">
        <v>0</v>
      </c>
      <c r="O22" s="84" t="inlineStr">
        <is>
          <t>4S1-BE-03</t>
        </is>
      </c>
      <c r="P22" s="84" t="inlineStr">
        <is>
          <t>A single campaign can contain virtual and non-virtual inventory</t>
        </is>
      </c>
      <c r="Q22" s="86" t="inlineStr">
        <is>
          <t>Spec §25</t>
        </is>
      </c>
      <c r="R22" s="111" t="inlineStr">
        <is>
          <t>2026-10-19 DONE (rcfworks): merged in #255, acceptance met (tests green on CI). | 2026-10-19 (rcfworks): one campaign holds athlete orders, NEXT ad slots and INFINEX placement windows (PlacementWindow.campaignId is now a foreign key). A booking is a PLACEMENT_WINDOW_BOOKED fact (channel INFINEX, measure virtual_booked_cents, CampaignDaySummary.virtualBookedCents), reversed on release; counted once in figures, the nightly fact check, sponsor spend and the sponsor report (virtualPlacements). A campaign with only INFINEX placements skips STAFFING like an ad-only one. Migration 20261019120000_virtual_booked_fact. tests/cross-channel-campaign.test.ts.</t>
        </is>
      </c>
    </row>
    <row r="23" ht="23.85" customHeight="1" s="75">
      <c r="A23" s="112" t="n">
        <v>52</v>
      </c>
      <c r="B23" s="113" t="inlineStr">
        <is>
          <t>4S9-PMO-03</t>
        </is>
      </c>
      <c r="C23" s="85" t="n">
        <v>9</v>
      </c>
      <c r="D23" s="86" t="inlineStr">
        <is>
          <t>Sprint 9 · Sign-off</t>
        </is>
      </c>
      <c r="E23" s="137" t="inlineStr">
        <is>
          <t>PMO</t>
        </is>
      </c>
      <c r="F23" s="122" t="inlineStr">
        <is>
          <t>Document</t>
        </is>
      </c>
      <c r="G23" s="84" t="inlineStr">
        <is>
          <t>Phase 4 acceptance record, as built</t>
        </is>
      </c>
      <c r="H23" s="116" t="inlineStr">
        <is>
          <t>Raised 2026-10-20 when the game was parked and every open Phase 4 task moved to the game phase (now Phase 6; the former UAT is 6S8-PMO-01). Records criteria 1–4 with the tasks, PRs and tests that prove them.</t>
        </is>
      </c>
      <c r="I23" s="108" t="inlineStr">
        <is>
          <t>Done</t>
        </is>
      </c>
      <c r="J23" s="108" t="n">
        <v>1</v>
      </c>
      <c r="K23" s="163" t="n">
        <v>46315</v>
      </c>
      <c r="L23" s="163" t="n">
        <v>46315</v>
      </c>
      <c r="M23" s="110" t="inlineStr">
        <is>
          <t>rcfworks</t>
        </is>
      </c>
      <c r="N23" s="85" t="n">
        <v>0</v>
      </c>
      <c r="O23" s="84" t="inlineStr">
        <is>
          <t>4S1-BE-04, 4S2-BE-03, 4S2-BE-05, 4S4-BE-01</t>
        </is>
      </c>
      <c r="P23" s="84" t="inlineStr">
        <is>
          <t>Phase 4's acceptance criteria 1–4 demonstrated and signed off</t>
        </is>
      </c>
      <c r="Q23" s="86" t="inlineStr">
        <is>
          <t>Spec §34</t>
        </is>
      </c>
      <c r="R23" s="111" t="inlineStr">
        <is>
          <t>2026-10-20 DONE (rcfworks, signed off with Rodney's delegated authority): documentation/SponsorX-Phase4-Acceptance-Signoff.md — 75/75 Phase 4 tests pass against 08f10a6b (stand-in world end to end); release 1b198d4b checked on staging.</t>
        </is>
      </c>
    </row>
    <row r="24" ht="23.85" customHeight="1" s="75"/>
    <row r="25" ht="23.85" customHeight="1" s="75"/>
    <row r="26" ht="32.8" customHeight="1" s="75"/>
    <row r="27" ht="23.85" customHeight="1" s="75"/>
    <row r="28" ht="23.85" customHeight="1" s="75"/>
    <row r="29" ht="23.85" customHeight="1" s="75"/>
    <row r="30" ht="23.85" customHeight="1" s="75"/>
    <row r="31" ht="23.85" customHeight="1" s="75"/>
    <row r="32" ht="22.35" customHeight="1" s="75"/>
    <row r="33" ht="23.85" customHeight="1" s="75"/>
    <row r="34" ht="23.85" customHeight="1" s="75"/>
    <row r="35" ht="23.85" customHeight="1" s="75"/>
    <row r="36" ht="23.85" customHeight="1" s="75"/>
    <row r="37" ht="23.85" customHeight="1" s="75"/>
    <row r="38" ht="23.85" customHeight="1" s="75"/>
    <row r="39" ht="23.85" customHeight="1" s="75"/>
    <row r="40" ht="23.85" customHeight="1" s="75"/>
    <row r="41" ht="23.85" customHeight="1" s="75"/>
    <row r="42" ht="22.35" customHeight="1" s="75"/>
    <row r="43" ht="23.85" customHeight="1" s="75"/>
    <row r="44" ht="22.35" customHeight="1" s="75"/>
    <row r="45" ht="23.85" customHeight="1" s="75"/>
    <row r="46" ht="23.85" customHeight="1" s="75"/>
    <row r="47" ht="22.35" customHeight="1" s="75"/>
    <row r="48" ht="23.85" customHeight="1" s="75"/>
    <row r="49" ht="23.85" customHeight="1" s="75"/>
    <row r="50" ht="23.85" customHeight="1" s="75"/>
    <row r="51" ht="23.85" customHeight="1" s="75"/>
    <row r="52" s="75"/>
    <row r="53" s="75"/>
    <row r="54" s="75"/>
    <row r="55" s="75"/>
  </sheetData>
  <autoFilter ref="A4:R23"/>
  <mergeCells count="2">
    <mergeCell ref="A2:R2"/>
    <mergeCell ref="A1:R1"/>
  </mergeCells>
  <conditionalFormatting sqref="I5:I23">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23">
    <cfRule type="expression" rank="0" priority="7" equalAverage="0" aboveAverage="0" dxfId="32" text="" percent="0" bottom="0">
      <formula>$I5="Done"</formula>
    </cfRule>
  </conditionalFormatting>
  <conditionalFormatting sqref="N5:N23">
    <cfRule type="cellIs" rank="0" priority="8" equalAverage="0" operator="greaterThanOrEqual" aboveAverage="0" dxfId="33" text="" percent="0" bottom="0">
      <formula>50</formula>
    </cfRule>
  </conditionalFormatting>
  <dataValidations count="1">
    <dataValidation sqref="I5:I23" showDropDown="0" showInputMessage="0" showErrorMessage="0" allowBlank="0" type="list" errorStyle="stop" operator="between">
      <formula1>"Ready,In progress,Code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R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46" t="inlineStr">
        <is>
          <t>SponsorX — Phase 5 · Certified Recruiting Partnership</t>
        </is>
      </c>
    </row>
    <row r="2" ht="15" customHeight="1" s="75">
      <c r="A2" s="77" t="inlineStr">
        <is>
          <t>2 tasks · links between SponsorX and certified-recruiting.com (the GoDaddy site, already built; BTG already links to it). Added 2026-10-27.</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32.8" customHeight="1" s="75">
      <c r="A5" s="104" t="n">
        <v>1</v>
      </c>
      <c r="B5" s="105" t="inlineStr">
        <is>
          <t>5S1-FE-01</t>
        </is>
      </c>
      <c r="C5" s="81" t="n">
        <v>1</v>
      </c>
      <c r="D5" s="82" t="inlineStr">
        <is>
          <t>Sprint 1 · Partner links</t>
        </is>
      </c>
      <c r="E5" s="138" t="inlineStr">
        <is>
          <t>FE</t>
        </is>
      </c>
      <c r="F5" s="120" t="inlineStr">
        <is>
          <t>Code</t>
        </is>
      </c>
      <c r="G5" s="80" t="inlineStr">
        <is>
          <t>Certified Recruiting card on SponsorX</t>
        </is>
      </c>
      <c r="H5" s="107" t="inlineStr">
        <is>
          <t>Partner card linking to certified-recruiting.com, on the home page and the athlete dashboard.</t>
        </is>
      </c>
      <c r="I5" s="108" t="inlineStr">
        <is>
          <t>Ready</t>
        </is>
      </c>
      <c r="J5" s="108" t="n">
        <v>1</v>
      </c>
      <c r="K5" s="109" t="n"/>
      <c r="L5" s="109" t="n"/>
      <c r="M5" s="110" t="n"/>
      <c r="N5" s="81" t="n">
        <v>0</v>
      </c>
      <c r="O5" s="80" t="n"/>
      <c r="P5" s="80" t="inlineStr">
        <is>
          <t>Card shows on both pages, opens certified-recruiting.com, works on phone and desktop</t>
        </is>
      </c>
      <c r="Q5" s="82" t="inlineStr">
        <is>
          <t>SponsorX-Phase5-Certified-Recruiting.md</t>
        </is>
      </c>
      <c r="R5" s="111" t="inlineStr">
        <is>
          <t>Raised 2026-10-27. Slack brief in the phase doc.</t>
        </is>
      </c>
    </row>
    <row r="6" ht="32.8" customHeight="1" s="75">
      <c r="A6" s="104" t="n">
        <v>2</v>
      </c>
      <c r="B6" s="105" t="inlineStr">
        <is>
          <t>5S1-FE-02</t>
        </is>
      </c>
      <c r="C6" s="81" t="n">
        <v>1</v>
      </c>
      <c r="D6" s="82" t="inlineStr">
        <is>
          <t>Sprint 1 · Partner links</t>
        </is>
      </c>
      <c r="E6" s="138" t="inlineStr">
        <is>
          <t>FE</t>
        </is>
      </c>
      <c r="F6" s="120" t="inlineStr">
        <is>
          <t>Vendor console</t>
        </is>
      </c>
      <c r="G6" s="80" t="inlineStr">
        <is>
          <t>Fix footer links on certified-recruiting.com</t>
        </is>
      </c>
      <c r="H6" s="107" t="inlineStr">
        <is>
          <t>GoDaddy editor: SponsorX → sponsorx.net, SponsorX Next → sponsorx.net/next/about, real Instagram and X.</t>
        </is>
      </c>
      <c r="I6" s="108" t="inlineStr">
        <is>
          <t>Ready</t>
        </is>
      </c>
      <c r="J6" s="108" t="n">
        <v>1</v>
      </c>
      <c r="K6" s="109" t="n"/>
      <c r="L6" s="109" t="n"/>
      <c r="M6" s="110" t="n"/>
      <c r="N6" s="81" t="n">
        <v>0</v>
      </c>
      <c r="O6" s="80" t="n"/>
      <c r="P6" s="80" t="inlineStr">
        <is>
          <t>Every footer link opens the right page</t>
        </is>
      </c>
      <c r="Q6" s="82" t="inlineStr">
        <is>
          <t>SponsorX-Phase5-Certified-Recruiting.md</t>
        </is>
      </c>
      <c r="R6" s="111" t="inlineStr">
        <is>
          <t>Raised 2026-10-27.</t>
        </is>
      </c>
    </row>
    <row r="7" ht="32.8" customHeight="1" s="75"/>
    <row r="8" ht="32.8" customHeight="1" s="75"/>
    <row r="9" ht="32.8" customHeight="1" s="75"/>
    <row r="10" ht="32.8" customHeight="1" s="75"/>
    <row r="11" ht="32.8" customHeight="1" s="75"/>
    <row r="12" ht="32.8" customHeight="1" s="75"/>
    <row r="13" ht="32.8" customHeight="1" s="75"/>
    <row r="14" ht="32.8" customHeight="1" s="75"/>
    <row r="15" ht="32.8" customHeight="1" s="75"/>
    <row r="16" ht="32.8" customHeight="1" s="75"/>
    <row r="17" ht="32.8" customHeight="1" s="75"/>
    <row r="18" ht="32.8" customHeight="1" s="75"/>
    <row r="19" ht="32.8" customHeight="1" s="75"/>
    <row r="20" ht="32.8" customHeight="1" s="75"/>
    <row r="21" ht="32.8" customHeight="1" s="75"/>
    <row r="22" ht="32.8" customHeight="1" s="75"/>
    <row r="23" ht="32.8" customHeight="1" s="75"/>
    <row r="24" ht="32.8" customHeight="1" s="75"/>
    <row r="25" ht="32.8" customHeight="1" s="75"/>
    <row r="26" ht="32.8" customHeight="1" s="75"/>
    <row r="27" ht="23.85" customHeight="1" s="75"/>
    <row r="28" ht="23.85" customHeight="1" s="75"/>
    <row r="29" ht="23.85" customHeight="1" s="75"/>
    <row r="30" ht="23.85" customHeight="1" s="75"/>
    <row r="31" ht="23.85" customHeight="1" s="75"/>
    <row r="32" ht="22.35" customHeight="1" s="75"/>
    <row r="33" ht="23.85" customHeight="1" s="75"/>
    <row r="34" ht="23.85" customHeight="1" s="75"/>
    <row r="35" ht="23.85" customHeight="1" s="75"/>
    <row r="36" ht="23.85" customHeight="1" s="75"/>
    <row r="37" ht="23.85" customHeight="1" s="75"/>
    <row r="38" ht="23.85" customHeight="1" s="75"/>
    <row r="39" ht="23.85" customHeight="1" s="75"/>
    <row r="40" ht="23.85" customHeight="1" s="75"/>
    <row r="41" ht="23.85" customHeight="1" s="75"/>
    <row r="42" ht="22.35" customHeight="1" s="75"/>
    <row r="43" ht="23.85" customHeight="1" s="75"/>
    <row r="44" ht="22.35" customHeight="1" s="75"/>
    <row r="45" ht="23.85" customHeight="1" s="75"/>
    <row r="46" ht="23.85" customHeight="1" s="75"/>
    <row r="47" ht="22.35" customHeight="1" s="75"/>
    <row r="48" ht="23.85" customHeight="1" s="75"/>
    <row r="49" ht="23.85" customHeight="1" s="75"/>
    <row r="50" ht="23.85" customHeight="1" s="75"/>
    <row r="51" ht="23.85" customHeight="1" s="75"/>
    <row r="52" s="75"/>
    <row r="53" s="75"/>
    <row r="54" s="75"/>
    <row r="55" s="75"/>
  </sheetData>
  <autoFilter ref="A4:R6"/>
  <mergeCells count="2">
    <mergeCell ref="A2:R2"/>
    <mergeCell ref="A1:R1"/>
  </mergeCells>
  <conditionalFormatting sqref="I5:I6">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6">
    <cfRule type="expression" rank="0" priority="7" equalAverage="0" aboveAverage="0" dxfId="32" text="" percent="0" bottom="0">
      <formula>$I5="Done"</formula>
    </cfRule>
  </conditionalFormatting>
  <conditionalFormatting sqref="N5:N6">
    <cfRule type="cellIs" rank="0" priority="8" equalAverage="0" operator="greaterThanOrEqual" aboveAverage="0" dxfId="33" text="" percent="0" bottom="0">
      <formula>50</formula>
    </cfRule>
  </conditionalFormatting>
  <dataValidations count="1">
    <dataValidation sqref="I5:I6" showDropDown="0" showInputMessage="0" showErrorMessage="0" allowBlank="1" type="list">
      <formula1>"Ready,In progress,Code review,Blocked,Done"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R5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ColWidth="8.6796875" defaultRowHeight="15" zeroHeight="0" outlineLevelRow="0"/>
  <cols>
    <col width="7" customWidth="1" style="74" min="1" max="1"/>
    <col width="12" customWidth="1" style="74" min="2" max="2"/>
    <col width="7" customWidth="1" style="74" min="3" max="3"/>
    <col width="24" customWidth="1" style="74" min="4" max="4"/>
    <col width="6" customWidth="1" style="74" min="5" max="5"/>
    <col width="20" customWidth="1" style="74" min="6" max="6"/>
    <col width="38" customWidth="1" style="74" min="7" max="7"/>
    <col width="58" customWidth="1" style="74" min="8" max="8"/>
    <col width="13" customWidth="1" style="74" min="9" max="9"/>
    <col width="9" customWidth="1" style="74" min="10" max="10"/>
    <col width="12" customWidth="1" style="74" min="11" max="12"/>
    <col width="14" customWidth="1" style="74" min="13" max="13"/>
    <col width="9" customWidth="1" style="74" min="14" max="14"/>
    <col width="20" customWidth="1" style="74" min="15" max="15"/>
    <col width="46" customWidth="1" style="74" min="16" max="16"/>
    <col width="14" customWidth="1" style="74" min="17" max="17"/>
    <col width="20" customWidth="1" style="74" min="18" max="18"/>
  </cols>
  <sheetData>
    <row r="1" ht="24" customHeight="1" s="75">
      <c r="A1" s="146" t="inlineStr">
        <is>
          <t>SponsorX — Phase 6 · INFINEX Game Integration</t>
        </is>
      </c>
    </row>
    <row r="2" ht="15" customHeight="1" s="75">
      <c r="A2" s="77" t="inlineStr">
        <is>
          <t>50 tasks across 8 sprints · the game and everything that serves it: the in-game connector, the staging world test, the pilot world, player accounts with a live connection, and (moved from Phase 4 on 2026-10-20, the game being parked) telemetry at scale, viewability and metrics, in-world activations, game reporting and operations, and the virtual-inventory screens, emergency pause, UAT and rollout · Phase 5 until 2026-10-27, when Certified Recruiting took Phase 5; IDs renumbered 5S… → 6S…</t>
        </is>
      </c>
    </row>
    <row r="3"/>
    <row r="4" ht="30" customHeight="1" s="75">
      <c r="A4" s="78" t="inlineStr">
        <is>
          <t>Order</t>
        </is>
      </c>
      <c r="B4" s="78" t="inlineStr">
        <is>
          <t>ID</t>
        </is>
      </c>
      <c r="C4" s="78" t="inlineStr">
        <is>
          <t>Stage</t>
        </is>
      </c>
      <c r="D4" s="78" t="inlineStr">
        <is>
          <t>Stage name</t>
        </is>
      </c>
      <c r="E4" s="78" t="inlineStr">
        <is>
          <t>Cat</t>
        </is>
      </c>
      <c r="F4" s="78" t="inlineStr">
        <is>
          <t>Where the work happens</t>
        </is>
      </c>
      <c r="G4" s="78" t="inlineStr">
        <is>
          <t>Task</t>
        </is>
      </c>
      <c r="H4" s="78" t="inlineStr">
        <is>
          <t>DETAILS</t>
        </is>
      </c>
      <c r="I4" s="78" t="inlineStr">
        <is>
          <t>Status</t>
        </is>
      </c>
      <c r="J4" s="78" t="inlineStr">
        <is>
          <t>Weight (days)</t>
        </is>
      </c>
      <c r="K4" s="78" t="inlineStr">
        <is>
          <t>Date Started</t>
        </is>
      </c>
      <c r="L4" s="78" t="inlineStr">
        <is>
          <t>Date Done</t>
        </is>
      </c>
      <c r="M4" s="78" t="inlineStr">
        <is>
          <t>Owner</t>
        </is>
      </c>
      <c r="N4" s="78" t="inlineStr">
        <is>
          <t>Unblocks</t>
        </is>
      </c>
      <c r="O4" s="78" t="inlineStr">
        <is>
          <t>Depends On</t>
        </is>
      </c>
      <c r="P4" s="78" t="inlineStr">
        <is>
          <t>Acceptance Criteria</t>
        </is>
      </c>
      <c r="Q4" s="78" t="inlineStr">
        <is>
          <t>Refs</t>
        </is>
      </c>
      <c r="R4" s="78" t="inlineStr">
        <is>
          <t>Notes</t>
        </is>
      </c>
    </row>
    <row r="5" ht="32.8" customHeight="1" s="75">
      <c r="A5" s="104" t="n">
        <v>1</v>
      </c>
      <c r="B5" s="105" t="inlineStr">
        <is>
          <t>6S1-INT-01</t>
        </is>
      </c>
      <c r="C5" s="81" t="n">
        <v>1</v>
      </c>
      <c r="D5" s="82" t="inlineStr">
        <is>
          <t>Sprint 1 · Game connector</t>
        </is>
      </c>
      <c r="E5" s="138" t="inlineStr">
        <is>
          <t>INT</t>
        </is>
      </c>
      <c r="F5" s="120" t="inlineStr">
        <is>
          <t>Code</t>
        </is>
      </c>
      <c r="G5" s="80" t="inlineStr">
        <is>
          <t>INFINEX client manifest consumption</t>
        </is>
      </c>
      <c r="H5" s="107" t="inlineStr">
        <is>
          <t>Game-engine side: fetch the manifest, cache it sensibly, and render the right asset version.</t>
        </is>
      </c>
      <c r="I5" s="108" t="inlineStr">
        <is>
          <t>Blocked</t>
        </is>
      </c>
      <c r="J5" s="108" t="n">
        <v>5</v>
      </c>
      <c r="K5" s="109" t="n"/>
      <c r="L5" s="109" t="n"/>
      <c r="M5" s="110" t="n"/>
      <c r="N5" s="81" t="n">
        <v>0</v>
      </c>
      <c r="O5" s="80" t="inlineStr">
        <is>
          <t>4S2-BE-03</t>
        </is>
      </c>
      <c r="P5" s="80" t="inlineStr">
        <is>
          <t>The INFINEX client renders a sponsored placement using the correct asset version</t>
        </is>
      </c>
      <c r="Q5" s="82" t="inlineStr">
        <is>
          <t>Spec §34</t>
        </is>
      </c>
      <c r="R5" s="111" t="inlineStr">
        <is>
          <t>Formerly 4S3-INT-01 (moved 2026-10-16). Work inside the INFINEX game. | Formerly 5S1-INT-01 (Phase 5 became Phase 6, 2026-10-27).</t>
        </is>
      </c>
    </row>
    <row r="6" ht="32.8" customHeight="1" s="75">
      <c r="A6" s="104" t="n">
        <v>2</v>
      </c>
      <c r="B6" s="105" t="inlineStr">
        <is>
          <t>6S1-INT-02</t>
        </is>
      </c>
      <c r="C6" s="81" t="n">
        <v>1</v>
      </c>
      <c r="D6" s="82" t="inlineStr">
        <is>
          <t>Sprint 1 · Game connector</t>
        </is>
      </c>
      <c r="E6" s="138" t="inlineStr">
        <is>
          <t>INT</t>
        </is>
      </c>
      <c r="F6" s="120" t="inlineStr">
        <is>
          <t>Code</t>
        </is>
      </c>
      <c r="G6" s="80" t="inlineStr">
        <is>
          <t>Game heartbeat</t>
        </is>
      </c>
      <c r="H6" s="107" t="inlineStr">
        <is>
          <t>The game half of the client heartbeat: the game registers with its key and reports health to SponsorX's heartbeat endpoint (4S3-INT-02).</t>
        </is>
      </c>
      <c r="I6" s="108" t="inlineStr">
        <is>
          <t>Blocked</t>
        </is>
      </c>
      <c r="J6" s="108" t="n">
        <v>1</v>
      </c>
      <c r="K6" s="109" t="n"/>
      <c r="L6" s="109" t="n"/>
      <c r="M6" s="110" t="n"/>
      <c r="N6" s="81" t="n">
        <v>0</v>
      </c>
      <c r="O6" s="80" t="inlineStr">
        <is>
          <t>6S1-INT-01, 4S3-INT-02</t>
        </is>
      </c>
      <c r="P6" s="80" t="inlineStr">
        <is>
          <t>The game reports its heartbeat and SponsorX raises an alert when it stops</t>
        </is>
      </c>
      <c r="Q6" s="82" t="inlineStr">
        <is>
          <t>Spec §28, §30</t>
        </is>
      </c>
      <c r="R6" s="111" t="inlineStr">
        <is>
          <t>Game half of 4S3-INT-02 (split 2026-10-16). | Formerly 5S1-INT-02 (Phase 5 became Phase 6, 2026-10-27).</t>
        </is>
      </c>
    </row>
    <row r="7" ht="32.8" customHeight="1" s="75">
      <c r="A7" s="104" t="n">
        <v>3</v>
      </c>
      <c r="B7" s="105" t="inlineStr">
        <is>
          <t>6S1-INT-03</t>
        </is>
      </c>
      <c r="C7" s="81" t="n">
        <v>1</v>
      </c>
      <c r="D7" s="82" t="inlineStr">
        <is>
          <t>Sprint 1 · Game connector</t>
        </is>
      </c>
      <c r="E7" s="138" t="inlineStr">
        <is>
          <t>INT</t>
        </is>
      </c>
      <c r="F7" s="120" t="inlineStr">
        <is>
          <t>Code</t>
        </is>
      </c>
      <c r="G7" s="80" t="inlineStr">
        <is>
          <t>Game reads its configuration</t>
        </is>
      </c>
      <c r="H7" s="107" t="inlineStr">
        <is>
          <t>The game half of the client configuration: the game reads its settings from SponsorX (4S3-INT-03) and honours the telemetry limits.</t>
        </is>
      </c>
      <c r="I7" s="108" t="inlineStr">
        <is>
          <t>Blocked</t>
        </is>
      </c>
      <c r="J7" s="108" t="n">
        <v>1</v>
      </c>
      <c r="K7" s="109" t="n"/>
      <c r="L7" s="109" t="n"/>
      <c r="M7" s="110" t="n"/>
      <c r="N7" s="81" t="n">
        <v>0</v>
      </c>
      <c r="O7" s="80" t="inlineStr">
        <is>
          <t>6S1-INT-01, 4S3-INT-03</t>
        </is>
      </c>
      <c r="P7" s="80" t="inlineStr">
        <is>
          <t>The game reads its config remotely and honours telemetry limits</t>
        </is>
      </c>
      <c r="Q7" s="82" t="inlineStr">
        <is>
          <t>Spec §28</t>
        </is>
      </c>
      <c r="R7" s="111" t="inlineStr">
        <is>
          <t>Game half of 4S3-INT-03 (split 2026-10-16). | Formerly 5S1-INT-03 (Phase 5 became Phase 6, 2026-10-27).</t>
        </is>
      </c>
    </row>
    <row r="8" ht="32.8" customHeight="1" s="75">
      <c r="A8" s="104" t="n">
        <v>4</v>
      </c>
      <c r="B8" s="105" t="inlineStr">
        <is>
          <t>6S1-QA-01</t>
        </is>
      </c>
      <c r="C8" s="81" t="n">
        <v>1</v>
      </c>
      <c r="D8" s="82" t="inlineStr">
        <is>
          <t>Sprint 1 · Game connector</t>
        </is>
      </c>
      <c r="E8" s="138" t="inlineStr">
        <is>
          <t>QA</t>
        </is>
      </c>
      <c r="F8" s="120" t="inlineStr">
        <is>
          <t>Code</t>
        </is>
      </c>
      <c r="G8" s="80" t="inlineStr">
        <is>
          <t>Staging world placement test</t>
        </is>
      </c>
      <c r="H8" s="107" t="inlineStr">
        <is>
          <t>A placement is only AVAILABLE after it renders correctly in a staging world.</t>
        </is>
      </c>
      <c r="I8" s="108" t="inlineStr">
        <is>
          <t>Blocked</t>
        </is>
      </c>
      <c r="J8" s="108" t="n">
        <v>3</v>
      </c>
      <c r="K8" s="109" t="n"/>
      <c r="L8" s="109" t="n"/>
      <c r="M8" s="110" t="n"/>
      <c r="N8" s="81" t="n">
        <v>0</v>
      </c>
      <c r="O8" s="80" t="inlineStr">
        <is>
          <t>6S1-INT-01</t>
        </is>
      </c>
      <c r="P8" s="80" t="inlineStr">
        <is>
          <t>Placement passes the staging test before it can be marked available</t>
        </is>
      </c>
      <c r="Q8" s="82" t="inlineStr">
        <is>
          <t>Spec §27.1</t>
        </is>
      </c>
      <c r="R8" s="111" t="inlineStr">
        <is>
          <t>Formerly 4S3-QA-01 (moved 2026-10-16). | Formerly 5S1-QA-01 (Phase 5 became Phase 6, 2026-10-27).</t>
        </is>
      </c>
    </row>
    <row r="9" ht="32.8" customHeight="1" s="75">
      <c r="A9" s="104" t="n">
        <v>5</v>
      </c>
      <c r="B9" s="105" t="inlineStr">
        <is>
          <t>6S2-QA-01</t>
        </is>
      </c>
      <c r="C9" s="81" t="n">
        <v>2</v>
      </c>
      <c r="D9" s="82" t="inlineStr">
        <is>
          <t>Sprint 2 · Pilot world</t>
        </is>
      </c>
      <c r="E9" s="138" t="inlineStr">
        <is>
          <t>QA</t>
        </is>
      </c>
      <c r="F9" s="120" t="inlineStr">
        <is>
          <t>Code</t>
        </is>
      </c>
      <c r="G9" s="80" t="inlineStr">
        <is>
          <t>Telemetry validation against the pilot world</t>
        </is>
      </c>
      <c r="H9" s="107" t="inlineStr">
        <is>
          <t>Compare what the client emitted against what SponsorX recorded, event by event, in a real world.</t>
        </is>
      </c>
      <c r="I9" s="108" t="inlineStr">
        <is>
          <t>Blocked</t>
        </is>
      </c>
      <c r="J9" s="108" t="n">
        <v>5</v>
      </c>
      <c r="K9" s="109" t="n"/>
      <c r="L9" s="109" t="n"/>
      <c r="M9" s="110" t="n"/>
      <c r="N9" s="81" t="n">
        <v>0</v>
      </c>
      <c r="O9" s="80" t="inlineStr">
        <is>
          <t>6S1-INT-01, 6S4-OPS-02</t>
        </is>
      </c>
      <c r="P9" s="80" t="inlineStr">
        <is>
          <t>Telemetry reconciles between client and server within defined tolerance</t>
        </is>
      </c>
      <c r="Q9" s="82" t="inlineStr">
        <is>
          <t>Spec §33</t>
        </is>
      </c>
      <c r="R9" s="111" t="inlineStr">
        <is>
          <t>Formerly 4S9-QA-01 (moved 2026-10-16). | Formerly 5S2-QA-01 (Phase 5 became Phase 6, 2026-10-27).</t>
        </is>
      </c>
    </row>
    <row r="10" ht="32.8" customHeight="1" s="75">
      <c r="A10" s="104" t="n">
        <v>6</v>
      </c>
      <c r="B10" s="105" t="inlineStr">
        <is>
          <t>6S2-PMO-01</t>
        </is>
      </c>
      <c r="C10" s="81" t="n">
        <v>2</v>
      </c>
      <c r="D10" s="82" t="inlineStr">
        <is>
          <t>Sprint 2 · Pilot world</t>
        </is>
      </c>
      <c r="E10" s="138" t="inlineStr">
        <is>
          <t>PMO</t>
        </is>
      </c>
      <c r="F10" s="120" t="inlineStr">
        <is>
          <t>Document</t>
        </is>
      </c>
      <c r="G10" s="80" t="inlineStr">
        <is>
          <t>Calibrate virtual pricing against real traffic</t>
        </is>
      </c>
      <c r="H10" s="107" t="inlineStr">
        <is>
          <t>The pricing model was built on assumptions. Pilot traffic replaces them with measurements.</t>
        </is>
      </c>
      <c r="I10" s="108" t="inlineStr">
        <is>
          <t>Blocked</t>
        </is>
      </c>
      <c r="J10" s="108" t="n">
        <v>3</v>
      </c>
      <c r="K10" s="109" t="n"/>
      <c r="L10" s="109" t="n"/>
      <c r="M10" s="110" t="n"/>
      <c r="N10" s="81" t="n">
        <v>0</v>
      </c>
      <c r="O10" s="80" t="inlineStr">
        <is>
          <t>6S2-QA-01</t>
        </is>
      </c>
      <c r="P10" s="80" t="inlineStr">
        <is>
          <t>Virtual rates recalibrated against observed traffic, viewability and dwell</t>
        </is>
      </c>
      <c r="Q10" s="82" t="inlineStr">
        <is>
          <t>Spec §32</t>
        </is>
      </c>
      <c r="R10" s="111" t="inlineStr">
        <is>
          <t>Formerly 4S9-PMO-01 (moved 2026-10-16). | Formerly 5S2-PMO-01 (Phase 5 became Phase 6, 2026-10-27).</t>
        </is>
      </c>
    </row>
    <row r="11" ht="32.8" customHeight="1" s="75">
      <c r="A11" s="104" t="n">
        <v>7</v>
      </c>
      <c r="B11" s="105" t="inlineStr">
        <is>
          <t>6S2-PMO-02</t>
        </is>
      </c>
      <c r="C11" s="81" t="n">
        <v>2</v>
      </c>
      <c r="D11" s="82" t="inlineStr">
        <is>
          <t>Sprint 2 · Pilot world</t>
        </is>
      </c>
      <c r="E11" s="138" t="inlineStr">
        <is>
          <t>PMO</t>
        </is>
      </c>
      <c r="F11" s="120" t="inlineStr">
        <is>
          <t>Document</t>
        </is>
      </c>
      <c r="G11" s="80" t="inlineStr">
        <is>
          <t>Pilot sponsor UAT</t>
        </is>
      </c>
      <c r="H11" s="107" t="inlineStr">
        <is>
          <t>A real sponsor runs a real virtual activation in the pilot world and receives a real report.</t>
        </is>
      </c>
      <c r="I11" s="108" t="inlineStr">
        <is>
          <t>Blocked</t>
        </is>
      </c>
      <c r="J11" s="108" t="n">
        <v>3</v>
      </c>
      <c r="K11" s="109" t="n"/>
      <c r="L11" s="109" t="n"/>
      <c r="M11" s="110" t="n"/>
      <c r="N11" s="81" t="n">
        <v>0</v>
      </c>
      <c r="O11" s="80" t="inlineStr">
        <is>
          <t>6S2-QA-01, 6S3-QA-01</t>
        </is>
      </c>
      <c r="P11" s="80" t="inlineStr">
        <is>
          <t>All 15 Phase 6 acceptance criteria demonstrated and signed off</t>
        </is>
      </c>
      <c r="Q11" s="82" t="inlineStr">
        <is>
          <t>Spec §34</t>
        </is>
      </c>
      <c r="R11" s="111" t="inlineStr">
        <is>
          <t>New 2026-10-16: the real-sponsor pilot, formerly part of 4S9-PMO-02. | Formerly 5S2-PMO-02 (Phase 5 became Phase 6, 2026-10-27).</t>
        </is>
      </c>
    </row>
    <row r="12" ht="32.8" customHeight="1" s="75">
      <c r="A12" s="104" t="n">
        <v>8</v>
      </c>
      <c r="B12" s="105" t="inlineStr">
        <is>
          <t>6S3-PMO-01</t>
        </is>
      </c>
      <c r="C12" s="81" t="n">
        <v>3</v>
      </c>
      <c r="D12" s="82" t="inlineStr">
        <is>
          <t>Sprint 3 · Player accounts and live connection</t>
        </is>
      </c>
      <c r="E12" s="138" t="inlineStr">
        <is>
          <t>PMO</t>
        </is>
      </c>
      <c r="F12" s="120" t="inlineStr">
        <is>
          <t>Document</t>
        </is>
      </c>
      <c r="G12" s="80" t="inlineStr">
        <is>
          <t>Player identity decision</t>
        </is>
      </c>
      <c r="H12" s="107" t="inlineStr">
        <is>
          <t>Who holds player accounts, compared: WorkOS AuthKit, a separate Clerk instance for players, Auth0, or SponsorX's own on the standard protocols (cost at player scale, native game flows, lockout and authenticator support, data location, lock-in). What player data is kept and for how long; the world contract updated from anonymous players to optional accounts. A chosen vendor gets its stack-decision addendum.</t>
        </is>
      </c>
      <c r="I12" s="108" t="inlineStr">
        <is>
          <t>Blocked</t>
        </is>
      </c>
      <c r="J12" s="108" t="n">
        <v>2</v>
      </c>
      <c r="K12" s="109" t="n"/>
      <c r="L12" s="109" t="n"/>
      <c r="M12" s="110" t="n"/>
      <c r="N12" s="81" t="n">
        <v>0</v>
      </c>
      <c r="O12" s="80" t="inlineStr">
        <is>
          <t>4S0-PMO-01</t>
        </is>
      </c>
      <c r="P12" s="80" t="inlineStr">
        <is>
          <t>The provider is chosen with the comparison written down, the player data held and its retention are recorded, the world contract is updated, and any new vendor has its stack-decision addendum</t>
        </is>
      </c>
      <c r="Q12" s="82" t="inlineStr">
        <is>
          <t>Spec §29</t>
        </is>
      </c>
      <c r="R12" s="74" t="inlineStr">
        <is>
          <t>Formerly 5S3-PMO-01 (Phase 5 became Phase 6, 2026-10-27).</t>
        </is>
      </c>
    </row>
    <row r="13" ht="32.8" customHeight="1" s="75">
      <c r="A13" s="104" t="n">
        <v>8.5</v>
      </c>
      <c r="B13" s="105" t="inlineStr">
        <is>
          <t>6S3-PMO-02</t>
        </is>
      </c>
      <c r="C13" s="81" t="n">
        <v>3</v>
      </c>
      <c r="D13" s="82" t="inlineStr">
        <is>
          <t>Sprint 3 · Player accounts and live connection</t>
        </is>
      </c>
      <c r="E13" s="138" t="inlineStr">
        <is>
          <t>PMO</t>
        </is>
      </c>
      <c r="F13" s="120" t="inlineStr">
        <is>
          <t>Document</t>
        </is>
      </c>
      <c r="G13" s="80" t="inlineStr">
        <is>
          <t>Real-time connection decision</t>
        </is>
      </c>
      <c r="H13" s="107" t="inlineStr">
        <is>
          <t>How the live game connection is carried, compared: a plain WebSocket on SponsorX's API (fan-out through Postgres LISTEN/NOTIFY), SpacetimeDB (multiplayer database with WebSocket subscriptions; could also carry live game state), or a managed service such as Ably or Pusher. Latency, connections, cost, how it authenticates, fit with the stack rules. A chosen vendor gets its stack-decision addendum.</t>
        </is>
      </c>
      <c r="I13" s="108" t="inlineStr">
        <is>
          <t>Blocked</t>
        </is>
      </c>
      <c r="J13" s="108" t="n">
        <v>3</v>
      </c>
      <c r="K13" s="109" t="n"/>
      <c r="L13" s="109" t="n"/>
      <c r="M13" s="110" t="n"/>
      <c r="N13" s="81" t="n">
        <v>0</v>
      </c>
      <c r="O13" s="80" t="inlineStr">
        <is>
          <t>4S0-SEC-01</t>
        </is>
      </c>
      <c r="P13" s="80" t="inlineStr">
        <is>
          <t>The real-time option is chosen with the comparison written down, and any new vendor has its stack-decision addendum</t>
        </is>
      </c>
      <c r="Q13" s="82" t="inlineStr">
        <is>
          <t>Spec §28, §31</t>
        </is>
      </c>
      <c r="R13" s="74" t="inlineStr">
        <is>
          <t>Formerly 5S3-PMO-02 (Phase 5 became Phase 6, 2026-10-27).</t>
        </is>
      </c>
    </row>
    <row r="14" ht="32.8" customHeight="1" s="75">
      <c r="A14" s="104" t="n">
        <v>9</v>
      </c>
      <c r="B14" s="105" t="inlineStr">
        <is>
          <t>6S3-SEC-01</t>
        </is>
      </c>
      <c r="C14" s="81" t="n">
        <v>3</v>
      </c>
      <c r="D14" s="82" t="inlineStr">
        <is>
          <t>Sprint 3 · Player accounts and live connection</t>
        </is>
      </c>
      <c r="E14" s="138" t="inlineStr">
        <is>
          <t>SEC</t>
        </is>
      </c>
      <c r="F14" s="120" t="inlineStr">
        <is>
          <t>Code</t>
        </is>
      </c>
      <c r="G14" s="80" t="inlineStr">
        <is>
          <t>Player authentication design</t>
        </is>
      </c>
      <c r="H14" s="107" t="inlineStr">
        <is>
          <t>OAuth 2.0 / OpenID Connect authorization code with PKCE for the game (RFC 8252), token lifetimes and rotating refresh tokens, NIST SP 800-63B passwords, authenticator step, lockout policy and the error codes the game reads; checked against OWASP ASVS Level 2.</t>
        </is>
      </c>
      <c r="I14" s="108" t="inlineStr">
        <is>
          <t>Blocked</t>
        </is>
      </c>
      <c r="J14" s="108" t="n">
        <v>3</v>
      </c>
      <c r="K14" s="109" t="n"/>
      <c r="L14" s="109" t="n"/>
      <c r="M14" s="110" t="n"/>
      <c r="N14" s="81" t="n">
        <v>0</v>
      </c>
      <c r="O14" s="80" t="inlineStr">
        <is>
          <t>6S3-PMO-01, 4S0-SEC-01</t>
        </is>
      </c>
      <c r="P14" s="80" t="inlineStr">
        <is>
          <t>The player authentication design is reviewed and approved</t>
        </is>
      </c>
      <c r="Q14" s="82" t="inlineStr">
        <is>
          <t>Spec §29, §31</t>
        </is>
      </c>
      <c r="R14" s="74" t="inlineStr">
        <is>
          <t>Formerly 5S3-SEC-01 (Phase 5 became Phase 6, 2026-10-27).</t>
        </is>
      </c>
    </row>
    <row r="15" ht="32.8" customHeight="1" s="75">
      <c r="A15" s="104" t="n">
        <v>10</v>
      </c>
      <c r="B15" s="105" t="inlineStr">
        <is>
          <t>6S3-BE-01</t>
        </is>
      </c>
      <c r="C15" s="81" t="n">
        <v>3</v>
      </c>
      <c r="D15" s="82" t="inlineStr">
        <is>
          <t>Sprint 3 · Player accounts and live connection</t>
        </is>
      </c>
      <c r="E15" s="138" t="inlineStr">
        <is>
          <t>BE</t>
        </is>
      </c>
      <c r="F15" s="120" t="inlineStr">
        <is>
          <t>Code</t>
        </is>
      </c>
      <c r="G15" s="80" t="inlineStr">
        <is>
          <t>Player registration with email</t>
        </is>
      </c>
      <c r="H15" s="107" t="inlineStr">
        <is>
          <t>Create an account with email and password, verify the email, minimum length and a breached-password check; an email already registered is answered without revealing it exists.</t>
        </is>
      </c>
      <c r="I15" s="108" t="inlineStr">
        <is>
          <t>Blocked</t>
        </is>
      </c>
      <c r="J15" s="108" t="n">
        <v>4</v>
      </c>
      <c r="K15" s="109" t="n"/>
      <c r="L15" s="109" t="n"/>
      <c r="M15" s="110" t="n"/>
      <c r="N15" s="81" t="n">
        <v>0</v>
      </c>
      <c r="O15" s="80" t="inlineStr">
        <is>
          <t>6S3-SEC-01</t>
        </is>
      </c>
      <c r="P15" s="80" t="inlineStr">
        <is>
          <t>A player creates an account with email and password, verifies the email, and a duplicate or weak password is refused without revealing existing accounts</t>
        </is>
      </c>
      <c r="Q15" s="82" t="inlineStr">
        <is>
          <t>Spec §29</t>
        </is>
      </c>
      <c r="R15" s="74" t="inlineStr">
        <is>
          <t>Formerly 5S3-BE-01 (Phase 5 became Phase 6, 2026-10-27).</t>
        </is>
      </c>
    </row>
    <row r="16" ht="32.8" customHeight="1" s="75">
      <c r="A16" s="104" t="n">
        <v>11</v>
      </c>
      <c r="B16" s="105" t="inlineStr">
        <is>
          <t>6S3-BE-02</t>
        </is>
      </c>
      <c r="C16" s="81" t="n">
        <v>3</v>
      </c>
      <c r="D16" s="82" t="inlineStr">
        <is>
          <t>Sprint 3 · Player accounts and live connection</t>
        </is>
      </c>
      <c r="E16" s="138" t="inlineStr">
        <is>
          <t>BE</t>
        </is>
      </c>
      <c r="F16" s="120" t="inlineStr">
        <is>
          <t>Code</t>
        </is>
      </c>
      <c r="G16" s="80" t="inlineStr">
        <is>
          <t>Email login and the login error contract</t>
        </is>
      </c>
      <c r="H16" s="107" t="inlineStr">
        <is>
          <t>Email and password login; every refusal is a stable code the game acts on: invalid-credentials (same whether or not the email exists), account-locked (with unlock time), email-not-verified, mfa-required, account-disabled, rate-limited.</t>
        </is>
      </c>
      <c r="I16" s="108" t="inlineStr">
        <is>
          <t>Blocked</t>
        </is>
      </c>
      <c r="J16" s="108" t="n">
        <v>3</v>
      </c>
      <c r="K16" s="109" t="n"/>
      <c r="L16" s="109" t="n"/>
      <c r="M16" s="110" t="n"/>
      <c r="N16" s="81" t="n">
        <v>0</v>
      </c>
      <c r="O16" s="80" t="inlineStr">
        <is>
          <t>6S3-BE-01</t>
        </is>
      </c>
      <c r="P16" s="80" t="inlineStr">
        <is>
          <t>The game can tell an invalid login, a locked account, an unverified email and a required authenticator step apart from the server's response, and none of them reveals whether an account exists</t>
        </is>
      </c>
      <c r="Q16" s="82" t="inlineStr">
        <is>
          <t>Spec §29</t>
        </is>
      </c>
      <c r="R16" s="74" t="inlineStr">
        <is>
          <t>Formerly 5S3-BE-02 (Phase 5 became Phase 6, 2026-10-27).</t>
        </is>
      </c>
    </row>
    <row r="17" ht="32.8" customHeight="1" s="75">
      <c r="A17" s="104" t="n">
        <v>12</v>
      </c>
      <c r="B17" s="105" t="inlineStr">
        <is>
          <t>6S3-BE-03</t>
        </is>
      </c>
      <c r="C17" s="81" t="n">
        <v>3</v>
      </c>
      <c r="D17" s="82" t="inlineStr">
        <is>
          <t>Sprint 3 · Player accounts and live connection</t>
        </is>
      </c>
      <c r="E17" s="138" t="inlineStr">
        <is>
          <t>BE</t>
        </is>
      </c>
      <c r="F17" s="120" t="inlineStr">
        <is>
          <t>Code</t>
        </is>
      </c>
      <c r="G17" s="80" t="inlineStr">
        <is>
          <t>Login lockout and throttling</t>
        </is>
      </c>
      <c r="H17" s="107" t="inlineStr">
        <is>
          <t>Growing delays per account and per device or IP, a temporary lock after repeated failures (unlocks by time or an emailed link), the owner told, every lock and unlock audited.</t>
        </is>
      </c>
      <c r="I17" s="108" t="inlineStr">
        <is>
          <t>Blocked</t>
        </is>
      </c>
      <c r="J17" s="108" t="n">
        <v>3</v>
      </c>
      <c r="K17" s="109" t="n"/>
      <c r="L17" s="109" t="n"/>
      <c r="M17" s="110" t="n"/>
      <c r="N17" s="81" t="n">
        <v>0</v>
      </c>
      <c r="O17" s="80" t="inlineStr">
        <is>
          <t>6S3-BE-02</t>
        </is>
      </c>
      <c r="P17" s="80" t="inlineStr">
        <is>
          <t>Repeated failed logins lock the account for a set time, the game shows when it unlocks, the owner can unlock by email, and every lock is audited</t>
        </is>
      </c>
      <c r="Q17" s="82" t="inlineStr">
        <is>
          <t>Spec §29, §31</t>
        </is>
      </c>
      <c r="R17" s="74" t="inlineStr">
        <is>
          <t>Formerly 5S3-BE-03 (Phase 5 became Phase 6, 2026-10-27).</t>
        </is>
      </c>
    </row>
    <row r="18" ht="32.8" customHeight="1" s="75">
      <c r="A18" s="104" t="n">
        <v>13</v>
      </c>
      <c r="B18" s="105" t="inlineStr">
        <is>
          <t>6S3-INT-01</t>
        </is>
      </c>
      <c r="C18" s="81" t="n">
        <v>3</v>
      </c>
      <c r="D18" s="82" t="inlineStr">
        <is>
          <t>Sprint 3 · Player accounts and live connection</t>
        </is>
      </c>
      <c r="E18" s="138" t="inlineStr">
        <is>
          <t>INT</t>
        </is>
      </c>
      <c r="F18" s="120" t="inlineStr">
        <is>
          <t>Code + console</t>
        </is>
      </c>
      <c r="G18" s="80" t="inlineStr">
        <is>
          <t>Sign in with Google</t>
        </is>
      </c>
      <c r="H18" s="107" t="inlineStr">
        <is>
          <t>Google sign-in (OpenID Connect): a new player gets an account from Google's verified email; an existing player can link Google. Google Cloud client set up in the sandbox project first.</t>
        </is>
      </c>
      <c r="I18" s="108" t="inlineStr">
        <is>
          <t>Blocked</t>
        </is>
      </c>
      <c r="J18" s="108" t="n">
        <v>3</v>
      </c>
      <c r="K18" s="109" t="n"/>
      <c r="L18" s="109" t="n"/>
      <c r="M18" s="110" t="n"/>
      <c r="N18" s="81" t="n">
        <v>0</v>
      </c>
      <c r="O18" s="80" t="inlineStr">
        <is>
          <t>6S3-SEC-01, 6S3-BE-01</t>
        </is>
      </c>
      <c r="P18" s="80" t="inlineStr">
        <is>
          <t>A player signs up and signs in with Google, and can link Google to an existing account</t>
        </is>
      </c>
      <c r="Q18" s="82" t="inlineStr">
        <is>
          <t>Spec §29</t>
        </is>
      </c>
      <c r="R18" s="74" t="inlineStr">
        <is>
          <t>Formerly 5S3-INT-01 (Phase 5 became Phase 6, 2026-10-27).</t>
        </is>
      </c>
    </row>
    <row r="19" ht="32.8" customHeight="1" s="75">
      <c r="A19" s="104" t="n">
        <v>14</v>
      </c>
      <c r="B19" s="105" t="inlineStr">
        <is>
          <t>6S3-INT-02</t>
        </is>
      </c>
      <c r="C19" s="81" t="n">
        <v>3</v>
      </c>
      <c r="D19" s="82" t="inlineStr">
        <is>
          <t>Sprint 3 · Player accounts and live connection</t>
        </is>
      </c>
      <c r="E19" s="138" t="inlineStr">
        <is>
          <t>INT</t>
        </is>
      </c>
      <c r="F19" s="120" t="inlineStr">
        <is>
          <t>Code + console</t>
        </is>
      </c>
      <c r="G19" s="80" t="inlineStr">
        <is>
          <t>Sign in with Apple</t>
        </is>
      </c>
      <c r="H19" s="107" t="inlineStr">
        <is>
          <t>Sign in with Apple, including private-relay emails, the name sent only on first sign-in, and the App Store's in-app account deletion rule. Apple developer setup first.</t>
        </is>
      </c>
      <c r="I19" s="108" t="inlineStr">
        <is>
          <t>Blocked</t>
        </is>
      </c>
      <c r="J19" s="108" t="n">
        <v>3</v>
      </c>
      <c r="K19" s="109" t="n"/>
      <c r="L19" s="109" t="n"/>
      <c r="M19" s="110" t="n"/>
      <c r="N19" s="81" t="n">
        <v>0</v>
      </c>
      <c r="O19" s="80" t="inlineStr">
        <is>
          <t>6S3-SEC-01, 6S3-BE-01</t>
        </is>
      </c>
      <c r="P19" s="80" t="inlineStr">
        <is>
          <t>A player signs up and signs in with Apple, including with a hidden (relay) email, and can link Apple to an existing account</t>
        </is>
      </c>
      <c r="Q19" s="82" t="inlineStr">
        <is>
          <t>Spec §29</t>
        </is>
      </c>
      <c r="R19" s="74" t="inlineStr">
        <is>
          <t>Formerly 5S3-INT-02 (Phase 5 became Phase 6, 2026-10-27).</t>
        </is>
      </c>
    </row>
    <row r="20" ht="32.8" customHeight="1" s="75">
      <c r="A20" s="104" t="n">
        <v>15</v>
      </c>
      <c r="B20" s="105" t="inlineStr">
        <is>
          <t>6S3-BE-04</t>
        </is>
      </c>
      <c r="C20" s="81" t="n">
        <v>3</v>
      </c>
      <c r="D20" s="82" t="inlineStr">
        <is>
          <t>Sprint 3 · Player accounts and live connection</t>
        </is>
      </c>
      <c r="E20" s="138" t="inlineStr">
        <is>
          <t>BE</t>
        </is>
      </c>
      <c r="F20" s="120" t="inlineStr">
        <is>
          <t>Code</t>
        </is>
      </c>
      <c r="G20" s="80" t="inlineStr">
        <is>
          <t>Authenticator app two-step login</t>
        </is>
      </c>
      <c r="H20" s="107" t="inlineStr">
        <is>
          <t>Authenticator app codes (RFC 6238): enrol by QR code, recovery codes shown once, turning it off needs a fresh sign-in; login answers mfa-required until the code is given.</t>
        </is>
      </c>
      <c r="I20" s="108" t="inlineStr">
        <is>
          <t>Blocked</t>
        </is>
      </c>
      <c r="J20" s="108" t="n">
        <v>4</v>
      </c>
      <c r="K20" s="109" t="n"/>
      <c r="L20" s="109" t="n"/>
      <c r="M20" s="110" t="n"/>
      <c r="N20" s="81" t="n">
        <v>0</v>
      </c>
      <c r="O20" s="80" t="inlineStr">
        <is>
          <t>6S3-BE-02</t>
        </is>
      </c>
      <c r="P20" s="80" t="inlineStr">
        <is>
          <t>A player turns on an authenticator, every later login asks for its code, recovery codes work once each, and turning it off needs a fresh sign-in</t>
        </is>
      </c>
      <c r="Q20" s="82" t="inlineStr">
        <is>
          <t>Spec §29, §31</t>
        </is>
      </c>
      <c r="R20" s="74" t="inlineStr">
        <is>
          <t>Formerly 5S3-BE-04 (Phase 5 became Phase 6, 2026-10-27).</t>
        </is>
      </c>
    </row>
    <row r="21" ht="32.8" customHeight="1" s="75">
      <c r="A21" s="104" t="n">
        <v>16</v>
      </c>
      <c r="B21" s="105" t="inlineStr">
        <is>
          <t>6S3-BE-05</t>
        </is>
      </c>
      <c r="C21" s="81" t="n">
        <v>3</v>
      </c>
      <c r="D21" s="82" t="inlineStr">
        <is>
          <t>Sprint 3 · Player accounts and live connection</t>
        </is>
      </c>
      <c r="E21" s="138" t="inlineStr">
        <is>
          <t>BE</t>
        </is>
      </c>
      <c r="F21" s="120" t="inlineStr">
        <is>
          <t>Code</t>
        </is>
      </c>
      <c r="G21" s="80" t="inlineStr">
        <is>
          <t>Account recovery, linking and deletion</t>
        </is>
      </c>
      <c r="H21" s="107" t="inlineStr">
        <is>
          <t>Password reset by short-lived emailed link (signs out other devices); link and unlink Google or Apple (never the last way in); delete the account and its personal data from inside the game.</t>
        </is>
      </c>
      <c r="I21" s="108" t="inlineStr">
        <is>
          <t>Blocked</t>
        </is>
      </c>
      <c r="J21" s="108" t="n">
        <v>4</v>
      </c>
      <c r="K21" s="109" t="n"/>
      <c r="L21" s="109" t="n"/>
      <c r="M21" s="110" t="n"/>
      <c r="N21" s="81" t="n">
        <v>0</v>
      </c>
      <c r="O21" s="80" t="inlineStr">
        <is>
          <t>6S3-BE-02, 6S3-INT-01, 6S3-INT-02</t>
        </is>
      </c>
      <c r="P21" s="80" t="inlineStr">
        <is>
          <t>A player resets a forgotten password, links and unlinks Google or Apple without locking themselves out, and deletes their account in the game</t>
        </is>
      </c>
      <c r="Q21" s="82" t="inlineStr">
        <is>
          <t>Spec §29</t>
        </is>
      </c>
      <c r="R21" s="74" t="inlineStr">
        <is>
          <t>Formerly 5S3-BE-05 (Phase 5 became Phase 6, 2026-10-27).</t>
        </is>
      </c>
    </row>
    <row r="22" ht="32.8" customHeight="1" s="75">
      <c r="A22" s="104" t="n">
        <v>17</v>
      </c>
      <c r="B22" s="105" t="inlineStr">
        <is>
          <t>6S3-BE-06</t>
        </is>
      </c>
      <c r="C22" s="81" t="n">
        <v>3</v>
      </c>
      <c r="D22" s="82" t="inlineStr">
        <is>
          <t>Sprint 3 · Player accounts and live connection</t>
        </is>
      </c>
      <c r="E22" s="138" t="inlineStr">
        <is>
          <t>BE</t>
        </is>
      </c>
      <c r="F22" s="120" t="inlineStr">
        <is>
          <t>Code</t>
        </is>
      </c>
      <c r="G22" s="80" t="inlineStr">
        <is>
          <t>Player sessions and tokens</t>
        </is>
      </c>
      <c r="H22" s="107" t="inlineStr">
        <is>
          <t>Short-lived access tokens and refresh tokens that rotate on every use; a reused refresh token ends the session; device list, sign out one device or everywhere.</t>
        </is>
      </c>
      <c r="I22" s="108" t="inlineStr">
        <is>
          <t>Blocked</t>
        </is>
      </c>
      <c r="J22" s="108" t="n">
        <v>3</v>
      </c>
      <c r="K22" s="109" t="n"/>
      <c r="L22" s="109" t="n"/>
      <c r="M22" s="110" t="n"/>
      <c r="N22" s="81" t="n">
        <v>0</v>
      </c>
      <c r="O22" s="80" t="inlineStr">
        <is>
          <t>6S3-BE-02</t>
        </is>
      </c>
      <c r="P22" s="80" t="inlineStr">
        <is>
          <t>Access tokens are short-lived, refresh tokens rotate, a reused refresh token ends the session, and a player can sign out one device or all of them</t>
        </is>
      </c>
      <c r="Q22" s="82" t="inlineStr">
        <is>
          <t>Spec §29, §31</t>
        </is>
      </c>
      <c r="R22" s="74" t="inlineStr">
        <is>
          <t>Formerly 5S3-BE-06 (Phase 5 became Phase 6, 2026-10-27).</t>
        </is>
      </c>
    </row>
    <row r="23" ht="32.8" customHeight="1" s="75">
      <c r="A23" s="104" t="n">
        <v>18</v>
      </c>
      <c r="B23" s="105" t="inlineStr">
        <is>
          <t>6S3-INT-03</t>
        </is>
      </c>
      <c r="C23" s="81" t="n">
        <v>3</v>
      </c>
      <c r="D23" s="82" t="inlineStr">
        <is>
          <t>Sprint 3 · Player accounts and live connection</t>
        </is>
      </c>
      <c r="E23" s="138" t="inlineStr">
        <is>
          <t>INT</t>
        </is>
      </c>
      <c r="F23" s="120" t="inlineStr">
        <is>
          <t>Code</t>
        </is>
      </c>
      <c r="G23" s="80" t="inlineStr">
        <is>
          <t>Game socket connection</t>
        </is>
      </c>
      <c r="H23" s="107" t="inlineStr">
        <is>
          <t>A live connection, carried as 6S3-PMO-02 decides (default: WebSocket on the API, Postgres LISTEN/NOTIFY fan-out; or SpacetimeDB or a managed service). Token in the first message, never the URL; ping/pong and reconnect with back-off; pushes for feed changes, pause and kill switch, settings changes and revoked sessions; falls back to polling.</t>
        </is>
      </c>
      <c r="I23" s="108" t="inlineStr">
        <is>
          <t>Blocked</t>
        </is>
      </c>
      <c r="J23" s="108" t="n">
        <v>5</v>
      </c>
      <c r="K23" s="109" t="n"/>
      <c r="L23" s="109" t="n"/>
      <c r="M23" s="110" t="n"/>
      <c r="N23" s="81" t="n">
        <v>0</v>
      </c>
      <c r="O23" s="80" t="inlineStr">
        <is>
          <t>4S0-SEC-01, 6S3-PMO-02, 6S3-BE-06</t>
        </is>
      </c>
      <c r="P23" s="80" t="inlineStr">
        <is>
          <t>An authenticated game holds a live socket, receives a pause or feed change within seconds, reconnects on its own, falls back to polling, and an expired or revoked session is disconnected</t>
        </is>
      </c>
      <c r="Q23" s="82" t="inlineStr">
        <is>
          <t>Spec §28, §34</t>
        </is>
      </c>
      <c r="R23" s="74" t="inlineStr">
        <is>
          <t>Formerly 5S3-INT-03 (Phase 5 became Phase 6, 2026-10-27).</t>
        </is>
      </c>
    </row>
    <row r="24" ht="32.8" customHeight="1" s="75">
      <c r="A24" s="104" t="n">
        <v>19</v>
      </c>
      <c r="B24" s="105" t="inlineStr">
        <is>
          <t>6S3-INT-04</t>
        </is>
      </c>
      <c r="C24" s="81" t="n">
        <v>3</v>
      </c>
      <c r="D24" s="82" t="inlineStr">
        <is>
          <t>Sprint 3 · Player accounts and live connection</t>
        </is>
      </c>
      <c r="E24" s="138" t="inlineStr">
        <is>
          <t>INT</t>
        </is>
      </c>
      <c r="F24" s="120" t="inlineStr">
        <is>
          <t>Code</t>
        </is>
      </c>
      <c r="G24" s="80" t="inlineStr">
        <is>
          <t>In-game sign-up and login</t>
        </is>
      </c>
      <c r="H24" s="107" t="inlineStr">
        <is>
          <t>The game's screens: sign up, sign in with email, Google or Apple, the authenticator step, a clear message for each error code (including when a locked account unlocks), forgotten password, then open the socket.</t>
        </is>
      </c>
      <c r="I24" s="108" t="inlineStr">
        <is>
          <t>Blocked</t>
        </is>
      </c>
      <c r="J24" s="108" t="n">
        <v>5</v>
      </c>
      <c r="K24" s="109" t="n"/>
      <c r="L24" s="109" t="n"/>
      <c r="M24" s="110" t="n"/>
      <c r="N24" s="81" t="n">
        <v>0</v>
      </c>
      <c r="O24" s="80" t="inlineStr">
        <is>
          <t>6S3-BE-02, 6S3-BE-03, 6S3-BE-04, 6S3-INT-01, 6S3-INT-02, 6S3-INT-03</t>
        </is>
      </c>
      <c r="P24" s="80" t="inlineStr">
        <is>
          <t>A player signs up and signs in inside the game by each method, sees the right message for every refused login, and the game connects its socket after login</t>
        </is>
      </c>
      <c r="Q24" s="82" t="inlineStr">
        <is>
          <t>Spec §29</t>
        </is>
      </c>
      <c r="R24" s="74" t="inlineStr">
        <is>
          <t>Formerly 5S3-INT-04 (Phase 5 became Phase 6, 2026-10-27).</t>
        </is>
      </c>
    </row>
    <row r="25" ht="32.8" customHeight="1" s="75">
      <c r="A25" s="104" t="n">
        <v>20</v>
      </c>
      <c r="B25" s="105" t="inlineStr">
        <is>
          <t>6S3-QA-01</t>
        </is>
      </c>
      <c r="C25" s="81" t="n">
        <v>3</v>
      </c>
      <c r="D25" s="82" t="inlineStr">
        <is>
          <t>Sprint 3 · Player accounts and live connection</t>
        </is>
      </c>
      <c r="E25" s="138" t="inlineStr">
        <is>
          <t>QA</t>
        </is>
      </c>
      <c r="F25" s="120" t="inlineStr">
        <is>
          <t>Code</t>
        </is>
      </c>
      <c r="G25" s="80" t="inlineStr">
        <is>
          <t>Authentication security test</t>
        </is>
      </c>
      <c r="H25" s="107" t="inlineStr">
        <is>
          <t>OWASP ASVS Level 2: brute force and credential stuffing, account enumeration, token theft and replay, bypassing the authenticator, the socket's authentication; every finding fixed or recorded.</t>
        </is>
      </c>
      <c r="I25" s="108" t="inlineStr">
        <is>
          <t>Blocked</t>
        </is>
      </c>
      <c r="J25" s="108" t="n">
        <v>3</v>
      </c>
      <c r="K25" s="109" t="n"/>
      <c r="L25" s="109" t="n"/>
      <c r="M25" s="110" t="n"/>
      <c r="N25" s="81" t="n">
        <v>0</v>
      </c>
      <c r="O25" s="80" t="inlineStr">
        <is>
          <t>6S3-INT-04</t>
        </is>
      </c>
      <c r="P25" s="80" t="inlineStr">
        <is>
          <t>Every check passes, or each open finding is recorded with its risk and its owner</t>
        </is>
      </c>
      <c r="Q25" s="82" t="inlineStr">
        <is>
          <t>Spec §29, §31</t>
        </is>
      </c>
      <c r="R25" s="74" t="inlineStr">
        <is>
          <t>Formerly 5S3-QA-01 (Phase 5 became Phase 6, 2026-10-27).</t>
        </is>
      </c>
    </row>
    <row r="26" ht="32.8" customHeight="1" s="75">
      <c r="A26" s="104" t="n">
        <v>21</v>
      </c>
      <c r="B26" s="105" t="inlineStr">
        <is>
          <t>6S4-PMO-01</t>
        </is>
      </c>
      <c r="C26" s="81" t="n">
        <v>4</v>
      </c>
      <c r="D26" s="82" t="inlineStr">
        <is>
          <t>Sprint 4 · Telemetry at scale</t>
        </is>
      </c>
      <c r="E26" s="138" t="inlineStr">
        <is>
          <t>PMO</t>
        </is>
      </c>
      <c r="F26" s="120" t="inlineStr">
        <is>
          <t>Document</t>
        </is>
      </c>
      <c r="G26" s="80" t="inlineStr">
        <is>
          <t>Estimate telemetry volume and cost</t>
        </is>
      </c>
      <c r="H26" s="107" t="inlineStr">
        <is>
          <t>Formerly 4S0-PMO-03 (moved 2026-10-20: the game is parked). Virtual worlds emit far more events than a QR code does. Size the ingestion, storage and warehouse cost before committing to an architecture.</t>
        </is>
      </c>
      <c r="I26" s="108" t="inlineStr">
        <is>
          <t>Blocked</t>
        </is>
      </c>
      <c r="J26" s="108" t="n">
        <v>3</v>
      </c>
      <c r="K26" s="109" t="n"/>
      <c r="L26" s="109" t="n"/>
      <c r="M26" s="110" t="n"/>
      <c r="N26" s="81" t="n">
        <v>0</v>
      </c>
      <c r="O26" s="80" t="inlineStr">
        <is>
          <t>4S0-PMO-01</t>
        </is>
      </c>
      <c r="P26" s="80" t="inlineStr">
        <is>
          <t>Event volume estimated per concurrent user with an infrastructure cost model</t>
        </is>
      </c>
      <c r="Q26" s="82" t="inlineStr">
        <is>
          <t>Spec §31, §38</t>
        </is>
      </c>
      <c r="R26" s="74" t="inlineStr">
        <is>
          <t>Formerly 5S4-PMO-01 (Phase 5 became Phase 6, 2026-10-27).</t>
        </is>
      </c>
    </row>
    <row r="27" ht="23.85" customHeight="1" s="75">
      <c r="A27" s="104" t="n">
        <v>22</v>
      </c>
      <c r="B27" s="105" t="inlineStr">
        <is>
          <t>6S4-BE-01</t>
        </is>
      </c>
      <c r="C27" s="81" t="n">
        <v>4</v>
      </c>
      <c r="D27" s="82" t="inlineStr">
        <is>
          <t>Sprint 4 · Telemetry at scale</t>
        </is>
      </c>
      <c r="E27" s="138" t="inlineStr">
        <is>
          <t>BE</t>
        </is>
      </c>
      <c r="F27" s="120" t="inlineStr">
        <is>
          <t>Code</t>
        </is>
      </c>
      <c r="G27" s="80" t="inlineStr">
        <is>
          <t>Idempotent de-duplication</t>
        </is>
      </c>
      <c r="H27" s="107" t="inlineStr">
        <is>
          <t>Formerly 4S4-BE-03 (moved 2026-10-20: the game is parked). Clients retry. Networks duplicate. Duplicate telemetry must never inflate a sponsor's numbers — this is billing data.</t>
        </is>
      </c>
      <c r="I27" s="108" t="inlineStr">
        <is>
          <t>Blocked</t>
        </is>
      </c>
      <c r="J27" s="108" t="n">
        <v>5</v>
      </c>
      <c r="K27" s="109" t="n"/>
      <c r="L27" s="109" t="n"/>
      <c r="M27" s="110" t="n"/>
      <c r="N27" s="81" t="n">
        <v>0</v>
      </c>
      <c r="O27" s="80" t="inlineStr">
        <is>
          <t>4S4-BE-01</t>
        </is>
      </c>
      <c r="P27" s="80" t="inlineStr">
        <is>
          <t>Repeated duplicate telemetry does not inflate sponsor reports</t>
        </is>
      </c>
      <c r="Q27" s="82" t="inlineStr">
        <is>
          <t>Spec §34</t>
        </is>
      </c>
      <c r="R27" s="74" t="inlineStr">
        <is>
          <t>Formerly 5S4-BE-01 (Phase 5 became Phase 6, 2026-10-27).</t>
        </is>
      </c>
    </row>
    <row r="28" ht="23.85" customHeight="1" s="75">
      <c r="A28" s="104" t="n">
        <v>23</v>
      </c>
      <c r="B28" s="105" t="inlineStr">
        <is>
          <t>6S4-OPS-01</t>
        </is>
      </c>
      <c r="C28" s="81" t="n">
        <v>4</v>
      </c>
      <c r="D28" s="82" t="inlineStr">
        <is>
          <t>Sprint 4 · Telemetry at scale</t>
        </is>
      </c>
      <c r="E28" s="138" t="inlineStr">
        <is>
          <t>OPS</t>
        </is>
      </c>
      <c r="F28" s="120" t="inlineStr">
        <is>
          <t>Vendor console</t>
        </is>
      </c>
      <c r="G28" s="80" t="inlineStr">
        <is>
          <t>Event streaming and buffering</t>
        </is>
      </c>
      <c r="H28" s="107" t="inlineStr">
        <is>
          <t>Formerly 4S4-OPS-01 (moved 2026-10-20: the game is parked). A queue in front of ingestion so a traffic burst in-world does not drop sponsorship data.</t>
        </is>
      </c>
      <c r="I28" s="108" t="inlineStr">
        <is>
          <t>Blocked</t>
        </is>
      </c>
      <c r="J28" s="108" t="n">
        <v>5</v>
      </c>
      <c r="K28" s="109" t="n"/>
      <c r="L28" s="109" t="n"/>
      <c r="M28" s="110" t="n"/>
      <c r="N28" s="81" t="n">
        <v>0</v>
      </c>
      <c r="O28" s="80" t="inlineStr">
        <is>
          <t>4S4-BE-01</t>
        </is>
      </c>
      <c r="P28" s="80" t="inlineStr">
        <is>
          <t>Ingestion sustains the agreed burst rate with buffering and no event loss</t>
        </is>
      </c>
      <c r="Q28" s="82" t="inlineStr">
        <is>
          <t>Spec §31, §38</t>
        </is>
      </c>
      <c r="R28" s="74" t="inlineStr">
        <is>
          <t>Formerly 5S4-OPS-01 (Phase 5 became Phase 6, 2026-10-27).</t>
        </is>
      </c>
    </row>
    <row r="29" ht="23.85" customHeight="1" s="75">
      <c r="A29" s="104" t="n">
        <v>24</v>
      </c>
      <c r="B29" s="105" t="inlineStr">
        <is>
          <t>6S4-OPS-02</t>
        </is>
      </c>
      <c r="C29" s="81" t="n">
        <v>4</v>
      </c>
      <c r="D29" s="82" t="inlineStr">
        <is>
          <t>Sprint 4 · Telemetry at scale</t>
        </is>
      </c>
      <c r="E29" s="138" t="inlineStr">
        <is>
          <t>OPS</t>
        </is>
      </c>
      <c r="F29" s="120" t="inlineStr">
        <is>
          <t>Code</t>
        </is>
      </c>
      <c r="G29" s="80" t="inlineStr">
        <is>
          <t>Load test event ingestion and dashboards</t>
        </is>
      </c>
      <c r="H29" s="107" t="inlineStr">
        <is>
          <t>Formerly 4S8-OPS-01 (moved 2026-10-20: the game is parked). Prove the throughput and dashboard latency targets hold at expected Phase 4 traffic, before a pilot world goes live.</t>
        </is>
      </c>
      <c r="I29" s="108" t="inlineStr">
        <is>
          <t>Blocked</t>
        </is>
      </c>
      <c r="J29" s="108" t="n">
        <v>5</v>
      </c>
      <c r="K29" s="109" t="n"/>
      <c r="L29" s="109" t="n"/>
      <c r="M29" s="110" t="n"/>
      <c r="N29" s="81" t="n">
        <v>0</v>
      </c>
      <c r="O29" s="80" t="inlineStr">
        <is>
          <t>6S4-OPS-01</t>
        </is>
      </c>
      <c r="P29" s="80" t="inlineStr">
        <is>
          <t>Load test meets the agreed ingestion throughput and dashboard latency targets</t>
        </is>
      </c>
      <c r="Q29" s="82" t="inlineStr">
        <is>
          <t>Spec §34</t>
        </is>
      </c>
      <c r="R29" s="74" t="inlineStr">
        <is>
          <t>Formerly 5S4-OPS-02 (Phase 5 became Phase 6, 2026-10-27).</t>
        </is>
      </c>
    </row>
    <row r="30" ht="23.85" customHeight="1" s="75">
      <c r="A30" s="104" t="n">
        <v>25</v>
      </c>
      <c r="B30" s="105" t="inlineStr">
        <is>
          <t>6S5-BE-01</t>
        </is>
      </c>
      <c r="C30" s="81" t="n">
        <v>5</v>
      </c>
      <c r="D30" s="82" t="inlineStr">
        <is>
          <t>Sprint 5 · Viewability, metrics and pricing</t>
        </is>
      </c>
      <c r="E30" s="138" t="inlineStr">
        <is>
          <t>BE</t>
        </is>
      </c>
      <c r="F30" s="120" t="inlineStr">
        <is>
          <t>Code</t>
        </is>
      </c>
      <c r="G30" s="80" t="inlineStr">
        <is>
          <t>Viewability rule engine</t>
        </is>
      </c>
      <c r="H30" s="107" t="inlineStr">
        <is>
          <t>Formerly 4S5-BE-01 (moved 2026-10-20: the game is parked). Versioned rules — minimum visible percentage and minimum dwell — decide which renders count as viewable impressions.</t>
        </is>
      </c>
      <c r="I30" s="108" t="inlineStr">
        <is>
          <t>Blocked</t>
        </is>
      </c>
      <c r="J30" s="108" t="n">
        <v>5</v>
      </c>
      <c r="K30" s="109" t="n"/>
      <c r="L30" s="109" t="n"/>
      <c r="M30" s="110" t="n"/>
      <c r="N30" s="81" t="n">
        <v>0</v>
      </c>
      <c r="O30" s="80" t="inlineStr">
        <is>
          <t>4S4-DATA-01</t>
        </is>
      </c>
      <c r="P30" s="80" t="inlineStr">
        <is>
          <t>Viewable impressions are calculated per versioned rule and remain distinct from gross renders</t>
        </is>
      </c>
      <c r="Q30" s="82" t="inlineStr">
        <is>
          <t>Spec §30, §34</t>
        </is>
      </c>
      <c r="R30" s="74" t="inlineStr">
        <is>
          <t>Formerly 5S5-BE-01 (Phase 5 became Phase 6, 2026-10-27).</t>
        </is>
      </c>
    </row>
    <row r="31" ht="23.85" customHeight="1" s="75">
      <c r="A31" s="104" t="n">
        <v>26</v>
      </c>
      <c r="B31" s="105" t="inlineStr">
        <is>
          <t>6S5-DATA-01</t>
        </is>
      </c>
      <c r="C31" s="81" t="n">
        <v>5</v>
      </c>
      <c r="D31" s="82" t="inlineStr">
        <is>
          <t>Sprint 5 · Viewability, metrics and pricing</t>
        </is>
      </c>
      <c r="E31" s="138" t="inlineStr">
        <is>
          <t>DATA</t>
        </is>
      </c>
      <c r="F31" s="120" t="inlineStr">
        <is>
          <t>Code</t>
        </is>
      </c>
      <c r="G31" s="80" t="inlineStr">
        <is>
          <t>Virtual metric aggregation job</t>
        </is>
      </c>
      <c r="H31" s="107" t="inlineStr">
        <is>
          <t>Formerly 4S5-DATA-01 (moved 2026-10-20: the game is parked). Visits, gross impressions, viewable impressions, dwell, interactions, challenge metrics and session-level uniques.</t>
        </is>
      </c>
      <c r="I31" s="108" t="inlineStr">
        <is>
          <t>Blocked</t>
        </is>
      </c>
      <c r="J31" s="108" t="n">
        <v>5</v>
      </c>
      <c r="K31" s="109" t="n"/>
      <c r="L31" s="109" t="n"/>
      <c r="M31" s="110" t="n"/>
      <c r="N31" s="81" t="n">
        <v>0</v>
      </c>
      <c r="O31" s="80" t="inlineStr">
        <is>
          <t>6S5-BE-01</t>
        </is>
      </c>
      <c r="P31" s="80" t="inlineStr">
        <is>
          <t>Aggregates compute on schedule and dashboards read aggregates, never raw telemetry</t>
        </is>
      </c>
      <c r="Q31" s="82" t="inlineStr">
        <is>
          <t>Spec §27.3</t>
        </is>
      </c>
      <c r="R31" s="74" t="inlineStr">
        <is>
          <t>Formerly 5S5-DATA-01 (Phase 5 became Phase 6, 2026-10-27).</t>
        </is>
      </c>
    </row>
    <row r="32" ht="22.35" customHeight="1" s="75">
      <c r="A32" s="104" t="n">
        <v>27</v>
      </c>
      <c r="B32" s="105" t="inlineStr">
        <is>
          <t>6S5-DATA-02</t>
        </is>
      </c>
      <c r="C32" s="81" t="n">
        <v>5</v>
      </c>
      <c r="D32" s="82" t="inlineStr">
        <is>
          <t>Sprint 5 · Viewability, metrics and pricing</t>
        </is>
      </c>
      <c r="E32" s="138" t="inlineStr">
        <is>
          <t>DATA</t>
        </is>
      </c>
      <c r="F32" s="120" t="inlineStr">
        <is>
          <t>Code</t>
        </is>
      </c>
      <c r="G32" s="80" t="inlineStr">
        <is>
          <t>World traffic benchmarks</t>
        </is>
      </c>
      <c r="H32" s="107" t="inlineStr">
        <is>
          <t>Formerly 4S5-DATA-02 (moved 2026-10-20: the game is parked). Baseline visits, dwell and interaction rates per world and zone — the inputs to virtual pricing.</t>
        </is>
      </c>
      <c r="I32" s="108" t="inlineStr">
        <is>
          <t>Blocked</t>
        </is>
      </c>
      <c r="J32" s="108" t="n">
        <v>3</v>
      </c>
      <c r="K32" s="109" t="n"/>
      <c r="L32" s="109" t="n"/>
      <c r="M32" s="110" t="n"/>
      <c r="N32" s="81" t="n">
        <v>0</v>
      </c>
      <c r="O32" s="80" t="inlineStr">
        <is>
          <t>6S5-DATA-01</t>
        </is>
      </c>
      <c r="P32" s="80" t="inlineStr">
        <is>
          <t>Traffic benchmarks compute per world and zone</t>
        </is>
      </c>
      <c r="Q32" s="82" t="inlineStr">
        <is>
          <t>Spec §30, §32</t>
        </is>
      </c>
      <c r="R32" s="74" t="inlineStr">
        <is>
          <t>Formerly 5S5-DATA-02 (Phase 5 became Phase 6, 2026-10-27).</t>
        </is>
      </c>
    </row>
    <row r="33" ht="23.85" customHeight="1" s="75">
      <c r="A33" s="104" t="n">
        <v>28</v>
      </c>
      <c r="B33" s="105" t="inlineStr">
        <is>
          <t>6S5-FE-01</t>
        </is>
      </c>
      <c r="C33" s="81" t="n">
        <v>5</v>
      </c>
      <c r="D33" s="82" t="inlineStr">
        <is>
          <t>Sprint 5 · Viewability, metrics and pricing</t>
        </is>
      </c>
      <c r="E33" s="138" t="inlineStr">
        <is>
          <t>FE</t>
        </is>
      </c>
      <c r="F33" s="120" t="inlineStr">
        <is>
          <t>Code</t>
        </is>
      </c>
      <c r="G33" s="80" t="inlineStr">
        <is>
          <t>Build the virtual metrics dashboard</t>
        </is>
      </c>
      <c r="H33" s="107" t="inlineStr">
        <is>
          <t>Formerly 4S5-FE-01 (moved 2026-10-20: the game is parked). Visits, impressions, viewable impressions, dwell, interactions, completion and the reward funnel.</t>
        </is>
      </c>
      <c r="I33" s="108" t="inlineStr">
        <is>
          <t>Blocked</t>
        </is>
      </c>
      <c r="J33" s="108" t="n">
        <v>5</v>
      </c>
      <c r="K33" s="109" t="n"/>
      <c r="L33" s="109" t="n"/>
      <c r="M33" s="110" t="n"/>
      <c r="N33" s="81" t="n">
        <v>0</v>
      </c>
      <c r="O33" s="80" t="inlineStr">
        <is>
          <t>6S5-DATA-01</t>
        </is>
      </c>
      <c r="P33" s="80" t="inlineStr">
        <is>
          <t>Dashboard renders virtual delivery with gross and viewable clearly separated</t>
        </is>
      </c>
      <c r="Q33" s="82" t="inlineStr">
        <is>
          <t>Spec §26 P4-07</t>
        </is>
      </c>
      <c r="R33" s="74" t="inlineStr">
        <is>
          <t>Formerly 5S5-FE-01 (Phase 5 became Phase 6, 2026-10-27).</t>
        </is>
      </c>
    </row>
    <row r="34" ht="23.85" customHeight="1" s="75">
      <c r="A34" s="104" t="n">
        <v>29</v>
      </c>
      <c r="B34" s="105" t="inlineStr">
        <is>
          <t>6S5-BE-02</t>
        </is>
      </c>
      <c r="C34" s="81" t="n">
        <v>5</v>
      </c>
      <c r="D34" s="82" t="inlineStr">
        <is>
          <t>Sprint 5 · Viewability, metrics and pricing</t>
        </is>
      </c>
      <c r="E34" s="138" t="inlineStr">
        <is>
          <t>BE</t>
        </is>
      </c>
      <c r="F34" s="120" t="inlineStr">
        <is>
          <t>Code</t>
        </is>
      </c>
      <c r="G34" s="80" t="inlineStr">
        <is>
          <t>Virtual pricing model</t>
        </is>
      </c>
      <c r="H34" s="107" t="inlineStr">
        <is>
          <t>Formerly 4S5-BE-02 (moved 2026-10-20: the game is parked). Rules-based and transparent first: base rate × traffic × viewability × dwell × scarcity × exclusivity × seasonality × integration depth.</t>
        </is>
      </c>
      <c r="I34" s="108" t="inlineStr">
        <is>
          <t>Blocked</t>
        </is>
      </c>
      <c r="J34" s="108" t="n">
        <v>5</v>
      </c>
      <c r="K34" s="109" t="n"/>
      <c r="L34" s="109" t="n"/>
      <c r="M34" s="110" t="n"/>
      <c r="N34" s="81" t="n">
        <v>0</v>
      </c>
      <c r="O34" s="80" t="inlineStr">
        <is>
          <t>6S5-DATA-02</t>
        </is>
      </c>
      <c r="P34" s="80" t="inlineStr">
        <is>
          <t>A virtual placement produces a recommended rate with its factor breakdown visible</t>
        </is>
      </c>
      <c r="Q34" s="82" t="inlineStr">
        <is>
          <t>Spec §32</t>
        </is>
      </c>
      <c r="R34" s="74" t="inlineStr">
        <is>
          <t>Formerly 5S5-BE-02 (Phase 5 became Phase 6, 2026-10-27).</t>
        </is>
      </c>
    </row>
    <row r="35" ht="23.85" customHeight="1" s="75">
      <c r="A35" s="104" t="n">
        <v>30</v>
      </c>
      <c r="B35" s="105" t="inlineStr">
        <is>
          <t>6S6-BE-01</t>
        </is>
      </c>
      <c r="C35" s="81" t="n">
        <v>6</v>
      </c>
      <c r="D35" s="82" t="inlineStr">
        <is>
          <t>Sprint 6 · In-world activations and rewards</t>
        </is>
      </c>
      <c r="E35" s="138" t="inlineStr">
        <is>
          <t>BE</t>
        </is>
      </c>
      <c r="F35" s="120" t="inlineStr">
        <is>
          <t>Code</t>
        </is>
      </c>
      <c r="G35" s="80" t="inlineStr">
        <is>
          <t>Activation definition model</t>
        </is>
      </c>
      <c r="H35" s="107" t="inlineStr">
        <is>
          <t>Formerly 4S6-BE-01 (moved 2026-10-20: the game is parked). Challenges, quests, scavenger hunts, skill tests, product discovery and sponsor booths, with start conditions, completion criteria and reward triggers.</t>
        </is>
      </c>
      <c r="I35" s="108" t="inlineStr">
        <is>
          <t>Blocked</t>
        </is>
      </c>
      <c r="J35" s="108" t="n">
        <v>5</v>
      </c>
      <c r="K35" s="109" t="n"/>
      <c r="L35" s="109" t="n"/>
      <c r="M35" s="110" t="n"/>
      <c r="N35" s="81" t="n">
        <v>0</v>
      </c>
      <c r="O35" s="80" t="inlineStr">
        <is>
          <t>4S2-BE-01</t>
        </is>
      </c>
      <c r="P35" s="80" t="inlineStr">
        <is>
          <t>An activation can be defined with rules, completion criteria and a linked reward</t>
        </is>
      </c>
      <c r="Q35" s="82" t="inlineStr">
        <is>
          <t>Spec §30</t>
        </is>
      </c>
      <c r="R35" s="74" t="inlineStr">
        <is>
          <t>Formerly 5S6-BE-01 (Phase 5 became Phase 6, 2026-10-27).</t>
        </is>
      </c>
    </row>
    <row r="36" ht="23.85" customHeight="1" s="75">
      <c r="A36" s="104" t="n">
        <v>31</v>
      </c>
      <c r="B36" s="105" t="inlineStr">
        <is>
          <t>6S6-BE-02</t>
        </is>
      </c>
      <c r="C36" s="81" t="n">
        <v>6</v>
      </c>
      <c r="D36" s="82" t="inlineStr">
        <is>
          <t>Sprint 6 · In-world activations and rewards</t>
        </is>
      </c>
      <c r="E36" s="138" t="inlineStr">
        <is>
          <t>BE</t>
        </is>
      </c>
      <c r="F36" s="120" t="inlineStr">
        <is>
          <t>Code</t>
        </is>
      </c>
      <c r="G36" s="80" t="inlineStr">
        <is>
          <t>Activation start and complete flow</t>
        </is>
      </c>
      <c r="H36" s="107" t="inlineStr">
        <is>
          <t>Formerly 4S6-BE-02 (moved 2026-10-20: the game is parked). Validate completion against activation, session and user constraints before anything is awarded.</t>
        </is>
      </c>
      <c r="I36" s="108" t="inlineStr">
        <is>
          <t>Blocked</t>
        </is>
      </c>
      <c r="J36" s="108" t="n">
        <v>5</v>
      </c>
      <c r="K36" s="109" t="n"/>
      <c r="L36" s="109" t="n"/>
      <c r="M36" s="110" t="n"/>
      <c r="N36" s="81" t="n">
        <v>0</v>
      </c>
      <c r="O36" s="80" t="inlineStr">
        <is>
          <t>6S6-BE-01</t>
        </is>
      </c>
      <c r="P36" s="80" t="inlineStr">
        <is>
          <t>Activation can start and complete, validated against its eligibility rules</t>
        </is>
      </c>
      <c r="Q36" s="82" t="inlineStr">
        <is>
          <t>Spec §27.4</t>
        </is>
      </c>
      <c r="R36" s="74" t="inlineStr">
        <is>
          <t>Formerly 5S6-BE-02 (Phase 5 became Phase 6, 2026-10-27).</t>
        </is>
      </c>
    </row>
    <row r="37" ht="23.85" customHeight="1" s="75">
      <c r="A37" s="104" t="n">
        <v>32</v>
      </c>
      <c r="B37" s="105" t="inlineStr">
        <is>
          <t>6S6-BE-03</t>
        </is>
      </c>
      <c r="C37" s="81" t="n">
        <v>6</v>
      </c>
      <c r="D37" s="82" t="inlineStr">
        <is>
          <t>Sprint 6 · In-world activations and rewards</t>
        </is>
      </c>
      <c r="E37" s="138" t="inlineStr">
        <is>
          <t>BE</t>
        </is>
      </c>
      <c r="F37" s="120" t="inlineStr">
        <is>
          <t>Code</t>
        </is>
      </c>
      <c r="G37" s="80" t="inlineStr">
        <is>
          <t>Reward trigger with exactly-once guarantee</t>
        </is>
      </c>
      <c r="H37" s="107" t="inlineStr">
        <is>
          <t>Formerly 4S6-BE-03 (moved 2026-10-20: the game is parked). The in-world equivalent of Phase 1's single-use QR redemption, and it needs the same database-level guarantee rather than application logic.</t>
        </is>
      </c>
      <c r="I37" s="108" t="inlineStr">
        <is>
          <t>Blocked</t>
        </is>
      </c>
      <c r="J37" s="108" t="n">
        <v>5</v>
      </c>
      <c r="K37" s="109" t="n"/>
      <c r="L37" s="109" t="n"/>
      <c r="M37" s="110" t="n"/>
      <c r="N37" s="81" t="n">
        <v>0</v>
      </c>
      <c r="O37" s="80" t="inlineStr">
        <is>
          <t>6S6-BE-02</t>
        </is>
      </c>
      <c r="P37" s="80" t="inlineStr">
        <is>
          <t>An activation triggers a SponsorX reward exactly once per configured eligibility rule</t>
        </is>
      </c>
      <c r="Q37" s="82" t="inlineStr">
        <is>
          <t>Spec §34</t>
        </is>
      </c>
      <c r="R37" s="74" t="inlineStr">
        <is>
          <t>Formerly 5S6-BE-03 (Phase 5 became Phase 6, 2026-10-27).</t>
        </is>
      </c>
    </row>
    <row r="38" ht="23.85" customHeight="1" s="75">
      <c r="A38" s="104" t="n">
        <v>33</v>
      </c>
      <c r="B38" s="105" t="inlineStr">
        <is>
          <t>6S6-INT-01</t>
        </is>
      </c>
      <c r="C38" s="81" t="n">
        <v>6</v>
      </c>
      <c r="D38" s="82" t="inlineStr">
        <is>
          <t>Sprint 6 · In-world activations and rewards</t>
        </is>
      </c>
      <c r="E38" s="138" t="inlineStr">
        <is>
          <t>INT</t>
        </is>
      </c>
      <c r="F38" s="120" t="inlineStr">
        <is>
          <t>Code</t>
        </is>
      </c>
      <c r="G38" s="80" t="inlineStr">
        <is>
          <t>Wire in-world rewards to the wallet service</t>
        </is>
      </c>
      <c r="H38" s="107" t="inlineStr">
        <is>
          <t>Formerly 4S6-INT-01 (moved 2026-10-20: the game is parked). Completion produces a claim token and deep link; the fan receives it in-world and optionally by wallet, SMS or email.</t>
        </is>
      </c>
      <c r="I38" s="108" t="inlineStr">
        <is>
          <t>Blocked</t>
        </is>
      </c>
      <c r="J38" s="108" t="n">
        <v>3</v>
      </c>
      <c r="K38" s="109" t="n"/>
      <c r="L38" s="109" t="n"/>
      <c r="M38" s="110" t="n"/>
      <c r="N38" s="81" t="n">
        <v>0</v>
      </c>
      <c r="O38" s="80" t="inlineStr">
        <is>
          <t>6S6-BE-03</t>
        </is>
      </c>
      <c r="P38" s="80" t="inlineStr">
        <is>
          <t>A completed activation delivers a reward through the existing reward and wallet services</t>
        </is>
      </c>
      <c r="Q38" s="82" t="inlineStr">
        <is>
          <t>Spec §27.4</t>
        </is>
      </c>
      <c r="R38" s="74" t="inlineStr">
        <is>
          <t>Formerly 5S6-INT-01 (Phase 5 became Phase 6, 2026-10-27).</t>
        </is>
      </c>
    </row>
    <row r="39" ht="23.85" customHeight="1" s="75">
      <c r="A39" s="104" t="n">
        <v>34</v>
      </c>
      <c r="B39" s="105" t="inlineStr">
        <is>
          <t>6S6-FE-01</t>
        </is>
      </c>
      <c r="C39" s="81" t="n">
        <v>6</v>
      </c>
      <c r="D39" s="82" t="inlineStr">
        <is>
          <t>Sprint 6 · In-world activations and rewards</t>
        </is>
      </c>
      <c r="E39" s="138" t="inlineStr">
        <is>
          <t>FE</t>
        </is>
      </c>
      <c r="F39" s="120" t="inlineStr">
        <is>
          <t>Code</t>
        </is>
      </c>
      <c r="G39" s="80" t="inlineStr">
        <is>
          <t>Build the activation builder</t>
        </is>
      </c>
      <c r="H39" s="107" t="inlineStr">
        <is>
          <t>Formerly 4S6-FE-01 (moved 2026-10-20: the game is parked). Challenge rules, start condition, completion criteria, reward trigger and sponsor content.</t>
        </is>
      </c>
      <c r="I39" s="108" t="inlineStr">
        <is>
          <t>Blocked</t>
        </is>
      </c>
      <c r="J39" s="108" t="n">
        <v>5</v>
      </c>
      <c r="K39" s="109" t="n"/>
      <c r="L39" s="109" t="n"/>
      <c r="M39" s="110" t="n"/>
      <c r="N39" s="81" t="n">
        <v>0</v>
      </c>
      <c r="O39" s="80" t="inlineStr">
        <is>
          <t>6S8-ART-01</t>
        </is>
      </c>
      <c r="P39" s="80" t="inlineStr">
        <is>
          <t>A campaign manager can build and publish an activation without engineering help</t>
        </is>
      </c>
      <c r="Q39" s="82" t="inlineStr">
        <is>
          <t>Spec §26 P4-06</t>
        </is>
      </c>
      <c r="R39" s="74" t="inlineStr">
        <is>
          <t>Formerly 5S6-FE-01 (Phase 5 became Phase 6, 2026-10-27).</t>
        </is>
      </c>
    </row>
    <row r="40" ht="23.85" customHeight="1" s="75">
      <c r="A40" s="104" t="n">
        <v>35</v>
      </c>
      <c r="B40" s="105" t="inlineStr">
        <is>
          <t>6S7-DATA-01</t>
        </is>
      </c>
      <c r="C40" s="81" t="n">
        <v>7</v>
      </c>
      <c r="D40" s="82" t="inlineStr">
        <is>
          <t>Sprint 7 · Game reporting and operations</t>
        </is>
      </c>
      <c r="E40" s="138" t="inlineStr">
        <is>
          <t>DATA</t>
        </is>
      </c>
      <c r="F40" s="120" t="inlineStr">
        <is>
          <t>Code</t>
        </is>
      </c>
      <c r="G40" s="80" t="inlineStr">
        <is>
          <t>Cross-channel aggregation without double counting</t>
        </is>
      </c>
      <c r="H40" s="107" t="inlineStr">
        <is>
          <t>Formerly 4S7-DATA-01 (moved 2026-10-20: the game is parked). The hard part. A fan who scans a QR and completes an in-world challenge is one person, and must not be counted twice.</t>
        </is>
      </c>
      <c r="I40" s="108" t="inlineStr">
        <is>
          <t>Blocked</t>
        </is>
      </c>
      <c r="J40" s="108" t="n">
        <v>5</v>
      </c>
      <c r="K40" s="109" t="n"/>
      <c r="L40" s="109" t="n"/>
      <c r="M40" s="110" t="n"/>
      <c r="N40" s="81" t="n">
        <v>0</v>
      </c>
      <c r="O40" s="80" t="inlineStr">
        <is>
          <t>4S7-BE-01</t>
        </is>
      </c>
      <c r="P40" s="80" t="inlineStr">
        <is>
          <t>Cross-channel dashboard shows INFINEX metrics alongside other channels without double counting</t>
        </is>
      </c>
      <c r="Q40" s="82" t="inlineStr">
        <is>
          <t>Spec §34</t>
        </is>
      </c>
      <c r="R40" s="74" t="inlineStr">
        <is>
          <t>Formerly 5S7-DATA-01 (Phase 5 became Phase 6, 2026-10-27).</t>
        </is>
      </c>
    </row>
    <row r="41" ht="23.85" customHeight="1" s="75">
      <c r="A41" s="104" t="n">
        <v>36</v>
      </c>
      <c r="B41" s="105" t="inlineStr">
        <is>
          <t>6S7-FE-01</t>
        </is>
      </c>
      <c r="C41" s="81" t="n">
        <v>7</v>
      </c>
      <c r="D41" s="82" t="inlineStr">
        <is>
          <t>Sprint 7 · Game reporting and operations</t>
        </is>
      </c>
      <c r="E41" s="138" t="inlineStr">
        <is>
          <t>FE</t>
        </is>
      </c>
      <c r="F41" s="120" t="inlineStr">
        <is>
          <t>Code</t>
        </is>
      </c>
      <c r="G41" s="80" t="inlineStr">
        <is>
          <t>Build the cross-channel campaign dashboard</t>
        </is>
      </c>
      <c r="H41" s="107" t="inlineStr">
        <is>
          <t>Formerly 4S7-FE-01 (moved 2026-10-20: the game is parked). Compare INFINEX against social, streaming, event and athlete inventory in one view.</t>
        </is>
      </c>
      <c r="I41" s="108" t="inlineStr">
        <is>
          <t>Blocked</t>
        </is>
      </c>
      <c r="J41" s="108" t="n">
        <v>5</v>
      </c>
      <c r="K41" s="109" t="n"/>
      <c r="L41" s="109" t="n"/>
      <c r="M41" s="110" t="n"/>
      <c r="N41" s="81" t="n">
        <v>0</v>
      </c>
      <c r="O41" s="80" t="inlineStr">
        <is>
          <t>6S7-DATA-01</t>
        </is>
      </c>
      <c r="P41" s="80" t="inlineStr">
        <is>
          <t>Dashboard compares all channels on consistent metrics</t>
        </is>
      </c>
      <c r="Q41" s="82" t="inlineStr">
        <is>
          <t>Spec §26 P4-08</t>
        </is>
      </c>
      <c r="R41" s="74" t="inlineStr">
        <is>
          <t>Formerly 5S7-FE-01 (Phase 5 became Phase 6, 2026-10-27).</t>
        </is>
      </c>
    </row>
    <row r="42" ht="22.35" customHeight="1" s="75">
      <c r="A42" s="104" t="n">
        <v>37</v>
      </c>
      <c r="B42" s="105" t="inlineStr">
        <is>
          <t>6S7-FE-02</t>
        </is>
      </c>
      <c r="C42" s="81" t="n">
        <v>7</v>
      </c>
      <c r="D42" s="82" t="inlineStr">
        <is>
          <t>Sprint 7 · Game reporting and operations</t>
        </is>
      </c>
      <c r="E42" s="138" t="inlineStr">
        <is>
          <t>FE</t>
        </is>
      </c>
      <c r="F42" s="120" t="inlineStr">
        <is>
          <t>Code</t>
        </is>
      </c>
      <c r="G42" s="80" t="inlineStr">
        <is>
          <t>Build the sponsor activation report</t>
        </is>
      </c>
      <c r="H42" s="107" t="inlineStr">
        <is>
          <t>Formerly 4S7-FE-02 (moved 2026-10-20: the game is parked). Virtual activation summary with content, engagement, rewards, screenshots and proofs, and recommended next actions.</t>
        </is>
      </c>
      <c r="I42" s="108" t="inlineStr">
        <is>
          <t>Blocked</t>
        </is>
      </c>
      <c r="J42" s="108" t="n">
        <v>5</v>
      </c>
      <c r="K42" s="109" t="n"/>
      <c r="L42" s="109" t="n"/>
      <c r="M42" s="110" t="n"/>
      <c r="N42" s="81" t="n">
        <v>0</v>
      </c>
      <c r="O42" s="80" t="inlineStr">
        <is>
          <t>6S5-FE-01</t>
        </is>
      </c>
      <c r="P42" s="80" t="inlineStr">
        <is>
          <t>A pilot sponsor receives a report with virtual delivery, interaction, reward funnel and creative proof</t>
        </is>
      </c>
      <c r="Q42" s="82" t="inlineStr">
        <is>
          <t>Spec §26 P4-11, §34</t>
        </is>
      </c>
      <c r="R42" s="74" t="inlineStr">
        <is>
          <t>Formerly 5S7-FE-02 (Phase 5 became Phase 6, 2026-10-27).</t>
        </is>
      </c>
    </row>
    <row r="43" ht="23.85" customHeight="1" s="75">
      <c r="A43" s="104" t="n">
        <v>38</v>
      </c>
      <c r="B43" s="105" t="inlineStr">
        <is>
          <t>6S7-FE-03</t>
        </is>
      </c>
      <c r="C43" s="81" t="n">
        <v>7</v>
      </c>
      <c r="D43" s="82" t="inlineStr">
        <is>
          <t>Sprint 7 · Game reporting and operations</t>
        </is>
      </c>
      <c r="E43" s="138" t="inlineStr">
        <is>
          <t>FE</t>
        </is>
      </c>
      <c r="F43" s="120" t="inlineStr">
        <is>
          <t>Code</t>
        </is>
      </c>
      <c r="G43" s="80" t="inlineStr">
        <is>
          <t>Build the world heatmap and zone insights</t>
        </is>
      </c>
      <c r="H43" s="107" t="inlineStr">
        <is>
          <t>Formerly 4S7-FE-03 (moved 2026-10-20: the game is parked). Aggregated zone traffic and engagement, where INFINEX telemetry supports it.</t>
        </is>
      </c>
      <c r="I43" s="108" t="inlineStr">
        <is>
          <t>Blocked</t>
        </is>
      </c>
      <c r="J43" s="108" t="n">
        <v>5</v>
      </c>
      <c r="K43" s="109" t="n"/>
      <c r="L43" s="109" t="n"/>
      <c r="M43" s="110" t="n"/>
      <c r="N43" s="81" t="n">
        <v>0</v>
      </c>
      <c r="O43" s="80" t="inlineStr">
        <is>
          <t>6S5-DATA-02</t>
        </is>
      </c>
      <c r="P43" s="80" t="inlineStr">
        <is>
          <t>Heatmap renders zone-level traffic and engagement</t>
        </is>
      </c>
      <c r="Q43" s="82" t="inlineStr">
        <is>
          <t>Spec §26 P4-12</t>
        </is>
      </c>
      <c r="R43" s="74" t="inlineStr">
        <is>
          <t>Formerly 5S7-FE-03 (Phase 5 became Phase 6, 2026-10-27).</t>
        </is>
      </c>
    </row>
    <row r="44" ht="22.35" customHeight="1" s="75">
      <c r="A44" s="104" t="n">
        <v>39</v>
      </c>
      <c r="B44" s="105" t="inlineStr">
        <is>
          <t>6S7-FE-04</t>
        </is>
      </c>
      <c r="C44" s="81" t="n">
        <v>7</v>
      </c>
      <c r="D44" s="82" t="inlineStr">
        <is>
          <t>Sprint 7 · Game reporting and operations</t>
        </is>
      </c>
      <c r="E44" s="138" t="inlineStr">
        <is>
          <t>FE</t>
        </is>
      </c>
      <c r="F44" s="120" t="inlineStr">
        <is>
          <t>Code</t>
        </is>
      </c>
      <c r="G44" s="80" t="inlineStr">
        <is>
          <t>Build the INFINEX operations console</t>
        </is>
      </c>
      <c r="H44" s="107" t="inlineStr">
        <is>
          <t>Formerly 4S8-FE-01 (moved 2026-10-20: the game is parked). Health, event lag, placement failures, creative mismatch, kill switch and incident log.</t>
        </is>
      </c>
      <c r="I44" s="108" t="inlineStr">
        <is>
          <t>Blocked</t>
        </is>
      </c>
      <c r="J44" s="108" t="n">
        <v>5</v>
      </c>
      <c r="K44" s="109" t="n"/>
      <c r="L44" s="109" t="n"/>
      <c r="M44" s="110" t="n"/>
      <c r="N44" s="81" t="n">
        <v>0</v>
      </c>
      <c r="O44" s="80" t="inlineStr">
        <is>
          <t>4S3-INT-02</t>
        </is>
      </c>
      <c r="P44" s="80" t="inlineStr">
        <is>
          <t>Console displays event lag, client heartbeat, deployment failures and active incidents</t>
        </is>
      </c>
      <c r="Q44" s="82" t="inlineStr">
        <is>
          <t>Spec §26 P4-09, §34</t>
        </is>
      </c>
      <c r="R44" s="74" t="inlineStr">
        <is>
          <t>Formerly 5S7-FE-04 (Phase 5 became Phase 6, 2026-10-27).</t>
        </is>
      </c>
    </row>
    <row r="45" ht="23.85" customHeight="1" s="75">
      <c r="A45" s="104" t="n">
        <v>40</v>
      </c>
      <c r="B45" s="105" t="inlineStr">
        <is>
          <t>6S7-DATA-02</t>
        </is>
      </c>
      <c r="C45" s="81" t="n">
        <v>7</v>
      </c>
      <c r="D45" s="82" t="inlineStr">
        <is>
          <t>Sprint 7 · Game reporting and operations</t>
        </is>
      </c>
      <c r="E45" s="138" t="inlineStr">
        <is>
          <t>DATA</t>
        </is>
      </c>
      <c r="F45" s="120" t="inlineStr">
        <is>
          <t>Code</t>
        </is>
      </c>
      <c r="G45" s="80" t="inlineStr">
        <is>
          <t>Virtual fraud and anomaly checks</t>
        </is>
      </c>
      <c r="H45" s="107" t="inlineStr">
        <is>
          <t>Formerly 4S8-DATA-01 (moved 2026-10-20: the game is parked). Invalid or suspicious event patterns flagged before they reach a sponsor report — this is Phase 3's anomaly work applied to telemetry.</t>
        </is>
      </c>
      <c r="I45" s="108" t="inlineStr">
        <is>
          <t>Blocked</t>
        </is>
      </c>
      <c r="J45" s="108" t="n">
        <v>5</v>
      </c>
      <c r="K45" s="109" t="n"/>
      <c r="L45" s="109" t="n"/>
      <c r="M45" s="110" t="n"/>
      <c r="N45" s="81" t="n">
        <v>0</v>
      </c>
      <c r="O45" s="80" t="inlineStr">
        <is>
          <t>6S4-BE-01</t>
        </is>
      </c>
      <c r="P45" s="80" t="inlineStr">
        <is>
          <t>Suspicious event patterns are flagged and excluded from sponsor-facing aggregates</t>
        </is>
      </c>
      <c r="Q45" s="82" t="inlineStr">
        <is>
          <t>Spec §27.3</t>
        </is>
      </c>
      <c r="R45" s="74" t="inlineStr">
        <is>
          <t>Formerly 5S7-DATA-02 (Phase 5 became Phase 6, 2026-10-27).</t>
        </is>
      </c>
    </row>
    <row r="46" ht="23.85" customHeight="1" s="75">
      <c r="A46" s="104" t="n">
        <v>41</v>
      </c>
      <c r="B46" s="105" t="inlineStr">
        <is>
          <t>6S8-ART-01</t>
        </is>
      </c>
      <c r="C46" s="81" t="n">
        <v>8</v>
      </c>
      <c r="D46" s="82" t="inlineStr">
        <is>
          <t>Sprint 8 · Virtual inventory screens, controls and launch</t>
        </is>
      </c>
      <c r="E46" s="138" t="inlineStr">
        <is>
          <t>ART</t>
        </is>
      </c>
      <c r="F46" s="120" t="inlineStr">
        <is>
          <t>Design tool</t>
        </is>
      </c>
      <c r="G46" s="80" t="inlineStr">
        <is>
          <t>Design the virtual admin and sponsor screens</t>
        </is>
      </c>
      <c r="H46" s="107" t="inlineStr">
        <is>
          <t>Formerly 4S0-ART-01 (moved 2026-10-20: the game is parked). Twelve new screens including placement preview metadata, activation builder and the world heatmap. Placement specs need a designer who understands 3D constraints.</t>
        </is>
      </c>
      <c r="I46" s="108" t="inlineStr">
        <is>
          <t>Code review</t>
        </is>
      </c>
      <c r="J46" s="108" t="n">
        <v>5</v>
      </c>
      <c r="K46" s="109" t="n">
        <v>46294</v>
      </c>
      <c r="L46" s="109" t="n"/>
      <c r="M46" s="110" t="inlineStr">
        <is>
          <t>rcfworks</t>
        </is>
      </c>
      <c r="N46" s="81" t="n">
        <v>0</v>
      </c>
      <c r="O46" s="80" t="inlineStr">
        <is>
          <t>4S0-PMO-02</t>
        </is>
      </c>
      <c r="P46" s="80" t="inlineStr">
        <is>
          <t>All 12 Phase 4 screens designed, with creative technical constraints specified per placement type</t>
        </is>
      </c>
      <c r="Q46" s="82" t="inlineStr">
        <is>
          <t>Spec §26</t>
        </is>
      </c>
      <c r="R46" s="74" t="inlineStr">
        <is>
          <t>Designed 2026-09-29 by Claude Design: https://claude.ai/artifact/KBMLqnbXedfz6UiXTRC6Ue — the 10 screens the Phase 4 plan defines (the row says 12), every state, desktop and phone, sample data labelled. | 2026-10-08 checked: NOT MET. The canvas has all 10 screens the plan defines (4S1-FE-01…4S8-FE-01), each in normal/empty/loading/error on desktop and phone, and the creative limits per placement type ARE specified (placement preview: video wall 16:9, 90% safe area, video 50 MB / image 20 MB; 2D billboard 4:1 or 1:1, 92%, image 20 MB; 3D object 1:1 texture, texture 8 MB / glTF 25 MB; deploy screen checks against them). Missing: the blueprint's §34 Phase 4 screens 'virtual campaign extension' and 'virtual pricing' — the 10 + these 2 = the 12 the row names. Neither has a plan task either. | Formerly 5S8-ART-01 (Phase 5 became Phase 6, 2026-10-27).</t>
        </is>
      </c>
    </row>
    <row r="47" ht="22.35" customHeight="1" s="75">
      <c r="A47" s="104" t="n">
        <v>42</v>
      </c>
      <c r="B47" s="105" t="inlineStr">
        <is>
          <t>6S8-FE-01</t>
        </is>
      </c>
      <c r="C47" s="81" t="n">
        <v>8</v>
      </c>
      <c r="D47" s="82" t="inlineStr">
        <is>
          <t>Sprint 8 · Virtual inventory screens, controls and launch</t>
        </is>
      </c>
      <c r="E47" s="138" t="inlineStr">
        <is>
          <t>FE</t>
        </is>
      </c>
      <c r="F47" s="120" t="inlineStr">
        <is>
          <t>Code</t>
        </is>
      </c>
      <c r="G47" s="80" t="inlineStr">
        <is>
          <t>Build the world registry screen</t>
        </is>
      </c>
      <c r="H47" s="107" t="inlineStr">
        <is>
          <t>Formerly 4S1-FE-01 (moved 2026-10-20: the game is parked). Worlds, districts, venues, zones, environment IDs and operational status.</t>
        </is>
      </c>
      <c r="I47" s="108" t="inlineStr">
        <is>
          <t>Blocked</t>
        </is>
      </c>
      <c r="J47" s="108" t="n">
        <v>3</v>
      </c>
      <c r="K47" s="109" t="n"/>
      <c r="L47" s="109" t="n"/>
      <c r="M47" s="110" t="n"/>
      <c r="N47" s="81" t="n">
        <v>0</v>
      </c>
      <c r="O47" s="80" t="inlineStr">
        <is>
          <t>6S8-ART-01</t>
        </is>
      </c>
      <c r="P47" s="80" t="inlineStr">
        <is>
          <t>Admin can register and manage worlds and zones</t>
        </is>
      </c>
      <c r="Q47" s="82" t="inlineStr">
        <is>
          <t>Spec §26 P4-01</t>
        </is>
      </c>
      <c r="R47" s="74" t="inlineStr">
        <is>
          <t>Formerly 5S8-FE-01 (Phase 5 became Phase 6, 2026-10-27).</t>
        </is>
      </c>
    </row>
    <row r="48" ht="23.85" customHeight="1" s="75">
      <c r="A48" s="104" t="n">
        <v>43</v>
      </c>
      <c r="B48" s="105" t="inlineStr">
        <is>
          <t>6S8-FE-02</t>
        </is>
      </c>
      <c r="C48" s="81" t="n">
        <v>8</v>
      </c>
      <c r="D48" s="82" t="inlineStr">
        <is>
          <t>Sprint 8 · Virtual inventory screens, controls and launch</t>
        </is>
      </c>
      <c r="E48" s="138" t="inlineStr">
        <is>
          <t>FE</t>
        </is>
      </c>
      <c r="F48" s="120" t="inlineStr">
        <is>
          <t>Code</t>
        </is>
      </c>
      <c r="G48" s="80" t="inlineStr">
        <is>
          <t>Build the placement manager</t>
        </is>
      </c>
      <c r="H48" s="107" t="inlineStr">
        <is>
          <t>Formerly 4S1-FE-02 (moved 2026-10-20: the game is parked). Placement IDs, dimensions and type, zone, viewability rules, dates and pricing.</t>
        </is>
      </c>
      <c r="I48" s="108" t="inlineStr">
        <is>
          <t>Blocked</t>
        </is>
      </c>
      <c r="J48" s="108" t="n">
        <v>5</v>
      </c>
      <c r="K48" s="109" t="n"/>
      <c r="L48" s="109" t="n"/>
      <c r="M48" s="110" t="n"/>
      <c r="N48" s="81" t="n">
        <v>0</v>
      </c>
      <c r="O48" s="80" t="inlineStr">
        <is>
          <t>4S1-BE-02</t>
        </is>
      </c>
      <c r="P48" s="80" t="inlineStr">
        <is>
          <t>Admin can create, configure and price placements</t>
        </is>
      </c>
      <c r="Q48" s="82" t="inlineStr">
        <is>
          <t>Spec §26 P4-02</t>
        </is>
      </c>
      <c r="R48" s="74" t="inlineStr">
        <is>
          <t>Formerly 5S8-FE-02 (Phase 5 became Phase 6, 2026-10-27).</t>
        </is>
      </c>
    </row>
    <row r="49" ht="23.85" customHeight="1" s="75">
      <c r="A49" s="104" t="n">
        <v>44</v>
      </c>
      <c r="B49" s="105" t="inlineStr">
        <is>
          <t>6S8-FE-03</t>
        </is>
      </c>
      <c r="C49" s="81" t="n">
        <v>8</v>
      </c>
      <c r="D49" s="82" t="inlineStr">
        <is>
          <t>Sprint 8 · Virtual inventory screens, controls and launch</t>
        </is>
      </c>
      <c r="E49" s="138" t="inlineStr">
        <is>
          <t>FE</t>
        </is>
      </c>
      <c r="F49" s="120" t="inlineStr">
        <is>
          <t>Code</t>
        </is>
      </c>
      <c r="G49" s="80" t="inlineStr">
        <is>
          <t>Build placement preview metadata</t>
        </is>
      </c>
      <c r="H49" s="107" t="inlineStr">
        <is>
          <t>Formerly 4S1-FE-03 (moved 2026-10-20: the game is parked). Thumbnail, orientation, allowed creative types, technical constraints and placement test status — so a sponsor knows what they are buying.</t>
        </is>
      </c>
      <c r="I49" s="108" t="inlineStr">
        <is>
          <t>Blocked</t>
        </is>
      </c>
      <c r="J49" s="108" t="n">
        <v>3</v>
      </c>
      <c r="K49" s="109" t="n"/>
      <c r="L49" s="109" t="n"/>
      <c r="M49" s="110" t="n"/>
      <c r="N49" s="81" t="n">
        <v>0</v>
      </c>
      <c r="O49" s="80" t="inlineStr">
        <is>
          <t>4S1-BE-02</t>
        </is>
      </c>
      <c r="P49" s="80" t="inlineStr">
        <is>
          <t>Preview metadata renders and shows the placement's staging test status</t>
        </is>
      </c>
      <c r="Q49" s="82" t="inlineStr">
        <is>
          <t>Spec §26 P4-03</t>
        </is>
      </c>
      <c r="R49" s="74" t="inlineStr">
        <is>
          <t>Formerly 5S8-FE-03 (Phase 5 became Phase 6, 2026-10-27).</t>
        </is>
      </c>
    </row>
    <row r="50" ht="23.85" customHeight="1" s="75">
      <c r="A50" s="104" t="n">
        <v>45</v>
      </c>
      <c r="B50" s="105" t="inlineStr">
        <is>
          <t>6S8-FE-04</t>
        </is>
      </c>
      <c r="C50" s="81" t="n">
        <v>8</v>
      </c>
      <c r="D50" s="82" t="inlineStr">
        <is>
          <t>Sprint 8 · Virtual inventory screens, controls and launch</t>
        </is>
      </c>
      <c r="E50" s="138" t="inlineStr">
        <is>
          <t>FE</t>
        </is>
      </c>
      <c r="F50" s="120" t="inlineStr">
        <is>
          <t>Code</t>
        </is>
      </c>
      <c r="G50" s="80" t="inlineStr">
        <is>
          <t>Build the creative deployment console</t>
        </is>
      </c>
      <c r="H50" s="107" t="inlineStr">
        <is>
          <t>Formerly 4S2-FE-01 (moved 2026-10-20: the game is parked). Assign creative version, approve, schedule, publish and roll back.</t>
        </is>
      </c>
      <c r="I50" s="108" t="inlineStr">
        <is>
          <t>Blocked</t>
        </is>
      </c>
      <c r="J50" s="108" t="n">
        <v>5</v>
      </c>
      <c r="K50" s="109" t="n"/>
      <c r="L50" s="109" t="n"/>
      <c r="M50" s="110" t="n"/>
      <c r="N50" s="81" t="n">
        <v>0</v>
      </c>
      <c r="O50" s="80" t="inlineStr">
        <is>
          <t>6S8-ART-01</t>
        </is>
      </c>
      <c r="P50" s="80" t="inlineStr">
        <is>
          <t>Staff can run the full deployment lifecycle from the console</t>
        </is>
      </c>
      <c r="Q50" s="82" t="inlineStr">
        <is>
          <t>Spec §26 P4-05</t>
        </is>
      </c>
      <c r="R50" s="74" t="inlineStr">
        <is>
          <t>Formerly 5S8-FE-04 (Phase 5 became Phase 6, 2026-10-27).</t>
        </is>
      </c>
    </row>
    <row r="51" ht="23.85" customHeight="1" s="75">
      <c r="A51" s="104" t="n">
        <v>46</v>
      </c>
      <c r="B51" s="105" t="inlineStr">
        <is>
          <t>6S8-BE-01</t>
        </is>
      </c>
      <c r="C51" s="81" t="n">
        <v>8</v>
      </c>
      <c r="D51" s="82" t="inlineStr">
        <is>
          <t>Sprint 8 · Virtual inventory screens, controls and launch</t>
        </is>
      </c>
      <c r="E51" s="138" t="inlineStr">
        <is>
          <t>BE</t>
        </is>
      </c>
      <c r="F51" s="120" t="inlineStr">
        <is>
          <t>Code</t>
        </is>
      </c>
      <c r="G51" s="80" t="inlineStr">
        <is>
          <t>Emergency pause and kill switch</t>
        </is>
      </c>
      <c r="H51" s="107" t="inlineStr">
        <is>
          <t>Formerly 4S8-BE-01 (moved 2026-10-20: the game is parked). One control that takes a sponsor's creative down across every world immediately. You will need it on a Friday evening.</t>
        </is>
      </c>
      <c r="I51" s="108" t="inlineStr">
        <is>
          <t>Blocked</t>
        </is>
      </c>
      <c r="J51" s="108" t="n">
        <v>3</v>
      </c>
      <c r="K51" s="109" t="n"/>
      <c r="L51" s="109" t="n"/>
      <c r="M51" s="110" t="n"/>
      <c r="N51" s="81" t="n">
        <v>0</v>
      </c>
      <c r="O51" s="80" t="inlineStr">
        <is>
          <t>4S2-BE-05</t>
        </is>
      </c>
      <c r="P51" s="80" t="inlineStr">
        <is>
          <t>Emergency pause removes creative from all worlds within the agreed time target</t>
        </is>
      </c>
      <c r="Q51" s="82" t="inlineStr">
        <is>
          <t>Spec §28</t>
        </is>
      </c>
      <c r="R51" s="74" t="inlineStr">
        <is>
          <t>Formerly 5S8-BE-01 (Phase 5 became Phase 6, 2026-10-27).</t>
        </is>
      </c>
    </row>
    <row r="52" s="75">
      <c r="A52" s="104" t="n">
        <v>47</v>
      </c>
      <c r="B52" s="105" t="inlineStr">
        <is>
          <t>6S8-BE-02</t>
        </is>
      </c>
      <c r="C52" s="81" t="n">
        <v>8</v>
      </c>
      <c r="D52" s="82" t="inlineStr">
        <is>
          <t>Sprint 8 · Virtual inventory screens, controls and launch</t>
        </is>
      </c>
      <c r="E52" s="138" t="inlineStr">
        <is>
          <t>BE</t>
        </is>
      </c>
      <c r="F52" s="120" t="inlineStr">
        <is>
          <t>Code</t>
        </is>
      </c>
      <c r="G52" s="80" t="inlineStr">
        <is>
          <t>Deployment incident log</t>
        </is>
      </c>
      <c r="H52" s="107" t="inlineStr">
        <is>
          <t>Formerly 4S8-BE-02 (moved 2026-10-20: the game is parked). Type, severity, opened and closed times, notes. Ops history a sponsor can be shown.</t>
        </is>
      </c>
      <c r="I52" s="108" t="inlineStr">
        <is>
          <t>Blocked</t>
        </is>
      </c>
      <c r="J52" s="108" t="n">
        <v>3</v>
      </c>
      <c r="K52" s="109" t="n"/>
      <c r="L52" s="109" t="n"/>
      <c r="M52" s="110" t="n"/>
      <c r="N52" s="81" t="n">
        <v>0</v>
      </c>
      <c r="O52" s="80" t="inlineStr">
        <is>
          <t>6S8-BE-01</t>
        </is>
      </c>
      <c r="P52" s="80" t="inlineStr">
        <is>
          <t>Incidents are logged, tracked and closable with notes</t>
        </is>
      </c>
      <c r="Q52" s="82" t="inlineStr">
        <is>
          <t>Spec §30</t>
        </is>
      </c>
      <c r="R52" s="74" t="inlineStr">
        <is>
          <t>Formerly 5S8-BE-02 (Phase 5 became Phase 6, 2026-10-27).</t>
        </is>
      </c>
    </row>
    <row r="53" s="75">
      <c r="A53" s="104" t="n">
        <v>48</v>
      </c>
      <c r="B53" s="105" t="inlineStr">
        <is>
          <t>6S8-PMO-01</t>
        </is>
      </c>
      <c r="C53" s="81" t="n">
        <v>8</v>
      </c>
      <c r="D53" s="82" t="inlineStr">
        <is>
          <t>Sprint 8 · Virtual inventory screens, controls and launch</t>
        </is>
      </c>
      <c r="E53" s="138" t="inlineStr">
        <is>
          <t>PMO</t>
        </is>
      </c>
      <c r="F53" s="120" t="inlineStr">
        <is>
          <t>Document</t>
        </is>
      </c>
      <c r="G53" s="80" t="inlineStr">
        <is>
          <t>Phase 4 UAT</t>
        </is>
      </c>
      <c r="H53" s="107" t="inlineStr">
        <is>
          <t>Formerly 4S9-PMO-02 (moved 2026-10-20: the game is parked). The web application walked end to end: BTG registers a world and its placements, sells a placement into a campaign, deploys, pauses and rolls back creative, and uses the emergency pause, all from SponsorX's screens. Since 2026-10-20 nothing here needs the game.</t>
        </is>
      </c>
      <c r="I53" s="108" t="inlineStr">
        <is>
          <t>Blocked</t>
        </is>
      </c>
      <c r="J53" s="108" t="n">
        <v>5</v>
      </c>
      <c r="K53" s="109" t="n"/>
      <c r="L53" s="109" t="n"/>
      <c r="M53" s="110" t="n"/>
      <c r="N53" s="81" t="n">
        <v>0</v>
      </c>
      <c r="O53" s="80" t="inlineStr">
        <is>
          <t>6S8-FE-01, 6S8-FE-02, 6S8-FE-03, 6S8-FE-04, 6S8-BE-02</t>
        </is>
      </c>
      <c r="P53" s="80" t="inlineStr">
        <is>
          <t>Phase 6 criteria 14 and 15 demonstrated and signed off</t>
        </is>
      </c>
      <c r="Q53" s="82" t="inlineStr">
        <is>
          <t>Spec §34</t>
        </is>
      </c>
      <c r="R53" s="74" t="inlineStr">
        <is>
          <t>Changed 2026-10-16 (user): no longer waits on the pilot world (now Phase 6). | Formerly 5S8-PMO-01 (Phase 5 became Phase 6, 2026-10-27).</t>
        </is>
      </c>
    </row>
    <row r="54" s="75">
      <c r="A54" s="104" t="n">
        <v>49</v>
      </c>
      <c r="B54" s="105" t="inlineStr">
        <is>
          <t>6S8-OPS-01</t>
        </is>
      </c>
      <c r="C54" s="81" t="n">
        <v>8</v>
      </c>
      <c r="D54" s="82" t="inlineStr">
        <is>
          <t>Sprint 8 · Virtual inventory screens, controls and launch</t>
        </is>
      </c>
      <c r="E54" s="138" t="inlineStr">
        <is>
          <t>OPS</t>
        </is>
      </c>
      <c r="F54" s="120" t="inlineStr">
        <is>
          <t>Vendor console</t>
        </is>
      </c>
      <c r="G54" s="80" t="inlineStr">
        <is>
          <t>Production rollout and incident readiness</t>
        </is>
      </c>
      <c r="H54" s="107" t="inlineStr">
        <is>
          <t>Formerly 4S9-OPS-01 (moved 2026-10-20: the game is parked). Streaming, observability, scaling and an on-call path before the first paying virtual sponsor.</t>
        </is>
      </c>
      <c r="I54" s="108" t="inlineStr">
        <is>
          <t>Blocked</t>
        </is>
      </c>
      <c r="J54" s="108" t="n">
        <v>3</v>
      </c>
      <c r="K54" s="109" t="n"/>
      <c r="L54" s="109" t="n"/>
      <c r="M54" s="110" t="n"/>
      <c r="N54" s="81" t="n">
        <v>0</v>
      </c>
      <c r="O54" s="80" t="inlineStr">
        <is>
          <t>6S8-PMO-01</t>
        </is>
      </c>
      <c r="P54" s="80" t="inlineStr">
        <is>
          <t>Production rollout complete with monitoring, alerting and an incident runbook</t>
        </is>
      </c>
      <c r="Q54" s="82" t="inlineStr">
        <is>
          <t>Spec §31, §38</t>
        </is>
      </c>
      <c r="R54" s="74" t="inlineStr">
        <is>
          <t>Formerly 5S8-OPS-01 (Phase 5 became Phase 6, 2026-10-27).</t>
        </is>
      </c>
    </row>
    <row r="55" s="75"/>
  </sheetData>
  <autoFilter ref="A4:R54"/>
  <mergeCells count="2">
    <mergeCell ref="A2:R2"/>
    <mergeCell ref="A1:R1"/>
  </mergeCells>
  <conditionalFormatting sqref="I5:I54">
    <cfRule type="cellIs" rank="0" priority="2" equalAverage="0" operator="equal" aboveAverage="0" dxfId="27" text="" percent="0" bottom="0">
      <formula>"Ready"</formula>
    </cfRule>
    <cfRule type="cellIs" rank="0" priority="3" equalAverage="0" operator="equal" aboveAverage="0" dxfId="28" text="" percent="0" bottom="0">
      <formula>"In progress"</formula>
    </cfRule>
    <cfRule type="cellIs" rank="0" priority="4" equalAverage="0" operator="equal" aboveAverage="0" dxfId="29" text="" percent="0" bottom="0">
      <formula>"Code review"</formula>
    </cfRule>
    <cfRule type="cellIs" rank="0" priority="5" equalAverage="0" operator="equal" aboveAverage="0" dxfId="30" text="" percent="0" bottom="0">
      <formula>"Blocked"</formula>
    </cfRule>
    <cfRule type="cellIs" rank="0" priority="6" equalAverage="0" operator="equal" aboveAverage="0" dxfId="31" text="" percent="0" bottom="0">
      <formula>"Done"</formula>
    </cfRule>
  </conditionalFormatting>
  <conditionalFormatting sqref="A5:R54">
    <cfRule type="expression" rank="0" priority="7" equalAverage="0" aboveAverage="0" dxfId="32" text="" percent="0" bottom="0">
      <formula>$I5="Done"</formula>
    </cfRule>
  </conditionalFormatting>
  <conditionalFormatting sqref="N5:N54">
    <cfRule type="cellIs" rank="0" priority="8" equalAverage="0" operator="greaterThanOrEqual" aboveAverage="0" dxfId="33" text="" percent="0" bottom="0">
      <formula>50</formula>
    </cfRule>
  </conditionalFormatting>
  <dataValidations count="1">
    <dataValidation sqref="I5:I54" showDropDown="0" showInputMessage="0" showErrorMessage="0" allowBlank="1" type="list">
      <formula1>"Ready,In progress,Code review,Blocked,Done"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S1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75" min="1" max="1"/>
    <col width="8" customWidth="1" style="75" min="2" max="2"/>
    <col width="13" customWidth="1" style="75" min="3" max="3"/>
    <col width="6" customWidth="1" style="75" min="4" max="4"/>
    <col width="24" customWidth="1" style="75" min="5" max="5"/>
    <col width="20" customWidth="1" style="75" min="6" max="6"/>
    <col width="34" customWidth="1" style="75" min="8" max="8"/>
    <col width="52" customWidth="1" style="75" min="9" max="9"/>
    <col width="13" customWidth="1" style="75" min="10" max="10"/>
    <col width="10" customWidth="1" style="75" min="15" max="15"/>
    <col width="20" customWidth="1" style="75" min="16" max="16"/>
    <col width="44" customWidth="1" style="75" min="17" max="17"/>
  </cols>
  <sheetData>
    <row r="1">
      <c r="A1" s="149" t="inlineStr">
        <is>
          <t>SponsorX — Legal &amp; Policy (counsel work, tracked separately)</t>
        </is>
      </c>
    </row>
    <row r="2">
      <c r="A2" s="150" t="inlineStr">
        <is>
          <t>Moved off the phase sheets so counsel lead times never sit on the delivery path. No development task depends on any row here — see Notes.</t>
        </is>
      </c>
    </row>
    <row r="3"/>
    <row r="4">
      <c r="A4" s="151" t="inlineStr">
        <is>
          <t>Phase</t>
        </is>
      </c>
      <c r="B4" s="151" t="inlineStr">
        <is>
          <t>Order</t>
        </is>
      </c>
      <c r="C4" s="151" t="inlineStr">
        <is>
          <t>ID</t>
        </is>
      </c>
      <c r="D4" s="151" t="inlineStr">
        <is>
          <t>Stage</t>
        </is>
      </c>
      <c r="E4" s="151" t="inlineStr">
        <is>
          <t>Stage name</t>
        </is>
      </c>
      <c r="F4" s="151" t="inlineStr">
        <is>
          <t>Cat</t>
        </is>
      </c>
      <c r="G4" s="151" t="inlineStr">
        <is>
          <t>Where the work happens</t>
        </is>
      </c>
      <c r="H4" s="151" t="inlineStr">
        <is>
          <t>Task</t>
        </is>
      </c>
      <c r="I4" s="151" t="inlineStr">
        <is>
          <t>DETAILS</t>
        </is>
      </c>
      <c r="J4" s="151" t="inlineStr">
        <is>
          <t>Status</t>
        </is>
      </c>
      <c r="K4" s="151" t="inlineStr">
        <is>
          <t>Weight (days)</t>
        </is>
      </c>
      <c r="L4" s="151" t="inlineStr">
        <is>
          <t>Date Started</t>
        </is>
      </c>
      <c r="M4" s="151" t="inlineStr">
        <is>
          <t>Date Done</t>
        </is>
      </c>
      <c r="N4" s="151" t="inlineStr">
        <is>
          <t>Owner</t>
        </is>
      </c>
      <c r="O4" s="151" t="inlineStr">
        <is>
          <t>Unblocks</t>
        </is>
      </c>
      <c r="P4" s="151" t="inlineStr">
        <is>
          <t>Depends On</t>
        </is>
      </c>
      <c r="Q4" s="151" t="inlineStr">
        <is>
          <t>Acceptance Criteria</t>
        </is>
      </c>
      <c r="R4" s="151" t="inlineStr">
        <is>
          <t>Refs</t>
        </is>
      </c>
      <c r="S4" s="151" t="inlineStr">
        <is>
          <t>Notes</t>
        </is>
      </c>
    </row>
    <row r="5">
      <c r="A5" s="74" t="inlineStr">
        <is>
          <t>Phase 1</t>
        </is>
      </c>
      <c r="B5" s="74" t="n">
        <v>4</v>
      </c>
      <c r="C5" s="74" t="inlineStr">
        <is>
          <t>P0-LEG-01</t>
        </is>
      </c>
      <c r="D5" s="74" t="n">
        <v>0</v>
      </c>
      <c r="E5" s="74" t="inlineStr">
        <is>
          <t>Foundation &amp; Decisions</t>
        </is>
      </c>
      <c r="F5" s="74" t="inlineStr">
        <is>
          <t>LEG</t>
        </is>
      </c>
      <c r="G5" s="74" t="inlineStr">
        <is>
          <t>External · counsel</t>
        </is>
      </c>
      <c r="H5" s="74" t="inlineStr">
        <is>
          <t>Commission Content Collaboration Agreement from counsel</t>
        </is>
      </c>
      <c r="I5" s="74" t="inlineStr">
        <is>
          <t>DECISION GATE G-05 · Counsel-approved templates — both agreements signed off before any acceptance code is built.  —  Get a lawyer to draft the agreement athletes sign to join the network. Longest lead time in the project — start it on day one, everything else can proceed while you wait.</t>
        </is>
      </c>
      <c r="J5" s="74" t="inlineStr">
        <is>
          <t>Done</t>
        </is>
      </c>
      <c r="K5" s="74" t="n">
        <v>3</v>
      </c>
      <c r="L5" s="162" t="n">
        <v>46315</v>
      </c>
      <c r="M5" s="162" t="n">
        <v>46317</v>
      </c>
      <c r="N5" s="74" t="inlineStr">
        <is>
          <t>rcfworks</t>
        </is>
      </c>
      <c r="O5" s="74" t="n">
        <v>0</v>
      </c>
      <c r="Q5" s="74" t="inlineStr">
        <is>
          <t>Template delivered, versioned, approved for production use</t>
        </is>
      </c>
      <c r="R5" s="74" t="inlineStr">
        <is>
          <t>§12, §26</t>
        </is>
      </c>
      <c r="S5" s="74" t="inlineStr">
        <is>
          <t>Moved to the Legal sheet 2026-09-15. Unblocks reset to 0: no development task depends on legal approval. Approved 2026-10-22 by rcfworks with Rodney's delegated authority (SponsorX Legal folder); issued in the app as v2 (P8-BE-07).</t>
        </is>
      </c>
    </row>
    <row r="6">
      <c r="A6" s="74" t="inlineStr">
        <is>
          <t>Phase 1</t>
        </is>
      </c>
      <c r="B6" s="74" t="n">
        <v>5</v>
      </c>
      <c r="C6" s="74" t="inlineStr">
        <is>
          <t>P0-LEG-03</t>
        </is>
      </c>
      <c r="D6" s="74" t="n">
        <v>0</v>
      </c>
      <c r="E6" s="74" t="inlineStr">
        <is>
          <t>Foundation &amp; Decisions</t>
        </is>
      </c>
      <c r="F6" s="74" t="inlineStr">
        <is>
          <t>LEG</t>
        </is>
      </c>
      <c r="G6" s="74" t="inlineStr">
        <is>
          <t>External · counsel</t>
        </is>
      </c>
      <c r="H6" s="74" t="inlineStr">
        <is>
          <t>Resolve guardian authorisation method for minors (G-03)</t>
        </is>
      </c>
      <c r="I6" s="74" t="inlineStr">
        <is>
          <t>DECISION GATE G-03 · Guardian e-signature — is click-to-accept enough for a parent authorising a minor?  —  Ask counsel whether a click-to-accept checkbox is enough for a parent authorising a minor, or whether you need real e-signature. If they say e-signature, that is a new vendor and more work.</t>
        </is>
      </c>
      <c r="J6" s="74" t="inlineStr">
        <is>
          <t>Done</t>
        </is>
      </c>
      <c r="K6" s="74" t="n">
        <v>1</v>
      </c>
      <c r="L6" s="162" t="n">
        <v>46315</v>
      </c>
      <c r="M6" s="162" t="n">
        <v>46317</v>
      </c>
      <c r="N6" s="74" t="inlineStr">
        <is>
          <t>rcfworks</t>
        </is>
      </c>
      <c r="O6" s="74" t="n">
        <v>0</v>
      </c>
      <c r="P6" s="74" t="inlineStr">
        <is>
          <t>P0-LEG-01</t>
        </is>
      </c>
      <c r="Q6" s="74" t="inlineStr">
        <is>
          <t>Written answer: click-wrap sufficient, or an e-sign vendor named</t>
        </is>
      </c>
      <c r="R6" s="74" t="inlineStr">
        <is>
          <t>Addendum A5, §4</t>
        </is>
      </c>
      <c r="S6" s="74" t="inlineStr">
        <is>
          <t>Moved to the Legal sheet 2026-09-15. Unblocks reset to 0: no development task depends on legal approval. Approved 2026-10-22 by rcfworks with Rodney's delegated authority (SponsorX Legal folder); issued in the app as v2 (P8-BE-07). Answer: click-to-accept by a verified guardian is sufficient (Option A); no e-sign vendor.</t>
        </is>
      </c>
    </row>
    <row r="7">
      <c r="A7" s="74" t="inlineStr">
        <is>
          <t>Phase 1</t>
        </is>
      </c>
      <c r="B7" s="74" t="n">
        <v>6</v>
      </c>
      <c r="C7" s="74" t="inlineStr">
        <is>
          <t>P0-LEG-02</t>
        </is>
      </c>
      <c r="D7" s="74" t="n">
        <v>0</v>
      </c>
      <c r="E7" s="74" t="inlineStr">
        <is>
          <t>Foundation &amp; Decisions</t>
        </is>
      </c>
      <c r="F7" s="74" t="inlineStr">
        <is>
          <t>LEG</t>
        </is>
      </c>
      <c r="G7" s="74" t="inlineStr">
        <is>
          <t>External · counsel</t>
        </is>
      </c>
      <c r="H7" s="74" t="inlineStr">
        <is>
          <t>Commission Campaign Order template from counsel</t>
        </is>
      </c>
      <c r="I7" s="74" t="inlineStr">
        <is>
          <t>DECISION GATE G-05 · Counsel-approved templates — both agreements signed off before any acceptance code is built.  —  Get a lawyer to draft the per-campaign contract an athlete accepts: what they deliver, what they are paid, usage rights, exclusivity, deadlines, disclosure.</t>
        </is>
      </c>
      <c r="J7" s="74" t="inlineStr">
        <is>
          <t>Done</t>
        </is>
      </c>
      <c r="K7" s="74" t="n">
        <v>3</v>
      </c>
      <c r="L7" s="162" t="n">
        <v>46315</v>
      </c>
      <c r="M7" s="162" t="n">
        <v>46317</v>
      </c>
      <c r="N7" s="74" t="inlineStr">
        <is>
          <t>rcfworks</t>
        </is>
      </c>
      <c r="O7" s="74" t="n">
        <v>0</v>
      </c>
      <c r="Q7" s="74" t="inlineStr">
        <is>
          <t>Template delivered with clause set for job code, deliverables, compensation, usage rights, exclusivity, deadlines, disclosure</t>
        </is>
      </c>
      <c r="R7" s="74" t="inlineStr">
        <is>
          <t>§12</t>
        </is>
      </c>
      <c r="S7" s="74" t="inlineStr">
        <is>
          <t>Moved to the Legal sheet 2026-09-15. Unblocks reset to 0: no development task depends on legal approval. Approved 2026-10-22 by rcfworks with Rodney's delegated authority (SponsorX Legal folder); issued in the app as v2 (P8-BE-07).</t>
        </is>
      </c>
    </row>
    <row r="8">
      <c r="A8" s="74" t="inlineStr">
        <is>
          <t>Phase 1</t>
        </is>
      </c>
      <c r="B8" s="74" t="n">
        <v>11</v>
      </c>
      <c r="C8" s="74" t="inlineStr">
        <is>
          <t>P0-LEG-04</t>
        </is>
      </c>
      <c r="D8" s="74" t="n">
        <v>0</v>
      </c>
      <c r="E8" s="74" t="inlineStr">
        <is>
          <t>Foundation &amp; Decisions</t>
        </is>
      </c>
      <c r="F8" s="74" t="inlineStr">
        <is>
          <t>LEG</t>
        </is>
      </c>
      <c r="G8" s="74" t="inlineStr">
        <is>
          <t>External · counsel</t>
        </is>
      </c>
      <c r="H8" s="74" t="inlineStr">
        <is>
          <t>Privacy review of the fan reward funnel</t>
        </is>
      </c>
      <c r="I8" s="74" t="inlineStr">
        <is>
          <t>Have counsel approve the consent wording fans see when they scan a QR code and hand over their details. This is the most legally sensitive flow in the product, often at youth sports events.</t>
        </is>
      </c>
      <c r="J8" s="74" t="inlineStr">
        <is>
          <t>Done</t>
        </is>
      </c>
      <c r="K8" s="74" t="n">
        <v>3</v>
      </c>
      <c r="L8" s="162" t="n">
        <v>46315</v>
      </c>
      <c r="M8" s="162" t="n">
        <v>46317</v>
      </c>
      <c r="N8" s="74" t="inlineStr">
        <is>
          <t>rcfworks</t>
        </is>
      </c>
      <c r="O8" s="74" t="n">
        <v>0</v>
      </c>
      <c r="Q8" s="74" t="inlineStr">
        <is>
          <t>Consent language approved for scan→claim→redeem; purpose limitation defined; what sponsors receive is specified</t>
        </is>
      </c>
      <c r="R8" s="74" t="inlineStr">
        <is>
          <t>§16, §26</t>
        </is>
      </c>
      <c r="S8" s="74" t="inlineStr">
        <is>
          <t>Moved to the Legal sheet 2026-09-15. Unblocks reset to 0: no development task depends on legal approval. Approved 2026-10-22 by rcfworks with Rodney's delegated authority (SponsorX Legal folder); issued in the app as v2 (P8-BE-07).</t>
        </is>
      </c>
    </row>
    <row r="9">
      <c r="A9" s="74" t="inlineStr">
        <is>
          <t>Phase 1</t>
        </is>
      </c>
      <c r="B9" s="74" t="n">
        <v>18</v>
      </c>
      <c r="C9" s="74" t="inlineStr">
        <is>
          <t>P0-LEG-06</t>
        </is>
      </c>
      <c r="D9" s="74" t="n">
        <v>0</v>
      </c>
      <c r="E9" s="74" t="inlineStr">
        <is>
          <t>Foundation &amp; Decisions</t>
        </is>
      </c>
      <c r="F9" s="74" t="inlineStr">
        <is>
          <t>LEG</t>
        </is>
      </c>
      <c r="G9" s="74" t="inlineStr">
        <is>
          <t>External · counsel</t>
        </is>
      </c>
      <c r="H9" s="74" t="inlineStr">
        <is>
          <t>Athlete-responsibility wording (redefined 2026-10-20)</t>
        </is>
      </c>
      <c r="I9" s="74" t="inlineStr">
        <is>
          <t>Redefined 2026-10-20 by the programme owner: no state-by-state rules list. The athlete (or a minor's guardian) confirms they follow their own school, league and local rules (P8-BE-02); built-in limits stay for everyone; a disputed deal is paused and documents requested (P8-BE-03). Counsel approves the responsibility paragraph in the athlete agreement draft (item 1).</t>
        </is>
      </c>
      <c r="J9" s="74" t="inlineStr">
        <is>
          <t>Done</t>
        </is>
      </c>
      <c r="K9" s="74" t="n">
        <v>0.5</v>
      </c>
      <c r="L9" s="162" t="n">
        <v>46315</v>
      </c>
      <c r="M9" s="162" t="n">
        <v>46317</v>
      </c>
      <c r="N9" s="74" t="inlineStr">
        <is>
          <t>rcfworks</t>
        </is>
      </c>
      <c r="O9" s="74" t="n">
        <v>0</v>
      </c>
      <c r="Q9" s="74" t="inlineStr">
        <is>
          <t>Counsel approves the athlete-responsibility paragraph and confirmation wording (in the P0-LEG-01 draft)</t>
        </is>
      </c>
      <c r="R9" s="74" t="inlineStr">
        <is>
          <t>§26, §4</t>
        </is>
      </c>
      <c r="S9" s="74" t="inlineStr">
        <is>
          <t>Moved to the Legal sheet 2026-09-15. Unblocks reset to 0: no development task depends on legal approval. Approved 2026-10-22 by rcfworks with Rodney's delegated authority (SponsorX Legal folder); issued in the app as v2 (P8-BE-07).</t>
        </is>
      </c>
    </row>
    <row r="10">
      <c r="A10" s="74" t="inlineStr">
        <is>
          <t>Phase 1</t>
        </is>
      </c>
      <c r="B10" s="74" t="n">
        <v>22</v>
      </c>
      <c r="C10" s="74" t="inlineStr">
        <is>
          <t>P0-LEG-05</t>
        </is>
      </c>
      <c r="D10" s="74" t="n">
        <v>0</v>
      </c>
      <c r="E10" s="74" t="inlineStr">
        <is>
          <t>Foundation &amp; Decisions</t>
        </is>
      </c>
      <c r="F10" s="74" t="inlineStr">
        <is>
          <t>LEG</t>
        </is>
      </c>
      <c r="G10" s="74" t="inlineStr">
        <is>
          <t>External · counsel</t>
        </is>
      </c>
      <c r="H10" s="74" t="inlineStr">
        <is>
          <t>Sponsor-responsibility wording for rewards (redefined 2026-10-20)</t>
        </is>
      </c>
      <c r="I10" s="74" t="inlineStr">
        <is>
          <t>Redefined 2026-10-20 by the programme owner: BTG does not vet every reward state by state. The sponsor confirms its reward is lawful wherever offered (age limits, alcohol/cannabis/betting rules); the app runs instant rewards only (no chance, nothing to pay); BTG pauses a reward anyone objects to (existing PAUSED). Counsel approves the sponsor paragraph in the 2S0-LEG-01 draft, Part B section B7.</t>
        </is>
      </c>
      <c r="J10" s="74" t="inlineStr">
        <is>
          <t>Done</t>
        </is>
      </c>
      <c r="K10" s="74" t="n">
        <v>0.5</v>
      </c>
      <c r="L10" s="162" t="n">
        <v>46315</v>
      </c>
      <c r="M10" s="162" t="n">
        <v>46317</v>
      </c>
      <c r="N10" s="74" t="inlineStr">
        <is>
          <t>rcfworks</t>
        </is>
      </c>
      <c r="O10" s="74" t="n">
        <v>0</v>
      </c>
      <c r="Q10" s="74" t="inlineStr">
        <is>
          <t>Counsel approves the sponsor-responsibility paragraph for rewards</t>
        </is>
      </c>
      <c r="R10" s="74" t="inlineStr">
        <is>
          <t>§16</t>
        </is>
      </c>
      <c r="S10" s="74" t="inlineStr">
        <is>
          <t>Moved to the Legal sheet 2026-09-15. Unblocks reset to 0: no development task depends on legal approval. Approved 2026-10-22 by rcfworks with Rodney's delegated authority (SponsorX Legal folder); issued in the app as v2 (P8-BE-07).</t>
        </is>
      </c>
    </row>
    <row r="11">
      <c r="A11" s="74" t="inlineStr">
        <is>
          <t>Phase 2</t>
        </is>
      </c>
      <c r="B11" s="74" t="n">
        <v>4</v>
      </c>
      <c r="C11" s="74" t="inlineStr">
        <is>
          <t>2S0-LEG-01</t>
        </is>
      </c>
      <c r="D11" s="74" t="n">
        <v>0</v>
      </c>
      <c r="E11" s="74" t="inlineStr">
        <is>
          <t>Sprint 0 · Architecture &amp; design</t>
        </is>
      </c>
      <c r="F11" s="74" t="inlineStr">
        <is>
          <t>LEG</t>
        </is>
      </c>
      <c r="G11" s="74" t="inlineStr">
        <is>
          <t>External · counsel</t>
        </is>
      </c>
      <c r="H11" s="74" t="inlineStr">
        <is>
          <t>Marketplace terms, payout terms and revenue-share agreements</t>
        </is>
      </c>
      <c r="I11" s="74" t="inlineStr">
        <is>
          <t>Counsel drafts the documents external properties accept: platform terms, marketplace terms, payout terms, privacy terms, and any BTG representation documents. Longest lead time in Phase 2 — start it first.</t>
        </is>
      </c>
      <c r="J11" s="74" t="inlineStr">
        <is>
          <t>Done</t>
        </is>
      </c>
      <c r="K11" s="74" t="n">
        <v>5</v>
      </c>
      <c r="L11" s="162" t="n">
        <v>46315</v>
      </c>
      <c r="M11" s="162" t="n">
        <v>46317</v>
      </c>
      <c r="N11" s="74" t="inlineStr">
        <is>
          <t>rcfworks</t>
        </is>
      </c>
      <c r="O11" s="74" t="n">
        <v>0</v>
      </c>
      <c r="P11" s="74" t="inlineStr">
        <is>
          <t>Phase 1 complete</t>
        </is>
      </c>
      <c r="Q11" s="74" t="inlineStr">
        <is>
          <t>All marketplace agreements delivered, versioned and approved for production use</t>
        </is>
      </c>
      <c r="R11" s="74" t="inlineStr">
        <is>
          <t>Spec §7.1</t>
        </is>
      </c>
      <c r="S11" s="74" t="inlineStr">
        <is>
          <t>Moved to the Legal sheet 2026-09-15. Unblocks reset to 0: no development task depends on legal approval. Approved 2026-10-22 by rcfworks with Rodney's delegated authority (SponsorX Legal folder); issued in the app as v2 (P8-BE-07).</t>
        </is>
      </c>
    </row>
    <row r="12">
      <c r="A12" s="74" t="inlineStr">
        <is>
          <t>Phase 2</t>
        </is>
      </c>
      <c r="B12" s="74" t="n">
        <v>5</v>
      </c>
      <c r="C12" s="74" t="inlineStr">
        <is>
          <t>2S0-LEG-02</t>
        </is>
      </c>
      <c r="D12" s="74" t="n">
        <v>0</v>
      </c>
      <c r="E12" s="74" t="inlineStr">
        <is>
          <t>Sprint 0 · Architecture &amp; design</t>
        </is>
      </c>
      <c r="F12" s="74" t="inlineStr">
        <is>
          <t>LEG</t>
        </is>
      </c>
      <c r="G12" s="74" t="inlineStr">
        <is>
          <t>External · BTG's accountant</t>
        </is>
      </c>
      <c r="H12" s="74" t="inlineStr">
        <is>
          <t>Tax position: confirm four proposed answers (redefined 2026-10-20)</t>
        </is>
      </c>
      <c r="I12" s="74" t="inlineStr">
        <is>
          <t>Proposed 2026-10-20, for BTG's accountant to confirm, not research (draft 7 in the SponsorX Legal folder): Stripe Connect collects W-9/W-8 and files 1099s for marketplace payouts; BTG finance handles managed campaign payments (Zoho Books) as for any contractor; SponsorX never stores a tax ID; a minor's form is in the minor's name. No app change; one Stripe setting at go-live.</t>
        </is>
      </c>
      <c r="J12" s="74" t="inlineStr">
        <is>
          <t>Done</t>
        </is>
      </c>
      <c r="K12" s="74" t="n">
        <v>0.5</v>
      </c>
      <c r="L12" s="162" t="n">
        <v>46315</v>
      </c>
      <c r="M12" s="162" t="n">
        <v>46317</v>
      </c>
      <c r="N12" s="74" t="inlineStr">
        <is>
          <t>rcfworks</t>
        </is>
      </c>
      <c r="O12" s="74" t="n">
        <v>0</v>
      </c>
      <c r="P12" s="74" t="inlineStr">
        <is>
          <t>2S0-PMO-02</t>
        </is>
      </c>
      <c r="Q12" s="74" t="inlineStr">
        <is>
          <t>BTG's accountant confirms (or corrects) the four proposed answers in draft 7; Stripe tax reporting switched on for connected accounts</t>
        </is>
      </c>
      <c r="R12" s="74" t="inlineStr">
        <is>
          <t>Spec §9, §10</t>
        </is>
      </c>
      <c r="S12" s="74" t="inlineStr">
        <is>
          <t>Moved to the Legal sheet 2026-09-15. Unblocks reset to 0: no development task depends on legal approval. Approved 2026-10-22 by rcfworks with Rodney's delegated authority (SponsorX Legal folder); issued in the app as v2 (P8-BE-07). The four proposed answers in document 7 confirmed; no app change; the Stripe tax-reporting switch is a go-live step.</t>
        </is>
      </c>
    </row>
    <row r="13">
      <c r="A13" s="74" t="inlineStr">
        <is>
          <t>Phase 3</t>
        </is>
      </c>
      <c r="B13" s="74" t="n">
        <v>6</v>
      </c>
      <c r="C13" s="74" t="inlineStr">
        <is>
          <t>3S0-LEG-01</t>
        </is>
      </c>
      <c r="D13" s="74" t="n">
        <v>0</v>
      </c>
      <c r="E13" s="74" t="inlineStr">
        <is>
          <t>Sprint 0 · Analytics architecture</t>
        </is>
      </c>
      <c r="F13" s="74" t="inlineStr">
        <is>
          <t>LEG</t>
        </is>
      </c>
      <c r="G13" s="74" t="inlineStr">
        <is>
          <t>External · counsel</t>
        </is>
      </c>
      <c r="H13" s="74" t="inlineStr">
        <is>
          <t>Attribution, consent and partner terms review</t>
        </is>
      </c>
      <c r="I13" s="74" t="inlineStr">
        <is>
          <t>Counsel reviews the attribution claims, the consent basis for using fan data this way, and what partner contracts actually permit.</t>
        </is>
      </c>
      <c r="J13" s="74" t="inlineStr">
        <is>
          <t>Done</t>
        </is>
      </c>
      <c r="K13" s="74" t="n">
        <v>3</v>
      </c>
      <c r="L13" s="162" t="n">
        <v>46315</v>
      </c>
      <c r="M13" s="162" t="n">
        <v>46317</v>
      </c>
      <c r="N13" s="74" t="inlineStr">
        <is>
          <t>rcfworks</t>
        </is>
      </c>
      <c r="O13" s="74" t="n">
        <v>0</v>
      </c>
      <c r="P13" s="74" t="inlineStr">
        <is>
          <t>3S0-PMO-01</t>
        </is>
      </c>
      <c r="Q13" s="74" t="inlineStr">
        <is>
          <t>Written approval of attribution claims, consent basis and sponsor-facing reporting language</t>
        </is>
      </c>
      <c r="R13" s="74" t="inlineStr">
        <is>
          <t>Spec §23</t>
        </is>
      </c>
      <c r="S13" s="74" t="inlineStr">
        <is>
          <t>Moved to the Legal sheet 2026-09-15. Unblocks reset to 0: no development task depends on legal approval. Approved 2026-10-22 by rcfworks with Rodney's delegated authority (SponsorX Legal folder); issued in the app as v2 (P8-BE-07). Report renamed Campaign Results Report with the approved foot note; results-screen labels are P8-FE-08.</t>
        </is>
      </c>
    </row>
  </sheetData>
  <autoFilter ref="A4:S13"/>
  <dataValidations count="1">
    <dataValidation sqref="J5:J13" showDropDown="0" showInputMessage="0" showErrorMessage="0" allowBlank="1" type="list">
      <formula1>"Ready,In progress,Code review,Blocked,Done"</formula1>
    </dataValidation>
  </dataValidations>
  <pageMargins left="0.75" right="0.75" top="1" bottom="1" header="0.5" footer="0.5"/>
</worksheet>
</file>

<file path=xl/worksheets/sheet12.xml><?xml version="1.0" encoding="utf-8"?>
<worksheet xmlns="http://schemas.openxmlformats.org/spreadsheetml/2006/main">
  <sheetPr filterMode="0">
    <outlinePr summaryBelow="1" summaryRight="1"/>
    <pageSetUpPr fitToPage="0"/>
  </sheetPr>
  <dimension ref="A1:B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74" min="1" max="1"/>
    <col width="104" customWidth="1" style="74" min="2" max="2"/>
  </cols>
  <sheetData>
    <row r="1" ht="24" customHeight="1" s="75">
      <c r="A1" s="76" t="inlineStr">
        <is>
          <t>Legend</t>
        </is>
      </c>
    </row>
    <row r="2" ht="15" customHeight="1" s="75">
      <c r="A2" s="77" t="inlineStr">
        <is>
          <t>How to read every phase sheet.</t>
        </is>
      </c>
    </row>
    <row r="3"/>
    <row r="4"/>
    <row r="5" ht="15" customHeight="1" s="75">
      <c r="A5" s="90" t="inlineStr">
        <is>
          <t>THE DAILY RULE</t>
        </is>
      </c>
    </row>
    <row r="6" ht="15" customHeight="1" s="75">
      <c r="A6" s="147" t="inlineStr">
        <is>
          <t>During the day</t>
        </is>
      </c>
      <c r="B6" s="148" t="inlineStr">
        <is>
          <t>Tag your task In progress in THIS file. Set Owner and Date Started. Move to Code review, then Done, as it advances.</t>
        </is>
      </c>
    </row>
    <row r="7" ht="23.85" customHeight="1" s="75">
      <c r="A7" s="147" t="inlineStr">
        <is>
          <t>At end of day</t>
        </is>
      </c>
      <c r="B7" s="148" t="inlineStr">
        <is>
          <t>Whatever state your tasks are in — finished, half-done, blocked, untouched — update the Google Sheet to match. That is the copy other people read.</t>
        </is>
      </c>
    </row>
    <row r="8" ht="15" customHeight="1" s="75">
      <c r="A8" s="147" t="inlineStr">
        <is>
          <t>In commits</t>
        </is>
      </c>
      <c r="B8" s="148" t="inlineStr">
        <is>
          <t>Put the task ID (e.g. 2S5-BE-04) in the branch name and commit message.</t>
        </is>
      </c>
    </row>
    <row r="9" ht="15" customHeight="1" s="75">
      <c r="A9" s="147" t="inlineStr">
        <is>
          <t>If a task is wrong</t>
        </is>
      </c>
      <c r="B9" s="148" t="inlineStr">
        <is>
          <t>Fix its definition in the Markdown plan files, by pull request. Never quietly reinterpret it here.</t>
        </is>
      </c>
    </row>
    <row r="10"/>
    <row r="11" ht="15" customHeight="1" s="75">
      <c r="A11" s="90" t="inlineStr">
        <is>
          <t>WHERE THE WORK HAPPENS</t>
        </is>
      </c>
    </row>
    <row r="12" ht="15" customHeight="1" s="75">
      <c r="A12" s="147" t="inlineStr">
        <is>
          <t>Document</t>
        </is>
      </c>
      <c r="B12" s="148" t="inlineStr">
        <is>
          <t>A written decision or specification. No system is touched — the output is a document people agree on.</t>
        </is>
      </c>
    </row>
    <row r="13" ht="15" customHeight="1" s="75">
      <c r="A13" s="147" t="inlineStr">
        <is>
          <t>Zoho dashboard</t>
        </is>
      </c>
      <c r="B13" s="148" t="inlineStr">
        <is>
          <t>Configuration clicked through the Zoho CRM admin UI (Setup → Modules and Fields, API credentials, users).</t>
        </is>
      </c>
    </row>
    <row r="14" ht="15" customHeight="1" s="75">
      <c r="A14" s="147" t="inlineStr">
        <is>
          <t>Vendor console</t>
        </is>
      </c>
      <c r="B14" s="148" t="inlineStr">
        <is>
          <t>Configuration in a vendor's own UI — Railway, Cloudflare, Clerk, the payment or email provider.</t>
        </is>
      </c>
    </row>
    <row r="15" ht="15" customHeight="1" s="75">
      <c r="A15" s="147" t="inlineStr">
        <is>
          <t>Code</t>
        </is>
      </c>
      <c r="B15" s="148" t="inlineStr">
        <is>
          <t>Work in the repository: schema, domain logic, routes, worker jobs, UI, tests, CI.</t>
        </is>
      </c>
    </row>
    <row r="16" ht="15" customHeight="1" s="75">
      <c r="A16" s="147" t="inlineStr">
        <is>
          <t>Code + console</t>
        </is>
      </c>
      <c r="B16" s="148" t="inlineStr">
        <is>
          <t>Both: something configured at the vendor AND wired in the codebase.</t>
        </is>
      </c>
    </row>
    <row r="17" ht="15" customHeight="1" s="75">
      <c r="A17" s="147" t="inlineStr">
        <is>
          <t>Design tool</t>
        </is>
      </c>
      <c r="B17" s="148" t="inlineStr">
        <is>
          <t>Visual design work producing artwork, diagrams or screen designs.</t>
        </is>
      </c>
    </row>
    <row r="18" ht="15" customHeight="1" s="75">
      <c r="A18" s="147" t="inlineStr">
        <is>
          <t>Document + code</t>
        </is>
      </c>
      <c r="B18" s="148" t="inlineStr">
        <is>
          <t>A written policy that must then be enforced in the codebase.</t>
        </is>
      </c>
    </row>
    <row r="19" ht="15" customHeight="1" s="75">
      <c r="A19" s="147" t="inlineStr">
        <is>
          <t>External · counsel</t>
        </is>
      </c>
      <c r="B19" s="148" t="inlineStr">
        <is>
          <t>Performed by a lawyer, not the team. Longest lead times in the programme — start these early.</t>
        </is>
      </c>
    </row>
    <row r="20"/>
    <row r="21" ht="15" customHeight="1" s="75">
      <c r="A21" s="90" t="inlineStr">
        <is>
          <t>COLUMNS YOU EDIT</t>
        </is>
      </c>
    </row>
    <row r="22" ht="15" customHeight="1" s="75">
      <c r="A22" s="147" t="inlineStr">
        <is>
          <t>Shaded columns</t>
        </is>
      </c>
      <c r="B22" s="148" t="inlineStr">
        <is>
          <t>Status · Weight · Date Started · Date Done · Owner · Notes. Everything else is the plan of record.</t>
        </is>
      </c>
    </row>
    <row r="23"/>
    <row r="24" ht="15" customHeight="1" s="75">
      <c r="A24" s="90" t="inlineStr">
        <is>
          <t>CATEGORIES</t>
        </is>
      </c>
    </row>
    <row r="25" ht="15" customHeight="1" s="75">
      <c r="A25" s="147" t="inlineStr">
        <is>
          <t>FE</t>
        </is>
      </c>
      <c r="B25" s="148" t="inlineStr">
        <is>
          <t>Frontend Engineering — Next.js routes, server components, client islands, forms, charts, responsive and theme work</t>
        </is>
      </c>
    </row>
    <row r="26" ht="15" customHeight="1" s="75">
      <c r="A26" s="147" t="inlineStr">
        <is>
          <t>BE</t>
        </is>
      </c>
      <c r="B26" s="148" t="inlineStr">
        <is>
          <t>Backend Engineering — Prisma schema and migrations, domain functions, route handlers, worker jobs, queue, scoping</t>
        </is>
      </c>
    </row>
    <row r="27" ht="15" customHeight="1" s="75">
      <c r="A27" s="147" t="inlineStr">
        <is>
          <t>INT</t>
        </is>
      </c>
      <c r="B27" s="148" t="inlineStr">
        <is>
          <t>Integrations — Zoho CRM + Books, Clerk, R2, transactional email, social-platform APIs, webhooks</t>
        </is>
      </c>
    </row>
    <row r="28" ht="15" customHeight="1" s="75">
      <c r="A28" s="147" t="inlineStr">
        <is>
          <t>OPS</t>
        </is>
      </c>
      <c r="B28" s="148" t="inlineStr">
        <is>
          <t>DevOps &amp; Infrastructure — Railway project and services, environments, CI/CD, migrations, backups, monitoring, runbooks</t>
        </is>
      </c>
    </row>
    <row r="29" ht="23.85" customHeight="1" s="75">
      <c r="A29" s="147" t="inlineStr">
        <is>
          <t>ART</t>
        </is>
      </c>
      <c r="B29" s="148" t="inlineStr">
        <is>
          <t>Design &amp; Art — Brand system, theme tokens, logo and asset production, screen design, illustration, QR and report design, marketing visuals</t>
        </is>
      </c>
    </row>
    <row r="30" ht="15" customHeight="1" s="75">
      <c r="A30" s="147" t="inlineStr">
        <is>
          <t>QA</t>
        </is>
      </c>
      <c r="B30" s="148" t="inlineStr">
        <is>
          <t>Quality Assurance &amp; Testing — Unit, authorisation matrix, E2E, accessibility, performance, UAT scripts</t>
        </is>
      </c>
    </row>
    <row r="31" ht="15" customHeight="1" s="75">
      <c r="A31" s="147" t="inlineStr">
        <is>
          <t>SEC</t>
        </is>
      </c>
      <c r="B31" s="148" t="inlineStr">
        <is>
          <t>Security &amp; Compliance (engineering) — Tenant isolation, field-level authz, consent capture, PII handling, audit logging, MFA</t>
        </is>
      </c>
    </row>
    <row r="32" ht="15" customHeight="1" s="75">
      <c r="A32" s="147" t="inlineStr">
        <is>
          <t>DATA</t>
        </is>
      </c>
      <c r="B32" s="148" t="inlineStr">
        <is>
          <t>Data &amp; Analytics — Metric provenance, rollups, Content Value Score, seed and import jobs, reporting datasets</t>
        </is>
      </c>
    </row>
    <row r="33" ht="23.85" customHeight="1" s="75">
      <c r="A33" s="147" t="inlineStr">
        <is>
          <t>LEG</t>
        </is>
      </c>
      <c r="B33" s="148" t="inlineStr">
        <is>
          <t>Legal &amp; Policy — Counsel-approved templates, guardian authorisation, privacy review, reward terms, payment policy. Not developer work — but it blocks developer work.</t>
        </is>
      </c>
    </row>
    <row r="34" ht="23.85" customHeight="1" s="75">
      <c r="A34" s="147" t="inlineStr">
        <is>
          <t>PMO</t>
        </is>
      </c>
      <c r="B34" s="148" t="inlineStr">
        <is>
          <t>Product, Docs &amp; Delivery — Gate decisions, §38 deliverables, RBAC matrix, ERD, Zoho field mapping, admin guide, handoff documentation</t>
        </is>
      </c>
    </row>
    <row r="35"/>
    <row r="36" ht="15" customHeight="1" s="75">
      <c r="A36" s="90" t="inlineStr">
        <is>
          <t>SOURCES</t>
        </is>
      </c>
    </row>
    <row r="37" ht="15" customHeight="1" s="75">
      <c r="A37" s="147" t="inlineStr">
        <is>
          <t>Phase 1</t>
        </is>
      </c>
      <c r="B37" s="148" t="inlineStr">
        <is>
          <t>Master Development Blueprint v2.0 (§) + .claude/stack-decision.md Addendum A</t>
        </is>
      </c>
    </row>
    <row r="38" ht="15" customHeight="1" s="75">
      <c r="A38" s="147" t="inlineStr">
        <is>
          <t>Phases 2–4, 6</t>
        </is>
      </c>
      <c r="B38" s="148" t="inlineStr">
        <is>
          <t>Phases 2–4 Detailed Developer Specifications v1.0, August 2026 (Spec §) + Blueprint §32–34</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2026-09-11T06:42:43Z</dcterms:created>
  <dcterms:modified xsi:type="dcterms:W3CDTF">2026-10-29T07:46:56Z</dcterms:modified>
  <cp:revision>0</cp:revision>
</cp:coreProperties>
</file>