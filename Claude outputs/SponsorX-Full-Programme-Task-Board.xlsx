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1'!$A$4:$R$289</definedName>
    <definedName name="_xlnm._FilterDatabase" localSheetId="4" hidden="1">'Phase 2'!$A$4:$R$131</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2'!$I$5:$I$131,"Ready")</f>
        <v/>
      </c>
      <c r="C6" s="85">
        <f>COUNTIF('Phase 2'!$I$5:$I$131,"In progress")</f>
        <v/>
      </c>
      <c r="D6" s="85">
        <f>COUNTIF('Phase 2'!$I$5:$I$131,"Code review")</f>
        <v/>
      </c>
      <c r="E6" s="85">
        <f>COUNTIF('Phase 2'!$I$5:$I$131,"Blocked")</f>
        <v/>
      </c>
      <c r="F6" s="85">
        <f>COUNTIF('Phase 2'!$I$5:$I$131,"Done")</f>
        <v/>
      </c>
      <c r="G6" s="85">
        <f>COUNTA('Phase 2'!$B$5:$B$131)</f>
        <v/>
      </c>
      <c r="H6" s="85">
        <f>SUMIF('Phase 2'!$I$5:$I$131,"&lt;&gt;Done",'Phase 2'!$J$5:$J$131)</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2'!$F$5:$F$131,"Document")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2'!$F$5:$F$131,"Zoho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2'!$F$5:$F$131,"Vendor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2'!$F$5:$F$131,"Code")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2'!$F$5:$F$131,"Code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2'!$F$5:$F$131,"Design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2'!$F$5:$F$131,"Document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2'!$F$5:$F$131,"External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sheetData>
  <autoFilter ref="A4:R289"/>
  <mergeCells count="2">
    <mergeCell ref="A2:R2"/>
    <mergeCell ref="A1:R1"/>
  </mergeCells>
  <conditionalFormatting sqref="I5:I28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9">
    <cfRule type="expression" rank="0" priority="7" equalAverage="0" aboveAverage="0" dxfId="32" text="" percent="0" bottom="0">
      <formula>$I5="Done"</formula>
    </cfRule>
  </conditionalFormatting>
  <conditionalFormatting sqref="N5:N289">
    <cfRule type="cellIs" rank="0" priority="8" equalAverage="0" operator="greaterThanOrEqual" aboveAverage="0" dxfId="33" text="" percent="0" bottom="0">
      <formula>50</formula>
    </cfRule>
  </conditionalFormatting>
  <dataValidations count="1">
    <dataValidation sqref="I5:I28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3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Code review</t>
        </is>
      </c>
      <c r="J117" s="108" t="n">
        <v>1</v>
      </c>
      <c r="K117" s="109" t="n">
        <v>46300</v>
      </c>
      <c r="L117" s="109" t="n"/>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Ready</t>
        </is>
      </c>
      <c r="J127" s="108" t="n">
        <v>1</v>
      </c>
      <c r="K127" s="109" t="n"/>
      <c r="L127" s="109" t="n"/>
      <c r="M127" s="110" t="n"/>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Ready</t>
        </is>
      </c>
      <c r="J128" s="108" t="n">
        <v>1</v>
      </c>
      <c r="K128" s="109" t="n"/>
      <c r="L128" s="109" t="n"/>
      <c r="M128" s="110" t="n"/>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Ready</t>
        </is>
      </c>
      <c r="J129" s="108" t="n">
        <v>1</v>
      </c>
      <c r="K129" s="109" t="n"/>
      <c r="L129" s="109" t="n"/>
      <c r="M129" s="110" t="n"/>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Ready</t>
        </is>
      </c>
      <c r="J130" s="108" t="n">
        <v>2</v>
      </c>
      <c r="K130" s="109" t="n"/>
      <c r="L130" s="109" t="n"/>
      <c r="M130" s="110" t="n"/>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Ready</t>
        </is>
      </c>
      <c r="J131" s="108" t="n">
        <v>1</v>
      </c>
      <c r="K131" s="109" t="n"/>
      <c r="L131" s="109" t="n"/>
      <c r="M131" s="110" t="n"/>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t>
        </is>
      </c>
    </row>
  </sheetData>
  <autoFilter ref="A4:R131"/>
  <mergeCells count="2">
    <mergeCell ref="A2:R2"/>
    <mergeCell ref="A1:R1"/>
  </mergeCells>
  <conditionalFormatting sqref="I5:I13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31">
    <cfRule type="expression" rank="0" priority="7" equalAverage="0" aboveAverage="0" dxfId="32" text="" percent="0" bottom="0">
      <formula>$I5="Done"</formula>
    </cfRule>
  </conditionalFormatting>
  <conditionalFormatting sqref="N5:N131">
    <cfRule type="cellIs" rank="0" priority="8" equalAverage="0" operator="greaterThanOrEqual" aboveAverage="0" dxfId="33" text="" percent="0" bottom="0">
      <formula>50</formula>
    </cfRule>
  </conditionalFormatting>
  <dataValidations count="1">
    <dataValidation sqref="I5:I13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2026-10-05T08:32:37Z</dcterms:modified>
  <cp:revision>0</cp:revision>
</cp:coreProperties>
</file>