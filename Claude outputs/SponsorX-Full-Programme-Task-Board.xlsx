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Phase 5" sheetId="8" state="visible" r:id="rId8"/>
    <sheet name="Legal" sheetId="9" state="visible" r:id="rId9"/>
    <sheet name="Legend" sheetId="10" state="visible" r:id="rId10"/>
  </sheets>
  <definedNames>
    <definedName name="_xlnm._FilterDatabase" localSheetId="3" hidden="1">'Phase 1'!$A$4:$R$305</definedName>
    <definedName name="_xlnm._FilterDatabase" localSheetId="4" hidden="1">'Phase 2'!$A$4:$R$144</definedName>
    <definedName name="_xlnm._FilterDatabase" localSheetId="5" hidden="1">'Phase 3'!$A$4:$R$66</definedName>
    <definedName name="_xlnm._FilterDatabase" localSheetId="6" hidden="1">'Phase 4'!$A$4:$R$51</definedName>
    <definedName name="_xlnm._FilterDatabase" localSheetId="7" hidden="1">'Phase 5'!$A$4:$R$11</definedName>
    <definedName name="_xlnm._FilterDatabase" localSheetId="8" hidden="1">'Legal'!$A$4:$S$13</definedName>
  </definedNames>
  <calcPr calcId="124519" fullCalcOnLoad="1" refMode="A1" iterate="0" iterateCount="100" iterateDelta="0.0001"/>
</workbook>
</file>

<file path=xl/styles.xml><?xml version="1.0" encoding="utf-8"?>
<styleSheet xmlns="http://schemas.openxmlformats.org/spreadsheetml/2006/main">
  <numFmts count="3">
    <numFmt numFmtId="164" formatCode="yyyy\-mm\-dd"/>
    <numFmt numFmtId="165" formatCode="yyyy-mm-dd"/>
    <numFmt numFmtId="166" formatCode="yyyy-mm-dd h:mm:ss"/>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4">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xf numFmtId="165" fontId="8" fillId="4" borderId="1" applyAlignment="1" pivotButton="0" quotePrefix="0" xfId="0">
      <alignment horizontal="center" vertical="top"/>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styles" Target="styles.xml" Id="rId11" /><Relationship Type="http://schemas.openxmlformats.org/officeDocument/2006/relationships/theme" Target="theme/theme1.xml" Id="rId12"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Five phases (the blueprint's four, with the INFINEX game split out as Phase 5 on 2026-10-16),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 — the web application, proven with a stand-in world</t>
        </is>
      </c>
      <c r="C8" s="85" t="n">
        <v>47</v>
      </c>
      <c r="D8" s="85" t="n">
        <v>190</v>
      </c>
      <c r="E8" s="86" t="inlineStr">
        <is>
          <t>18–22 weeks</t>
        </is>
      </c>
      <c r="F8" s="86" t="inlineStr">
        <is>
          <t>$90K–$150K</t>
        </is>
      </c>
      <c r="G8" s="84" t="inlineStr">
        <is>
          <t>Stable SponsorX APIs, campaign/reward engine, identity/session model, metrics pipeline</t>
        </is>
      </c>
    </row>
    <row r="9" ht="15" customHeight="1" s="75">
      <c r="A9" s="88" t="inlineStr">
        <is>
          <t>Phase 5</t>
        </is>
      </c>
      <c r="B9" s="84" t="inlineStr">
        <is>
          <t>INFINEX game integration: the in-game connector, the staging world test, the pilot world and calibrated virtual pricing</t>
        </is>
      </c>
      <c r="C9" s="85" t="n">
        <v>7</v>
      </c>
      <c r="D9" s="85" t="n">
        <v>21</v>
      </c>
      <c r="E9" s="86" t="inlineStr">
        <is>
          <t>after the game's staging world exists</t>
        </is>
      </c>
      <c r="F9" s="86" t="inlineStr">
        <is>
          <t>—</t>
        </is>
      </c>
      <c r="G9" s="84" t="inlineStr">
        <is>
          <t>The INFINEX game (not started 2026-10-16), Phase 4's endpoints</t>
        </is>
      </c>
    </row>
    <row r="10">
      <c r="A10" s="89" t="inlineStr">
        <is>
          <t>TOTAL</t>
        </is>
      </c>
      <c r="B10" s="89" t="inlineStr">
        <is>
          <t>Full SponsorX platform</t>
        </is>
      </c>
      <c r="C10" s="89">
        <f>SUM(C5:C9)</f>
        <v/>
      </c>
      <c r="D10" s="89">
        <f>SUM(D5:D9)</f>
        <v/>
      </c>
      <c r="E10" s="89" t="inlineStr">
        <is>
          <t>66–82 weeks</t>
        </is>
      </c>
      <c r="F10" s="89" t="inlineStr">
        <is>
          <t>$350K–$535K</t>
        </is>
      </c>
      <c r="G10"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1–5, identical 18 columns, so they behave the same way.</t>
        </is>
      </c>
    </row>
    <row r="25" ht="27.75" customHeight="1" s="75">
      <c r="A25" s="91" t="inlineStr">
        <is>
          <t>Task IDs</t>
        </is>
      </c>
      <c r="B25" s="92" t="inlineStr">
        <is>
          <t>Phase 1: P{stage}-{CAT}-{nn}, e.g. P4-BE-03. Phases 2–5: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 Phase 5 waits for the INFINEX game.</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 (Phase 5, 5S2-QA-01).</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five phase sheets. Update Status on a phase sheet and this follows. Counts cover the 556 delivery tasks only — the 9 legal/counsel tasks moved to the Legal sheet on 2026-09-15 and are tracked there (565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2'!$I$5:$I$144,"Ready")</f>
        <v/>
      </c>
      <c r="C6" s="85">
        <f>COUNTIF('Phase 2'!$I$5:$I$144,"In progress")</f>
        <v/>
      </c>
      <c r="D6" s="85">
        <f>COUNTIF('Phase 2'!$I$5:$I$144,"Code review")</f>
        <v/>
      </c>
      <c r="E6" s="85">
        <f>COUNTIF('Phase 2'!$I$5:$I$144,"Blocked")</f>
        <v/>
      </c>
      <c r="F6" s="85">
        <f>COUNTIF('Phase 2'!$I$5:$I$144,"Done")</f>
        <v/>
      </c>
      <c r="G6" s="85">
        <f>COUNTA('Phase 2'!$B$5:$B$144)</f>
        <v/>
      </c>
      <c r="H6" s="85">
        <f>SUMIF('Phase 2'!$I$5:$I$144,"&lt;&gt;Done",'Phase 2'!$J$5:$J$144)</f>
        <v/>
      </c>
    </row>
    <row r="7" ht="15" customHeight="1" s="75">
      <c r="A7" s="95" t="inlineStr">
        <is>
          <t>Phase 3</t>
        </is>
      </c>
      <c r="B7" s="81">
        <f>COUNTIF('Phase 3'!$I$5:$I$66,"Ready")</f>
        <v/>
      </c>
      <c r="C7" s="81">
        <f>COUNTIF('Phase 3'!$I$5:$I$66,"In progress")</f>
        <v/>
      </c>
      <c r="D7" s="81">
        <f>COUNTIF('Phase 3'!$I$5:$I$66,"Code review")</f>
        <v/>
      </c>
      <c r="E7" s="81">
        <f>COUNTIF('Phase 3'!$I$5:$I$66,"Blocked")</f>
        <v/>
      </c>
      <c r="F7" s="81">
        <f>COUNTIF('Phase 3'!$I$5:$I$66,"Done")</f>
        <v/>
      </c>
      <c r="G7" s="81">
        <f>COUNTA('Phase 3'!$B$5:$B$66)</f>
        <v/>
      </c>
      <c r="H7" s="81">
        <f>SUMIF('Phase 3'!$I$5:$I$66,"&lt;&gt;Done",'Phase 3'!$J$5:$J$66)</f>
        <v/>
      </c>
    </row>
    <row r="8" ht="15" customHeight="1" s="75">
      <c r="A8" s="96" t="inlineStr">
        <is>
          <t>Phase 4</t>
        </is>
      </c>
      <c r="B8" s="85">
        <f>COUNTIF('Phase 4'!$I$5:$I$51,"Ready")</f>
        <v/>
      </c>
      <c r="C8" s="85">
        <f>COUNTIF('Phase 4'!$I$5:$I$51,"In progress")</f>
        <v/>
      </c>
      <c r="D8" s="85">
        <f>COUNTIF('Phase 4'!$I$5:$I$51,"Code review")</f>
        <v/>
      </c>
      <c r="E8" s="85">
        <f>COUNTIF('Phase 4'!$I$5:$I$51,"Blocked")</f>
        <v/>
      </c>
      <c r="F8" s="85">
        <f>COUNTIF('Phase 4'!$I$5:$I$51,"Done")</f>
        <v/>
      </c>
      <c r="G8" s="85">
        <f>COUNTA('Phase 4'!$B$5:$B$51)</f>
        <v/>
      </c>
      <c r="H8" s="85">
        <f>SUMIF('Phase 4'!$I$5:$I$51,"&lt;&gt;Done",'Phase 4'!$J$5:$J$51)</f>
        <v/>
      </c>
    </row>
    <row r="9" ht="15" customHeight="1" s="75">
      <c r="A9" s="96" t="inlineStr">
        <is>
          <t>Phase 5</t>
        </is>
      </c>
      <c r="B9" s="85">
        <f>COUNTIF('Phase 5'!$I$5:$I$100,"Ready")</f>
        <v/>
      </c>
      <c r="C9" s="85">
        <f>COUNTIF('Phase 5'!$I$5:$I$100,"In progress")</f>
        <v/>
      </c>
      <c r="D9" s="85">
        <f>COUNTIF('Phase 5'!$I$5:$I$100,"Code review")</f>
        <v/>
      </c>
      <c r="E9" s="85">
        <f>COUNTIF('Phase 5'!$I$5:$I$100,"Blocked")</f>
        <v/>
      </c>
      <c r="F9" s="85">
        <f>COUNTIF('Phase 5'!$I$5:$I$100,"Done")</f>
        <v/>
      </c>
      <c r="G9" s="85">
        <f>COUNTA('Phase 5'!$B$5:$B$100)</f>
        <v/>
      </c>
      <c r="H9" s="85">
        <f>SUMIF('Phase 5'!$I$5:$I$100,"&lt;&gt;Done",'Phase 5'!$J$5:$J$100)</f>
        <v/>
      </c>
    </row>
    <row r="10">
      <c r="A10" s="89" t="inlineStr">
        <is>
          <t>TOTAL</t>
        </is>
      </c>
      <c r="B10" s="89">
        <f>SUM(B5:B9)</f>
        <v/>
      </c>
      <c r="C10" s="89">
        <f>SUM(C5:C9)</f>
        <v/>
      </c>
      <c r="D10" s="89">
        <f>SUM(D5:D9)</f>
        <v/>
      </c>
      <c r="E10" s="89">
        <f>SUM(E5:E9)</f>
        <v/>
      </c>
      <c r="F10" s="89">
        <f>SUM(F5:F9)</f>
        <v/>
      </c>
      <c r="G10" s="89">
        <f>SUM(G5:G9)</f>
        <v/>
      </c>
      <c r="H10" s="89">
        <f>SUM(H5:H9)</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Phase 5</t>
        </is>
      </c>
      <c r="G12" s="78" t="inlineStr">
        <is>
          <t>Total</t>
        </is>
      </c>
    </row>
    <row r="13" ht="15" customHeight="1" s="75">
      <c r="A13" s="97" t="inlineStr">
        <is>
          <t>Document</t>
        </is>
      </c>
      <c r="B13" s="81">
        <f>COUNTIF('Phase 1'!$F$5:$F$400,"Document")</f>
        <v/>
      </c>
      <c r="C13" s="81">
        <f>COUNTIF('Phase 2'!$F$5:$F$144,"Document")</f>
        <v/>
      </c>
      <c r="D13" s="81">
        <f>COUNTIF('Phase 3'!$F$5:$F$66,"Document")</f>
        <v/>
      </c>
      <c r="E13" s="81">
        <f>COUNTIF('Phase 4'!$F$5:$F$51,"Document")</f>
        <v/>
      </c>
      <c r="F13" s="81">
        <f>COUNTIF('Phase 5'!$F$5:$F$100,"Document")</f>
        <v/>
      </c>
      <c r="G13" s="81">
        <f>SUM(B13:F13)</f>
        <v/>
      </c>
    </row>
    <row r="14" ht="15" customHeight="1" s="75">
      <c r="A14" s="98" t="inlineStr">
        <is>
          <t>Zoho dashboard</t>
        </is>
      </c>
      <c r="B14" s="81">
        <f>COUNTIF('Phase 1'!$F$5:$F$400,"Zoho dashboard")</f>
        <v/>
      </c>
      <c r="C14" s="81">
        <f>COUNTIF('Phase 2'!$F$5:$F$144,"Zoho dashboard")</f>
        <v/>
      </c>
      <c r="D14" s="81">
        <f>COUNTIF('Phase 3'!$F$5:$F$66,"Zoho dashboard")</f>
        <v/>
      </c>
      <c r="E14" s="81">
        <f>COUNTIF('Phase 4'!$F$5:$F$51,"Zoho dashboard")</f>
        <v/>
      </c>
      <c r="F14" s="81">
        <f>COUNTIF('Phase 5'!$F$5:$F$100,"Zoho dashboard")</f>
        <v/>
      </c>
      <c r="G14" s="81">
        <f>SUM(B14:F14)</f>
        <v/>
      </c>
    </row>
    <row r="15" ht="15" customHeight="1" s="75">
      <c r="A15" s="99" t="inlineStr">
        <is>
          <t>Vendor console</t>
        </is>
      </c>
      <c r="B15" s="81">
        <f>COUNTIF('Phase 1'!$F$5:$F$400,"Vendor console")</f>
        <v/>
      </c>
      <c r="C15" s="81">
        <f>COUNTIF('Phase 2'!$F$5:$F$144,"Vendor console")</f>
        <v/>
      </c>
      <c r="D15" s="81">
        <f>COUNTIF('Phase 3'!$F$5:$F$66,"Vendor console")</f>
        <v/>
      </c>
      <c r="E15" s="81">
        <f>COUNTIF('Phase 4'!$F$5:$F$51,"Vendor console")</f>
        <v/>
      </c>
      <c r="F15" s="81">
        <f>COUNTIF('Phase 5'!$F$5:$F$100,"Vendor console")</f>
        <v/>
      </c>
      <c r="G15" s="81">
        <f>SUM(B15:F15)</f>
        <v/>
      </c>
    </row>
    <row r="16" ht="15" customHeight="1" s="75">
      <c r="A16" s="100" t="inlineStr">
        <is>
          <t>Code</t>
        </is>
      </c>
      <c r="B16" s="81">
        <f>COUNTIF('Phase 1'!$F$5:$F$400,"Code")</f>
        <v/>
      </c>
      <c r="C16" s="81">
        <f>COUNTIF('Phase 2'!$F$5:$F$144,"Code")</f>
        <v/>
      </c>
      <c r="D16" s="81">
        <f>COUNTIF('Phase 3'!$F$5:$F$66,"Code")</f>
        <v/>
      </c>
      <c r="E16" s="81">
        <f>COUNTIF('Phase 4'!$F$5:$F$51,"Code")</f>
        <v/>
      </c>
      <c r="F16" s="81">
        <f>COUNTIF('Phase 5'!$F$5:$F$100,"Code")</f>
        <v/>
      </c>
      <c r="G16" s="81">
        <f>SUM(B16:F16)</f>
        <v/>
      </c>
    </row>
    <row r="17" ht="15" customHeight="1" s="75">
      <c r="A17" s="99" t="inlineStr">
        <is>
          <t>Code + console</t>
        </is>
      </c>
      <c r="B17" s="81">
        <f>COUNTIF('Phase 1'!$F$5:$F$400,"Code + console")</f>
        <v/>
      </c>
      <c r="C17" s="81">
        <f>COUNTIF('Phase 2'!$F$5:$F$144,"Code + console")</f>
        <v/>
      </c>
      <c r="D17" s="81">
        <f>COUNTIF('Phase 3'!$F$5:$F$66,"Code + console")</f>
        <v/>
      </c>
      <c r="E17" s="81">
        <f>COUNTIF('Phase 4'!$F$5:$F$51,"Code + console")</f>
        <v/>
      </c>
      <c r="F17" s="81">
        <f>COUNTIF('Phase 5'!$F$5:$F$100,"Code + console")</f>
        <v/>
      </c>
      <c r="G17" s="81">
        <f>SUM(B17:F17)</f>
        <v/>
      </c>
    </row>
    <row r="18" ht="15" customHeight="1" s="75">
      <c r="A18" s="101" t="inlineStr">
        <is>
          <t>Design tool</t>
        </is>
      </c>
      <c r="B18" s="81">
        <f>COUNTIF('Phase 1'!$F$5:$F$400,"Design tool")</f>
        <v/>
      </c>
      <c r="C18" s="81">
        <f>COUNTIF('Phase 2'!$F$5:$F$144,"Design tool")</f>
        <v/>
      </c>
      <c r="D18" s="81">
        <f>COUNTIF('Phase 3'!$F$5:$F$66,"Design tool")</f>
        <v/>
      </c>
      <c r="E18" s="81">
        <f>COUNTIF('Phase 4'!$F$5:$F$51,"Design tool")</f>
        <v/>
      </c>
      <c r="F18" s="81">
        <f>COUNTIF('Phase 5'!$F$5:$F$100,"Design tool")</f>
        <v/>
      </c>
      <c r="G18" s="81">
        <f>SUM(B18:F18)</f>
        <v/>
      </c>
    </row>
    <row r="19" ht="15" customHeight="1" s="75">
      <c r="A19" s="97" t="inlineStr">
        <is>
          <t>Document + code</t>
        </is>
      </c>
      <c r="B19" s="81">
        <f>COUNTIF('Phase 1'!$F$5:$F$400,"Document + code")</f>
        <v/>
      </c>
      <c r="C19" s="81">
        <f>COUNTIF('Phase 2'!$F$5:$F$144,"Document + code")</f>
        <v/>
      </c>
      <c r="D19" s="81">
        <f>COUNTIF('Phase 3'!$F$5:$F$66,"Document + code")</f>
        <v/>
      </c>
      <c r="E19" s="81">
        <f>COUNTIF('Phase 4'!$F$5:$F$51,"Document + code")</f>
        <v/>
      </c>
      <c r="F19" s="81">
        <f>COUNTIF('Phase 5'!$F$5:$F$100,"Document + code")</f>
        <v/>
      </c>
      <c r="G19" s="81">
        <f>SUM(B19:F19)</f>
        <v/>
      </c>
    </row>
    <row r="20" ht="15" customHeight="1" s="75">
      <c r="A20" s="102" t="inlineStr">
        <is>
          <t>External · counsel</t>
        </is>
      </c>
      <c r="B20" s="81">
        <f>COUNTIF('Phase 1'!$F$5:$F$400,"External · counsel")</f>
        <v/>
      </c>
      <c r="C20" s="81">
        <f>COUNTIF('Phase 2'!$F$5:$F$144,"External · counsel")</f>
        <v/>
      </c>
      <c r="D20" s="81">
        <f>COUNTIF('Phase 3'!$F$5:$F$66,"External · counsel")</f>
        <v/>
      </c>
      <c r="E20" s="81">
        <f>COUNTIF('Phase 4'!$F$5:$F$51,"External · counsel")</f>
        <v/>
      </c>
      <c r="F20" s="81">
        <f>COUNTIF('Phase 5'!$F$5:$F$100,"External · counsel")</f>
        <v/>
      </c>
      <c r="G20" s="81">
        <f>SUM(B20:F20)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37"/>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17</v>
      </c>
      <c r="F21" s="74" t="n">
        <v>9</v>
      </c>
      <c r="G21" s="74" t="n">
        <v>11</v>
      </c>
      <c r="H21" s="74" t="n">
        <v>8</v>
      </c>
      <c r="I21" s="74" t="n">
        <v>12</v>
      </c>
      <c r="J21" s="74" t="n">
        <v>0</v>
      </c>
      <c r="K21" s="74" t="n">
        <v>0</v>
      </c>
      <c r="L21" s="74" t="n">
        <v>91</v>
      </c>
      <c r="M21" s="74" t="n">
        <v>428</v>
      </c>
    </row>
    <row r="22">
      <c r="A22" s="74" t="inlineStr">
        <is>
          <t>2026-09-24</t>
        </is>
      </c>
      <c r="B22" s="74" t="n">
        <v>25</v>
      </c>
      <c r="C22" s="74" t="n">
        <v>21</v>
      </c>
      <c r="D22" s="74" t="n">
        <v>19</v>
      </c>
      <c r="E22" s="74" t="n">
        <v>18</v>
      </c>
      <c r="F22" s="74" t="n">
        <v>10</v>
      </c>
      <c r="G22" s="74" t="n">
        <v>11</v>
      </c>
      <c r="H22" s="74" t="n">
        <v>11</v>
      </c>
      <c r="I22" s="74" t="n">
        <v>12</v>
      </c>
      <c r="J22" s="74" t="n">
        <v>12</v>
      </c>
      <c r="K22" s="74" t="n">
        <v>0</v>
      </c>
      <c r="L22" s="74" t="n">
        <v>139</v>
      </c>
      <c r="M22" s="74" t="n">
        <v>308</v>
      </c>
    </row>
    <row r="23">
      <c r="A23" s="74" t="inlineStr">
        <is>
          <t>2026-09-25</t>
        </is>
      </c>
      <c r="B23" s="74" t="n">
        <v>25</v>
      </c>
      <c r="C23" s="74" t="n">
        <v>21</v>
      </c>
      <c r="D23" s="74" t="n">
        <v>19</v>
      </c>
      <c r="E23" s="74" t="n">
        <v>18</v>
      </c>
      <c r="F23" s="74" t="n">
        <v>10</v>
      </c>
      <c r="G23" s="74" t="n">
        <v>11</v>
      </c>
      <c r="H23" s="74" t="n">
        <v>11</v>
      </c>
      <c r="I23" s="74" t="n">
        <v>12</v>
      </c>
      <c r="J23" s="74" t="n">
        <v>13</v>
      </c>
      <c r="K23" s="74" t="n">
        <v>0</v>
      </c>
      <c r="L23" s="74" t="n">
        <v>140</v>
      </c>
      <c r="M23" s="74" t="n">
        <v>305</v>
      </c>
    </row>
    <row r="24">
      <c r="A24" s="74" t="inlineStr">
        <is>
          <t>2026-09-28</t>
        </is>
      </c>
      <c r="B24" s="74" t="n">
        <v>25</v>
      </c>
      <c r="C24" s="74" t="n">
        <v>38</v>
      </c>
      <c r="D24" s="74" t="n">
        <v>19</v>
      </c>
      <c r="E24" s="74" t="n">
        <v>24</v>
      </c>
      <c r="F24" s="74" t="n">
        <v>16</v>
      </c>
      <c r="G24" s="74" t="n">
        <v>17</v>
      </c>
      <c r="H24" s="74" t="n">
        <v>17</v>
      </c>
      <c r="I24" s="74" t="n">
        <v>19</v>
      </c>
      <c r="J24" s="74" t="n">
        <v>18</v>
      </c>
      <c r="K24" s="74" t="n">
        <v>26</v>
      </c>
      <c r="L24" s="74" t="n">
        <v>219</v>
      </c>
      <c r="M24" s="74" t="n">
        <v>77</v>
      </c>
    </row>
    <row r="25">
      <c r="A25" s="74" t="inlineStr">
        <is>
          <t>2026-09-29</t>
        </is>
      </c>
      <c r="B25" s="74" t="n">
        <v>25</v>
      </c>
      <c r="C25" s="74" t="n">
        <v>38</v>
      </c>
      <c r="D25" s="74" t="n">
        <v>21</v>
      </c>
      <c r="E25" s="74" t="n">
        <v>26</v>
      </c>
      <c r="F25" s="74" t="n">
        <v>16</v>
      </c>
      <c r="G25" s="74" t="n">
        <v>17</v>
      </c>
      <c r="H25" s="74" t="n">
        <v>17</v>
      </c>
      <c r="I25" s="74" t="n">
        <v>19</v>
      </c>
      <c r="J25" s="74" t="n">
        <v>18</v>
      </c>
      <c r="K25" s="74" t="n">
        <v>26</v>
      </c>
      <c r="L25" s="74" t="n">
        <v>223</v>
      </c>
      <c r="M25" s="74" t="n">
        <v>79</v>
      </c>
    </row>
    <row r="26">
      <c r="A26" s="74" t="inlineStr">
        <is>
          <t>2026-09-30</t>
        </is>
      </c>
      <c r="B26" s="74" t="n">
        <v>25</v>
      </c>
      <c r="C26" s="74" t="n">
        <v>38</v>
      </c>
      <c r="D26" s="74" t="n">
        <v>21</v>
      </c>
      <c r="E26" s="74" t="n">
        <v>26</v>
      </c>
      <c r="F26" s="74" t="n">
        <v>16</v>
      </c>
      <c r="G26" s="74" t="n">
        <v>17</v>
      </c>
      <c r="H26" s="74" t="n">
        <v>17</v>
      </c>
      <c r="I26" s="74" t="n">
        <v>19</v>
      </c>
      <c r="J26" s="74" t="n">
        <v>18</v>
      </c>
      <c r="K26" s="74" t="n">
        <v>26</v>
      </c>
      <c r="L26" s="74" t="n">
        <v>223</v>
      </c>
      <c r="M26" s="74" t="n">
        <v>93</v>
      </c>
    </row>
    <row r="27">
      <c r="A27" s="74" t="inlineStr">
        <is>
          <t>2026-10-01</t>
        </is>
      </c>
      <c r="B27" s="74" t="n">
        <v>25</v>
      </c>
      <c r="C27" s="74" t="n">
        <v>42</v>
      </c>
      <c r="D27" s="74" t="n">
        <v>21</v>
      </c>
      <c r="E27" s="74" t="n">
        <v>29</v>
      </c>
      <c r="F27" s="74" t="n">
        <v>18</v>
      </c>
      <c r="G27" s="74" t="n">
        <v>17</v>
      </c>
      <c r="H27" s="74" t="n">
        <v>19</v>
      </c>
      <c r="I27" s="74" t="n">
        <v>20</v>
      </c>
      <c r="J27" s="74" t="n">
        <v>18</v>
      </c>
      <c r="K27" s="74" t="n">
        <v>27</v>
      </c>
      <c r="L27" s="74" t="n">
        <v>236</v>
      </c>
      <c r="M27" s="74" t="n">
        <v>60</v>
      </c>
    </row>
    <row r="28">
      <c r="A28" s="74" t="inlineStr">
        <is>
          <t>2026-10-02</t>
        </is>
      </c>
      <c r="B28" s="74" t="n">
        <v>25</v>
      </c>
      <c r="C28" s="74" t="n">
        <v>46</v>
      </c>
      <c r="D28" s="74" t="n">
        <v>23</v>
      </c>
      <c r="E28" s="74" t="n">
        <v>29</v>
      </c>
      <c r="F28" s="74" t="n">
        <v>18</v>
      </c>
      <c r="G28" s="74" t="n">
        <v>17</v>
      </c>
      <c r="H28" s="74" t="n">
        <v>19</v>
      </c>
      <c r="I28" s="74" t="n">
        <v>20</v>
      </c>
      <c r="J28" s="74" t="n">
        <v>18</v>
      </c>
      <c r="K28" s="74" t="n">
        <v>28</v>
      </c>
      <c r="L28" s="74" t="n">
        <v>243</v>
      </c>
      <c r="M28" s="74" t="n">
        <v>50</v>
      </c>
    </row>
    <row r="29">
      <c r="A29" s="74" t="inlineStr">
        <is>
          <t>2026-10-05</t>
        </is>
      </c>
      <c r="B29" s="74" t="n">
        <v>25</v>
      </c>
      <c r="C29" s="74" t="n">
        <v>47</v>
      </c>
      <c r="D29" s="74" t="n">
        <v>23</v>
      </c>
      <c r="E29" s="74" t="n">
        <v>29</v>
      </c>
      <c r="F29" s="74" t="n">
        <v>27</v>
      </c>
      <c r="G29" s="74" t="n">
        <v>19</v>
      </c>
      <c r="H29" s="74" t="n">
        <v>20</v>
      </c>
      <c r="I29" s="74" t="n">
        <v>20</v>
      </c>
      <c r="J29" s="74" t="n">
        <v>18</v>
      </c>
      <c r="K29" s="74" t="n">
        <v>37</v>
      </c>
      <c r="L29" s="74" t="n">
        <v>265</v>
      </c>
      <c r="M29" s="74" t="n">
        <v>47</v>
      </c>
    </row>
    <row r="30">
      <c r="A30" s="74" t="inlineStr">
        <is>
          <t>2026-10-07</t>
        </is>
      </c>
      <c r="B30" s="74" t="n">
        <v>25</v>
      </c>
      <c r="C30" s="74" t="n">
        <v>47</v>
      </c>
      <c r="D30" s="74" t="n">
        <v>23</v>
      </c>
      <c r="E30" s="74" t="n">
        <v>29</v>
      </c>
      <c r="F30" s="74" t="n">
        <v>27</v>
      </c>
      <c r="G30" s="74" t="n">
        <v>19</v>
      </c>
      <c r="H30" s="74" t="n">
        <v>20</v>
      </c>
      <c r="I30" s="74" t="n">
        <v>20</v>
      </c>
      <c r="J30" s="74" t="n">
        <v>18</v>
      </c>
      <c r="K30" s="74" t="n">
        <v>37</v>
      </c>
      <c r="L30" s="74" t="n">
        <v>265</v>
      </c>
      <c r="M30" s="74" t="n">
        <v>58.5</v>
      </c>
    </row>
    <row r="31">
      <c r="A31" s="74" t="inlineStr">
        <is>
          <t>2026-10-08</t>
        </is>
      </c>
      <c r="B31" s="74" t="n">
        <v>26</v>
      </c>
      <c r="C31" s="74" t="n">
        <v>56</v>
      </c>
      <c r="D31" s="74" t="n">
        <v>25</v>
      </c>
      <c r="E31" s="74" t="n">
        <v>29</v>
      </c>
      <c r="F31" s="74" t="n">
        <v>27</v>
      </c>
      <c r="G31" s="74" t="n">
        <v>19</v>
      </c>
      <c r="H31" s="74" t="n">
        <v>20</v>
      </c>
      <c r="I31" s="74" t="n">
        <v>20</v>
      </c>
      <c r="J31" s="74" t="n">
        <v>19</v>
      </c>
      <c r="K31" s="74" t="n">
        <v>37</v>
      </c>
      <c r="L31" s="74" t="n">
        <v>278</v>
      </c>
      <c r="M31" s="74" t="n">
        <v>37</v>
      </c>
    </row>
    <row r="32">
      <c r="A32" s="74" t="inlineStr">
        <is>
          <t>2026-10-09</t>
        </is>
      </c>
      <c r="B32" s="74" t="n">
        <v>27</v>
      </c>
      <c r="C32" s="74" t="n">
        <v>56</v>
      </c>
      <c r="D32" s="74" t="n">
        <v>25</v>
      </c>
      <c r="E32" s="74" t="n">
        <v>29</v>
      </c>
      <c r="F32" s="74" t="n">
        <v>27</v>
      </c>
      <c r="G32" s="74" t="n">
        <v>19</v>
      </c>
      <c r="H32" s="74" t="n">
        <v>20</v>
      </c>
      <c r="I32" s="74" t="n">
        <v>20</v>
      </c>
      <c r="J32" s="74" t="n">
        <v>20</v>
      </c>
      <c r="K32" s="74" t="n">
        <v>37</v>
      </c>
      <c r="L32" s="74" t="n">
        <v>280</v>
      </c>
      <c r="M32" s="74" t="n">
        <v>33</v>
      </c>
    </row>
    <row r="33">
      <c r="A33" s="74" t="inlineStr">
        <is>
          <t>2026-10-12</t>
        </is>
      </c>
      <c r="B33" s="74" t="n">
        <v>27</v>
      </c>
      <c r="C33" s="74" t="n">
        <v>56</v>
      </c>
      <c r="D33" s="74" t="n">
        <v>25</v>
      </c>
      <c r="E33" s="74" t="n">
        <v>29</v>
      </c>
      <c r="F33" s="74" t="n">
        <v>27</v>
      </c>
      <c r="G33" s="74" t="n">
        <v>19</v>
      </c>
      <c r="H33" s="74" t="n">
        <v>20</v>
      </c>
      <c r="I33" s="74" t="n">
        <v>20</v>
      </c>
      <c r="J33" s="74" t="n">
        <v>20</v>
      </c>
      <c r="K33" s="74" t="n">
        <v>37</v>
      </c>
      <c r="L33" s="74" t="n">
        <v>280</v>
      </c>
      <c r="M33" s="74" t="n">
        <v>40</v>
      </c>
    </row>
    <row r="34">
      <c r="A34" s="74" t="inlineStr">
        <is>
          <t>2026-10-13</t>
        </is>
      </c>
      <c r="B34" s="74" t="n">
        <v>27</v>
      </c>
      <c r="C34" s="74" t="n">
        <v>56</v>
      </c>
      <c r="D34" s="74" t="n">
        <v>25</v>
      </c>
      <c r="E34" s="74" t="n">
        <v>29</v>
      </c>
      <c r="F34" s="74" t="n">
        <v>27</v>
      </c>
      <c r="G34" s="74" t="n">
        <v>19</v>
      </c>
      <c r="H34" s="74" t="n">
        <v>20</v>
      </c>
      <c r="I34" s="74" t="n">
        <v>20</v>
      </c>
      <c r="J34" s="74" t="n">
        <v>20</v>
      </c>
      <c r="K34" s="74" t="n">
        <v>37</v>
      </c>
      <c r="L34" s="74" t="n">
        <v>280</v>
      </c>
      <c r="M34" s="74" t="n">
        <v>40</v>
      </c>
    </row>
    <row r="35">
      <c r="A35" s="74" t="inlineStr">
        <is>
          <t>2026-10-14</t>
        </is>
      </c>
      <c r="B35" s="74" t="n">
        <v>27</v>
      </c>
      <c r="C35" s="74" t="n">
        <v>58</v>
      </c>
      <c r="D35" s="74" t="n">
        <v>25</v>
      </c>
      <c r="E35" s="74" t="n">
        <v>29</v>
      </c>
      <c r="F35" s="74" t="n">
        <v>27</v>
      </c>
      <c r="G35" s="74" t="n">
        <v>19</v>
      </c>
      <c r="H35" s="74" t="n">
        <v>20</v>
      </c>
      <c r="I35" s="74" t="n">
        <v>20</v>
      </c>
      <c r="J35" s="74" t="n">
        <v>20</v>
      </c>
      <c r="K35" s="74" t="n">
        <v>37</v>
      </c>
      <c r="L35" s="74" t="n">
        <v>282</v>
      </c>
      <c r="M35" s="74" t="n">
        <v>40</v>
      </c>
    </row>
    <row r="36">
      <c r="A36" s="74" t="inlineStr">
        <is>
          <t>2026-10-15</t>
        </is>
      </c>
      <c r="B36" s="74" t="n">
        <v>27</v>
      </c>
      <c r="C36" s="74" t="n">
        <v>62</v>
      </c>
      <c r="D36" s="74" t="n">
        <v>25</v>
      </c>
      <c r="E36" s="74" t="n">
        <v>29</v>
      </c>
      <c r="F36" s="74" t="n">
        <v>27</v>
      </c>
      <c r="G36" s="74" t="n">
        <v>19</v>
      </c>
      <c r="H36" s="74" t="n">
        <v>20</v>
      </c>
      <c r="I36" s="74" t="n">
        <v>20</v>
      </c>
      <c r="J36" s="74" t="n">
        <v>20</v>
      </c>
      <c r="K36" s="74" t="n">
        <v>37</v>
      </c>
      <c r="L36" s="74" t="n">
        <v>286</v>
      </c>
      <c r="M36" s="74" t="n">
        <v>40</v>
      </c>
    </row>
    <row r="37">
      <c r="A37" s="74" t="inlineStr">
        <is>
          <t>2026-10-19</t>
        </is>
      </c>
      <c r="B37" s="74" t="n">
        <v>28</v>
      </c>
      <c r="C37" s="74" t="n">
        <v>62</v>
      </c>
      <c r="D37" s="74" t="n">
        <v>25</v>
      </c>
      <c r="E37" s="74" t="n">
        <v>29</v>
      </c>
      <c r="F37" s="74" t="n">
        <v>27</v>
      </c>
      <c r="G37" s="74" t="n">
        <v>19</v>
      </c>
      <c r="H37" s="74" t="n">
        <v>20</v>
      </c>
      <c r="I37" s="74" t="n">
        <v>20</v>
      </c>
      <c r="J37" s="74" t="n">
        <v>23</v>
      </c>
      <c r="K37" s="74" t="n">
        <v>38</v>
      </c>
      <c r="L37" s="74" t="n">
        <v>291</v>
      </c>
      <c r="M37" s="74" t="n">
        <v>16</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30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256 tasks · 615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Done</t>
        </is>
      </c>
      <c r="J14" s="108" t="n">
        <v>1</v>
      </c>
      <c r="K14" s="109" t="inlineStr">
        <is>
          <t>2026-09-18</t>
        </is>
      </c>
      <c r="L14" s="109" t="n">
        <v>46288</v>
      </c>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 | 2026-09-28: sponsorx.net NOW SERVES PRODUCTION. Railway custom domain on production web (CNAME @ → c0ojxycv.up.railway.app, DNS only; TXT _railway-verify), verified, TLS certificate valid; public pages 200, portals redirect to /login, sign-in page uses the live Clerk instance (clerk.sponsorx.net). Records added in the Cloudflare dashboard by the user — the repo's CLOUDFLARE_API_TOKEN is account-scoped with no DNS permission on the zone. Row stays In progress: auto-renew + registrar lock and the stack-decision.md note are the acceptance items not yet confirmed. | 2026-10-09: DONE — every clause was met on 2026-09-23 and recorded in .claude/stack-decision.md ("The domain — sponsorx.net"): Cloudflare account, auto-renew on (2027-08-19), registrar lock on, DNS on Cloudflare. Re-checked 2026-10-09: whois clientTransferProhibited, expires 2027-09-18, NS garrett/raegan.ns.cloudflare.com, https://sponsorx.net 200. The row was left In progress by mistake.</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Done</t>
        </is>
      </c>
      <c r="J15" s="108" t="n">
        <v>1</v>
      </c>
      <c r="K15" s="109" t="inlineStr">
        <is>
          <t>2026-09-14</t>
        </is>
      </c>
      <c r="L15" s="109" t="n">
        <v>46311</v>
      </c>
      <c r="M15" s="110" t="inlineStr">
        <is>
          <t>rcfworks</t>
        </is>
      </c>
      <c r="N15" s="85" t="n">
        <v>2</v>
      </c>
      <c r="O15" s="84" t="n"/>
      <c r="P15" s="84" t="inlineStr">
        <is>
          <t>Both instances exist (amended 2026-10-16 by the user: the MFA half is P2-INT-02's, closed when Clerk Pro is bought at launch)</t>
        </is>
      </c>
      <c r="Q15" s="86" t="inlineStr">
        <is>
          <t>Addendum A4, §26</t>
        </is>
      </c>
      <c r="R15" s="111" t="inlineStr">
        <is>
          <t>2026-10-16 DONE (rcfworks, the user's decision): both instances exist and production signs in on clerk.sponsorx.net; the MFA half of the old Done-when moved to P2-INT-02, which says the same thing. | 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 | 2026-10-02 (HeckerCreatives, via Claude): NEW FINDING: the development instance is at Clerk's 100-user cap ('You have reached your limit of 100 users') — no new identity can be created: a new developer cannot sign up, and browser tests or walkthroughs needing a login they have not created before fail. Clear stale test users in the dashboard (e2e.* and old QA addresses). Not done here — deleting identities is the owner's call. | 2026-10-09 AUDIT: NOT MET — both instances exist (production clerk.sponsorx.net serves sign-in), but the production instance has NO MFA strategy enabled (authenticator app, backup codes, phone all off; second factor not required — read from clerk.sponsorx.net/v1/environment). Needs Clerk Pro, deferred to launch on 2026-09-21. Closes with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Done</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 2026-10-02 (HeckerCreatives, via Claude): Closed: the work was finished on 2026-09-18 (Date Done) and the row was held In progress only to show ownership of the Railway workstream. Topology has since changed by decision (Addendum B, 2026-09-21): web, api (API + worker in one process) and Postgres; web no longer has a database at all. Not re-checked in the Railway console today — no CLI on this machine; the 2026-09-24 log verified api.railway.internal and /health in both environments.</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Done</t>
        </is>
      </c>
      <c r="J57" s="108" t="n">
        <v>3</v>
      </c>
      <c r="K57" s="109" t="inlineStr">
        <is>
          <t>2026-09-18</t>
        </is>
      </c>
      <c r="L57" s="109" t="n">
        <v>46303</v>
      </c>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 | 2026-10-07 (rcfworks, via Claude): ALL FOUR VISIBLE, AND THE PAGE IS LIVE PATH. /health/full (public as /api/v1/public/health) gains checks.queue (depth = due pg-boss jobs + dispatchable outbox rows; oldest wait; jobs failed in 24 h) and traffic (API responses and 5xx over 15 min, per process). The queue check FAILS when a due job or a dispatchable outbox row has waited over 15 min, so the existing 15-minute health monitor posts 'worker not draining' to Slack. Parked rows are left out: types with no handler, and Zoho CRM jobs when CRM credentials are absent (production). NEEDS_ZOHO_CRM moved to src/lib/zoho-jobs.ts so the API never imports the Zoho client (zoho-boundary test). Verified on real SQL against a scratch Postgres with pg-boss 12; staging preview read-only: 0 waiting, 196 failed jobs in 24 h, all notify.email to example.com test addresses refused by Resend (test data). Production preview not run (needs the user). Monitoring Plan rewritten as v1.0. Done once deployed and the live answer shows the queue in both environments. | 2026-10-08 CHECKED, NOT YET DONE. Code meets the clause: a due job or outbox row waiting over 15 min makes /health/full 'degraded' (system-health.ts), and the monitor alerts on anything but 'ok'. Staging (1c423b9) shows checks.queue and traffic live; production is still on aae0ca2 and shows neither — needs the production release. ALSO FOUND: health-monitor.yml is scheduled every 15 min but GitHub ran it only every 4–6 h on 2026-10-07 (13:56, 19:42, 23:50 UTC), so a stuck worker could go unreported for hours. Done when production shows the queue and the monitor actually runs on a reliable cadence. | 2026-10-08 DONE — both clauses verified. (1) Visible: production deployed at 6669472 (api + web) and sponsorx.net/api/v1/public/health now shows checks.queue (depth, oldest wait, failed jobs 24 h) and traffic (requests, 5xx, rate), as staging does. (2) Paged when the worker stops draining: a due job waiting &gt;15 min makes the answer 'degraded' and the health monitor posts to Slack. GitHub's own */15 schedule ran only every 4–6 h, so a Railway cron service 'monitor-trigger' (staging env, image curlimages/curl, */15 * * * *, restart NEVER) now dispatches health-monitor.yml on main with a fine-grained token GH_DISPATCH_TOKEN (BTG-Sports/sponsorX_dev only, Actions read/write, 1 year — renew before 2027-10). First cron-started run 07:02 UTC succeeded. GitHub's schedule stays as a backup.</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Done</t>
        </is>
      </c>
      <c r="J62" s="108" t="n">
        <v>1</v>
      </c>
      <c r="K62" s="109" t="inlineStr">
        <is>
          <t>2026-09-15</t>
        </is>
      </c>
      <c r="L62" s="109" t="inlineStr">
        <is>
          <t>2026-09-24</t>
        </is>
      </c>
      <c r="M62" s="110" t="inlineStr">
        <is>
          <t>rcfworks</t>
        </is>
      </c>
      <c r="N62" s="81" t="n"/>
      <c r="O62" s="80" t="inlineStr">
        <is>
          <t>P2-BE-01</t>
        </is>
      </c>
      <c r="P62" s="80" t="inlineStr">
        <is>
          <t>The Addendum B workspace layout exists — backend/src/contracts/, backend/src/domain/, backend/worker/jobs/, backend/prisma/sql/, backend/tests/, and frontend/src/server/; one repo, two deployables (web, api), one lockfile</t>
        </is>
      </c>
      <c r="Q62" s="82" t="inlineStr">
        <is>
          <t>Guide §02</t>
        </is>
      </c>
      <c r="R62" s="111" t="inlineStr">
        <is>
          <t>AC amended to the Addendum B layout (backend/ + frontend/ workspaces). Stale pre-split .gitkeep placeholders removed; layout pinned by backend/tests/layout.test.ts. | 2026-09-24: Done at the user's instruction — acceptance confirmed met.</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Done</t>
        </is>
      </c>
      <c r="J63" s="108" t="n">
        <v>3</v>
      </c>
      <c r="K63" s="109" t="inlineStr">
        <is>
          <t>2026-09-18</t>
        </is>
      </c>
      <c r="L63" s="109" t="inlineStr">
        <is>
          <t>2026-09-29</t>
        </is>
      </c>
      <c r="M63" s="110" t="inlineStr">
        <is>
          <t>HeckerCreatives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 2026-09-29 (HeckerCreatives, taken over from rcfworks at the user's instruction): the remaining fixture-only screens wired live, fixtures kept for ?demo=. Sponsor Campaigns list + campaign detail (GET /campaigns + /campaigns/:id/ops; another sponsor's id is 'not found'); admin Operations Board (money/pacing from /campaigns, the four queues from the desks' own lists, integration health, audit log; a 403 section says 'not in your role'); athlete home (own invitations/deliverables/earnings/profile + guardian readiness gate); property portal (/properties/mine + /team/roster); public /properties/[slug] on NEW GET /public/properties/:slug (adults named, minors counted never named - confirm policy); public /brief now actually submits (POST /public/inquiries -&gt; Inquiry + queued Zoho Lead); athlete profile editor seeded from /athletes/me, socials save via PUT, other sections say 'ask BTG' (user decision; raised P3-BE-15). Portal chrome was already real (QA pass 5). Left demo-only by design: /sponsor/marketplace/[jobId] (only reachable from the demo media tab). Verified: backend 1700/1700, frontend 386/386, lint + build green, 8 signed-in browser walks green, 0 console errors, 0px overflow at 390. 2026-09-29 QA passes 7+8 (Memory/2026-09-29/qa-pass7.md, qa-pass8.md): 15 findings; fixed F-1..F-6, F-9..F-13, F-15 the same day - NUL-byte 500s on public slugs, brief draft loss on failed send, unlinked athlete/property states, GET /campaigns paged (+ new GET /campaigns/:id) so counts and money no longer stop at 100, saveSocials returns errors instead of throwing, long-name wrap, outage vs not-found on the public property page, radio-group arrow keys, Dockerfile HOSTNAME. Open for the team: F-7 public notFound returns 200 under (public)/loading.tsx; F-8 SPONSOR_ANALYST spend visibility policy. Re-verified: backend 1711/1711, frontend 391/391, build green, re-test walks green. QA pass 9 (Memory/2026-09-29/qa-pass9.md): static review + official e2e (15/7/0) + scale/axe probes; fixed F-16 (HIGH: public school page named FEATURED minors with no recorded age - now confirmed adults only), F-17 (raw NUL bytes made 3 sources binary), F-18 (athlete socials save erased BTG-verified rows), F-19 (row-id cursor -&gt; keyset: no silent truncation, no cross-tenant id oracle), F-20 (brief timeout copy), F-21..F-23. Backend 1720/1720, frontend 391/391, build green. Check pass (Memory/2026-09-29/check-pass.md): 14 roles x every page + access matrix + axe; fixed C-1 (role-aware admin desks + nav via lib/admin-access.ts, Not in your role instead of sample desks), C-2 (guardian demo notices), C-3 (campaign detail role state), C-4 (brief picker contrast), C-5 (SX-03 notice). Pagination design + live API paging contract verified on every 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2026-10-16: now also carries the MFA half of P0-OPS-03 (closed). | 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 | 2026-10-09 AUDIT: NOT MET — confirmed: production Clerk has no MFA strategy enabled and does not require a second factor. Needs Clerk Pro (authenticator app + backup codes, never SMS). Deferred to launch by decision.</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 | 2026-10-09 AUDIT: NOT MET IN PRODUCTION (staging complete). Production web still carries DATABASE_URL, which the frontend never reads and staging removed on 2026-09-21. SPONSORX_EDGE_KEY is on staging web+api but not production (deferred to go-live by P8-SEC-03, so every fan's public rate limit would share one bucket until it is set). Zoho and Stripe webhook secrets absent in production by the go-live deferral. Neither environment sets GEOLITE2_CITY_PATH (optional; clicks record without geo). Note: API and worker run as one process (src/combined.mts), so the 'worker only' Zoho variables correctly sit on the api service; web holds no Zoho variable. | 2026-10-09 FIXED IN PRODUCTION (user-approved): SPONSORX_EDGE_KEY set on production api + web (40 chars, matching by hash, never printed); DATABASE_URL deleted from production web. Applied by fast-forwarding `release` 499e0b5 → 9c3246f (main; app code identical to production's 6669472 — the daily move had been held since 10-06 by the unrelated /admin/audit e2e failure) and redeploying web. Health ok, pages 200. STILL OPEN: GEOLITE2_CITY_PATH unset in both environments (optional; clicks record without geo), and production's Zoho credentials and Stripe webhook secrets wait for go-live by decision. | 2026-10-15: WHEN production's Zoho keys are set at go-live, also run `railway ssh --environment production --service api -- npm run zoho:intel-fields -w @sponsorx/backend -- --create --confirm-production` (3S7-INT-01's two Account fields; owner OK'd 2026-10-15). Tried 2026-10-15: stopped with 'Zoho is not configured' — nothing changed.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Done</t>
        </is>
      </c>
      <c r="J68" s="108" t="n">
        <v>3</v>
      </c>
      <c r="K68" s="109" t="inlineStr">
        <is>
          <t>2026-09-18</t>
        </is>
      </c>
      <c r="L68" s="109" t="n">
        <v>46302</v>
      </c>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 | 2026-10-02 (HeckerCreatives, via Claude): Clause one no longer holds by decision: since 2026-10-01 CI runs once a day on main, not on every commit (Actions minutes ran out). Clause two still needs GitHub Pro. Run the four checks locally before merging (handoff guide §5). | 2026-10-07 (rcfworks, via Claude): BOTH CLAUSES NOW ACHIEVABLE. The repo moved to the BTG-Sports org (Team plan, public), so Actions minutes are free and rulesets work. ci.yml runs again on every push and every pull request, plus the nightly; deploy-daily.yml now deploys only after the nightly or a hand-started CI run (never after a push run), and it reads only the latest run of each job, so an earlier failure since re-run green does not block a deploy. Required check: repository ruleset 'CI required' on main and main_development requires 'typecheck · lint · unit · authz matrix' (the job that runs the 1,152-pair authz matrix). Moves to Done once the ruleset is on and the first push run is green. | 2026-10-07 DONE, both clauses verified. (1) Every commit runs all four: push and pull_request runs on #171 (37633953352, 37633957535) and on main (37635630955) all passed typecheck · lint · unit · authz matrix. (2) Required, not advisory: ruleset CI required (id 24647902, active) on main and main_development requires that job from GitHub Actions; #171 showed it Expected/Required and could not merge without it, and the fast-forward of main_development was accepted only because the commit had passed. Release #172 merged. NOTE: e2e is not required; while it is red (P1-FE-31 audit empty state), the 8 pm automatic deploy does not ship, because deploy-daily requires both CI jobs green.</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Dropped</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 | 2026-10-09 AUDIT: NOT MET — no PR environments exist: GitHub shows only staging and production deployment environments, and PRs get no Railway preview. The seed it needs (P2-OPS-05) is Done. | 2026-10-15 DROPPED by the user ("its not worth doing"): every PR already runs the full suite, browser tests included, on its own fresh database in CI; the team is two people who merge every PR; a running app and database per open PR costs Railway money for little gain.</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Done</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 | 2026-10-02 (HeckerCreatives, via Claude): Documented and enforced (SponsorX-Deploy-Ordering.md v1.3): rule 2's failure — web enqueuing a job no worker handles — is now impossible by construction (web has no database or pg-boss; the API and worker ship as one process; an old worker never claims a new queue name). npm run deploy now ships api, waits until live, then web, and stops if api fails (it deployed both at once). pg-boss migrates only in startWorker(). Accepted and written down: the daily release deploy is unordered across services (needs a Railway token the CLI login can't mint).</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Done</t>
        </is>
      </c>
      <c r="J84" s="108" t="n">
        <v>3</v>
      </c>
      <c r="K84" s="109" t="inlineStr">
        <is>
          <t>2026-09-24</t>
        </is>
      </c>
      <c r="L84" s="109" t="inlineStr">
        <is>
          <t>2026-09-24</t>
        </is>
      </c>
      <c r="M84" s="110" t="inlineStr">
        <is>
          <t>rcfworks</t>
        </is>
      </c>
      <c r="N84" s="85" t="n">
        <v>1</v>
      </c>
      <c r="O84" s="84" t="inlineStr">
        <is>
          <t>P2-OPS-05</t>
        </is>
      </c>
      <c r="P84" s="84" t="inlineStr">
        <is>
          <t>The first 25 athletes can be imported as a job, run against staging first — never hand-seeded into production</t>
        </is>
      </c>
      <c r="Q84" s="86" t="inlineStr">
        <is>
          <t>Guide §10, §36</t>
        </is>
      </c>
      <c r="R84" s="111" t="inlineStr">
        <is>
          <t>Built 2026-09-24 and RUN ON STAGING the same day: `npm run cohort:import -w @sponsorx/backend -- file.csv` queued one athlete.importCohort job; worker log "25 created, 0 skipped"; staging DB shows 25 athletes in SUBMITTED (review queue). Test file fingerprint e9ce802bee40… (synthetic pilot.*@example.com athletes). Production refuses any file whose sha256 is not in COHORT_IMPORT_APPROVED_SHA256 — add the REAL cohort file's fingerprint there after its staging run (P8-DATA-01). | 2026-09-24: Done at the user's instruction — acceptance confirmed met.</t>
        </is>
      </c>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Done</t>
        </is>
      </c>
      <c r="J85" s="108" t="n">
        <v>3</v>
      </c>
      <c r="K85" s="109" t="inlineStr">
        <is>
          <t>2026-09-25</t>
        </is>
      </c>
      <c r="L85" s="109" t="inlineStr">
        <is>
          <t>2026-09-25</t>
        </is>
      </c>
      <c r="M85" s="110" t="inlineStr">
        <is>
          <t>HeckerCreatives</t>
        </is>
      </c>
      <c r="N85" s="81" t="n">
        <v>1</v>
      </c>
      <c r="O85" s="80" t="inlineStr">
        <is>
          <t>P3-BE-07</t>
        </is>
      </c>
      <c r="P85" s="80" t="inlineStr">
        <is>
          <t>Real applications appear; approve / request-changes / reject all work; the score factor snapshot renders</t>
        </is>
      </c>
      <c r="Q85" s="82" t="inlineStr">
        <is>
          <t>§23</t>
        </is>
      </c>
      <c r="R85" s="111" t="inlineStr">
        <is>
          <t>Wired live (P3-FE-02): GET /applications now carries the latest rules-v1 snapshot; desk live mode does begin-review/approve/request-changes/reject via server actions; verified by a signed-in headless walk (24 checks) incl. persistence across reload.</t>
        </is>
      </c>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Done</t>
        </is>
      </c>
      <c r="J86" s="108" t="n">
        <v>1</v>
      </c>
      <c r="K86" s="109" t="inlineStr">
        <is>
          <t>2026-09-23</t>
        </is>
      </c>
      <c r="L86" s="109" t="inlineStr">
        <is>
          <t>2026-09-23</t>
        </is>
      </c>
      <c r="M86" s="110" t="inlineStr">
        <is>
          <t>rcfworks</t>
        </is>
      </c>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Done</t>
        </is>
      </c>
      <c r="J88" s="108" t="n">
        <v>3</v>
      </c>
      <c r="K88" s="109" t="inlineStr">
        <is>
          <t>2026-09-24</t>
        </is>
      </c>
      <c r="L88" s="109" t="inlineStr">
        <is>
          <t>2026-09-24</t>
        </is>
      </c>
      <c r="M88" s="110" t="inlineStr">
        <is>
          <t>HeckerCreatives</t>
        </is>
      </c>
      <c r="N88" s="85" t="n"/>
      <c r="O88" s="84" t="inlineStr">
        <is>
          <t>P3-BE-01</t>
        </is>
      </c>
      <c r="P88" s="84" t="inlineStr">
        <is>
          <t>A real application submits, validates and persists; the guardian branch appears for minors</t>
        </is>
      </c>
      <c r="Q88" s="86" t="inlineStr">
        <is>
          <t>§11</t>
        </is>
      </c>
      <c r="R88" s="111" t="inlineStr">
        <is>
          <t>Wired 2026-09-24 via a server action (API_URL server-side). Verified end to end: headless browser submitted a minor's application through the real wizard into Postgres. Surfaced+fixed: ZodError answered 500 - errorBody() maps validation to 400 with named issues for all contract routes.</t>
        </is>
      </c>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Done</t>
        </is>
      </c>
      <c r="J89" s="108" t="n">
        <v>3</v>
      </c>
      <c r="K89" s="109" t="inlineStr">
        <is>
          <t>2026-09-25</t>
        </is>
      </c>
      <c r="L89" s="109" t="inlineStr">
        <is>
          <t>2026-09-25</t>
        </is>
      </c>
      <c r="M89" s="110" t="inlineStr">
        <is>
          <t>HeckerCreatives</t>
        </is>
      </c>
      <c r="N89" s="81" t="n"/>
      <c r="O89" s="80" t="inlineStr">
        <is>
          <t>P3-BE-04</t>
        </is>
      </c>
      <c r="P89" s="80" t="inlineStr">
        <is>
          <t>Real profile data renders; the completion meter reflects actual §11 section state</t>
        </is>
      </c>
      <c r="Q89" s="82" t="inlineStr">
        <is>
          <t>§24</t>
        </is>
      </c>
      <c r="R89" s="111" t="inlineStr">
        <is>
          <t>Wired live (P3-FE-03): new GET /athletes/me; meter derived per §11 section (payment honestly not-collected, excluded from %); signed-in athlete walk 12/12; portal chrome now greets the real user.</t>
        </is>
      </c>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Done</t>
        </is>
      </c>
      <c r="J90" s="108" t="n">
        <v>1</v>
      </c>
      <c r="K90" s="109" t="inlineStr">
        <is>
          <t>2026-09-25</t>
        </is>
      </c>
      <c r="L90" s="109" t="inlineStr">
        <is>
          <t>2026-09-25</t>
        </is>
      </c>
      <c r="M90" s="110" t="inlineStr">
        <is>
          <t>HeckerCreatives</t>
        </is>
      </c>
      <c r="N90" s="85" t="n"/>
      <c r="O90" s="84" t="inlineStr">
        <is>
          <t>P3-BE-09</t>
        </is>
      </c>
      <c r="P90" s="84" t="inlineStr">
        <is>
          <t>An athlete sees their own rates; no other athlete's rates are reachable</t>
        </is>
      </c>
      <c r="Q90" s="86" t="inlineStr">
        <is>
          <t>§24, Guide §04</t>
        </is>
      </c>
      <c r="R90" s="111" t="inlineStr">
        <is>
          <t>Wired live (P3-FE-04): rate card renders on the profile's private Rates section via GET /athletes/{id}/rates (readRateCard now carries the job NAME, never sponsorPrice); own-scope isolation is P3-BE-09's tests; live walk proved a real rate rendering.</t>
        </is>
      </c>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Done</t>
        </is>
      </c>
      <c r="J91" s="108" t="n">
        <v>1</v>
      </c>
      <c r="K91" s="109" t="inlineStr">
        <is>
          <t>2026-09-25</t>
        </is>
      </c>
      <c r="L91" s="109" t="inlineStr">
        <is>
          <t>2026-09-25</t>
        </is>
      </c>
      <c r="M91" s="110" t="inlineStr">
        <is>
          <t>HeckerCreatives</t>
        </is>
      </c>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Wired live (P3-FE-05): new public GET /public/catalogue/packages sharing the sponsor read's PACKAGE_SELECT (athlete pay absent by construction); /packages prefers real rows with job-code line items, fixture grid only as outage fallback (footer already declares prices indicative). Verified live: 6 real packages, no pay leak.</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Done</t>
        </is>
      </c>
      <c r="J93" s="108" t="n">
        <v>3</v>
      </c>
      <c r="K93" s="109" t="inlineStr">
        <is>
          <t>2026-09-28</t>
        </is>
      </c>
      <c r="L93" s="109" t="inlineStr">
        <is>
          <t>2026-09-28</t>
        </is>
      </c>
      <c r="M93" s="110" t="inlineStr">
        <is>
          <t>HeckerCreatives</t>
        </is>
      </c>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Done</t>
        </is>
      </c>
      <c r="J100" s="108" t="n">
        <v>3</v>
      </c>
      <c r="K100" s="109" t="inlineStr">
        <is>
          <t>2026-09-24</t>
        </is>
      </c>
      <c r="L100" s="109" t="n">
        <v>46296</v>
      </c>
      <c r="M100" s="110" t="inlineStr">
        <is>
          <t>rcfworks</t>
        </is>
      </c>
      <c r="N100" s="85" t="n">
        <v>1</v>
      </c>
      <c r="O100" s="84" t="inlineStr">
        <is>
          <t>P4-BE-02</t>
        </is>
      </c>
      <c r="P100" s="84" t="inlineStr">
        <is>
          <t>A sponsor browses real packages and inventory and submits a real brief — request/reserve, not self-checkout</t>
        </is>
      </c>
      <c r="Q100" s="86" t="inlineStr">
        <is>
          <t>§17, §9 screen 4</t>
        </is>
      </c>
      <c r="R100" s="111" t="inlineStr">
        <is>
          <t>2026-09-24: A signed-in SPONSOR_ADMIN/ANALYST sees the REAL catalogue (new GET /catalogue/packages and /catalogue/jobs — sponsor prices only) and the brief drawer files a REAL brief through the submitBrief server function → POST /briefs → DRAFT (request, not checkout). Demo/?demo= and signed-out keep the fixture demo; the media tab is hidden live (no Phase 1 model). Category is now the closed vocabulary (frontend copy pinned to the backend's). Proven: frontend tests/marketplace-live.test.ts; backend tests/brief-contract.test.ts imports the frontend's own mapping, parses it with CampaignBriefInput and files it through the API as a signed-in sponsor (201 DRAFT, fields stored; another sponsor's id → 403). /me now returns sponsorId.</t>
        </is>
      </c>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Done</t>
        </is>
      </c>
      <c r="J101" s="108" t="n">
        <v>3</v>
      </c>
      <c r="K101" s="109" t="inlineStr">
        <is>
          <t>2026-09-25</t>
        </is>
      </c>
      <c r="L101" s="109" t="inlineStr">
        <is>
          <t>2026-09-28</t>
        </is>
      </c>
      <c r="M101" s="110" t="inlineStr">
        <is>
          <t>HeckerCreatives</t>
        </is>
      </c>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Done</t>
        </is>
      </c>
      <c r="J104" s="108" t="n">
        <v>5</v>
      </c>
      <c r="K104" s="109" t="inlineStr">
        <is>
          <t>2026-09-28</t>
        </is>
      </c>
      <c r="L104" s="109" t="inlineStr">
        <is>
          <t>2026-09-28</t>
        </is>
      </c>
      <c r="M104" s="110" t="inlineStr">
        <is>
          <t>HeckerCreatives</t>
        </is>
      </c>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Done</t>
        </is>
      </c>
      <c r="J105" s="108" t="n">
        <v>3</v>
      </c>
      <c r="K105" s="109" t="inlineStr">
        <is>
          <t>2026-09-28</t>
        </is>
      </c>
      <c r="L105" s="109" t="inlineStr">
        <is>
          <t>2026-09-28</t>
        </is>
      </c>
      <c r="M105" s="110" t="inlineStr">
        <is>
          <t>HeckerCreatives</t>
        </is>
      </c>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Done</t>
        </is>
      </c>
      <c r="J106" s="108" t="n">
        <v>3</v>
      </c>
      <c r="K106" s="109" t="inlineStr">
        <is>
          <t>2026-09-28</t>
        </is>
      </c>
      <c r="L106" s="109" t="inlineStr">
        <is>
          <t>2026-09-28</t>
        </is>
      </c>
      <c r="M106" s="110" t="inlineStr">
        <is>
          <t>HeckerCreatives</t>
        </is>
      </c>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Done</t>
        </is>
      </c>
      <c r="J108" s="108" t="n">
        <v>3</v>
      </c>
      <c r="K108" s="109" t="inlineStr">
        <is>
          <t>2026-09-28</t>
        </is>
      </c>
      <c r="L108" s="109" t="inlineStr">
        <is>
          <t>2026-09-28</t>
        </is>
      </c>
      <c r="M108" s="110" t="inlineStr">
        <is>
          <t>HeckerCreatives</t>
        </is>
      </c>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Done</t>
        </is>
      </c>
      <c r="J109" s="108" t="n">
        <v>3</v>
      </c>
      <c r="K109" s="109" t="inlineStr">
        <is>
          <t>2026-09-23</t>
        </is>
      </c>
      <c r="L109" s="109" t="inlineStr">
        <is>
          <t>2026-09-23</t>
        </is>
      </c>
      <c r="M109" s="110" t="inlineStr">
        <is>
          <t>rcfworks</t>
        </is>
      </c>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Done</t>
        </is>
      </c>
      <c r="J110" s="108" t="n">
        <v>1</v>
      </c>
      <c r="K110" s="109" t="inlineStr">
        <is>
          <t>2026-09-24</t>
        </is>
      </c>
      <c r="L110" s="109" t="inlineStr">
        <is>
          <t>2026-09-24</t>
        </is>
      </c>
      <c r="M110" s="110" t="inlineStr">
        <is>
          <t>rcfworks</t>
        </is>
      </c>
      <c r="N110" s="85" t="n"/>
      <c r="O110" s="84" t="inlineStr">
        <is>
          <t>P4-FE-01</t>
        </is>
      </c>
      <c r="P110" s="84" t="inlineStr">
        <is>
          <t>Every sponsor-facing query uses explicit select; AthleteRate.amount is absent from all of them</t>
        </is>
      </c>
      <c r="Q110" s="86" t="inlineStr">
        <is>
          <t>Guide §04</t>
        </is>
      </c>
      <c r="R110" s="111" t="inlineStr">
        <is>
          <t>2026-09-24: Explicit select: the P2-OPS-06 lint rule (src, worker, tests) is pinned by tests/sponsor-field-authz.test.ts. No athlete pay on the wire: marker values planted in AthleteRate.amount, NilJob base pay + sell floors, CampaignOrder.compensation and Earning.gross; every documented GET called as SPONSOR_ADMIN and SPONSOR_ANALYST on their own campaign — no marker and no pay field name in any response; positive control reaches their report and catalogue; rate card → 403. Mutation-checked: adding baseLow to the jobs read fails it and names the column. | 2026-09-24: Done at the user's instruction — acceptance confirmed met.</t>
        </is>
      </c>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Done</t>
        </is>
      </c>
      <c r="J117" s="108" t="n">
        <v>5</v>
      </c>
      <c r="K117" s="109" t="inlineStr">
        <is>
          <t>2026-09-28</t>
        </is>
      </c>
      <c r="L117" s="109" t="inlineStr">
        <is>
          <t>2026-09-28</t>
        </is>
      </c>
      <c r="M117" s="110" t="inlineStr">
        <is>
          <t>HeckerCreatives</t>
        </is>
      </c>
      <c r="N117" s="81" t="n">
        <v>1</v>
      </c>
      <c r="O117" s="80" t="inlineStr">
        <is>
          <t>P5-BE-08</t>
        </is>
      </c>
      <c r="P117" s="80" t="inlineStr">
        <is>
          <t>The full review board works — draft review, revision request, sponsor routing, approval, publication proof</t>
        </is>
      </c>
      <c r="Q117" s="82" t="inlineStr">
        <is>
          <t>§10, §23</t>
        </is>
      </c>
      <c r="R117" s="111" t="inlineStr">
        <is>
          <t>2026-09-28: no sponsor-side content approval screen exists; BTG approves SPONSOR_REVIEW items on the sponsor's behalf (policy allows). A sponsor approvals surface may be a missing task.</t>
        </is>
      </c>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Done</t>
        </is>
      </c>
      <c r="J121" s="108" t="n">
        <v>3</v>
      </c>
      <c r="K121" s="109" t="inlineStr">
        <is>
          <t>2026-09-28</t>
        </is>
      </c>
      <c r="L121" s="109" t="inlineStr">
        <is>
          <t>2026-09-28</t>
        </is>
      </c>
      <c r="M121" s="110" t="inlineStr">
        <is>
          <t>HeckerCreatives</t>
        </is>
      </c>
      <c r="N121" s="81" t="n"/>
      <c r="O121" s="80" t="inlineStr">
        <is>
          <t>P5-BE-01</t>
        </is>
      </c>
      <c r="P121" s="80" t="inlineStr">
        <is>
          <t>An athlete reads the real order terms and accepts; the guardian branch renders for minors; the exact text shown is what gets hashed</t>
        </is>
      </c>
      <c r="Q121" s="82" t="inlineStr">
        <is>
          <t>§24</t>
        </is>
      </c>
      <c r="R121" s="111" t="inlineStr">
        <is>
          <t>2026-09-28: also fixed P5-BE-01 defect — acceptAgreementIn was once-per-signer, so an athlete's 2nd Campaign Order under the same version was unacceptable forever; acceptOrder now asks per-order. Acceptance evidence now records the signer's IP/UA via the edge-keyed forward (SPONSORX_EDGE_KEY must be set in each env).</t>
        </is>
      </c>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Done</t>
        </is>
      </c>
      <c r="J122" s="108" t="n">
        <v>3</v>
      </c>
      <c r="K122" s="109" t="inlineStr">
        <is>
          <t>2026-09-28</t>
        </is>
      </c>
      <c r="L122" s="109" t="inlineStr">
        <is>
          <t>2026-09-28</t>
        </is>
      </c>
      <c r="M122" s="110" t="inlineStr">
        <is>
          <t>HeckerCreatives</t>
        </is>
      </c>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Done</t>
        </is>
      </c>
      <c r="J123" s="108" t="n">
        <v>3</v>
      </c>
      <c r="K123" s="109" t="inlineStr">
        <is>
          <t>2026-09-28</t>
        </is>
      </c>
      <c r="L123" s="109" t="inlineStr">
        <is>
          <t>2026-09-28</t>
        </is>
      </c>
      <c r="M123" s="110" t="inlineStr">
        <is>
          <t>HeckerCreatives</t>
        </is>
      </c>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Done</t>
        </is>
      </c>
      <c r="J124" s="108" t="n">
        <v>5</v>
      </c>
      <c r="K124" s="109" t="inlineStr">
        <is>
          <t>2026-09-28</t>
        </is>
      </c>
      <c r="L124" s="109" t="inlineStr">
        <is>
          <t>2026-09-28</t>
        </is>
      </c>
      <c r="M124" s="110" t="inlineStr">
        <is>
          <t>HeckerCreatives</t>
        </is>
      </c>
      <c r="N124" s="85" t="n"/>
      <c r="O124" s="84" t="inlineStr">
        <is>
          <t>P5-BE-05</t>
        </is>
      </c>
      <c r="P124" s="84" t="inlineStr">
        <is>
          <t>Per-athlete acceptance, due dates, approval state, under-delivery and issue flags all render from real data</t>
        </is>
      </c>
      <c r="Q124" s="86" t="inlineStr">
        <is>
          <t>§9 screen 9</t>
        </is>
      </c>
      <c r="R124" s="111" t="inlineStr">
        <is>
          <t>2026-09-28: also built the missing BTG step 'draft &amp; send Campaign Order' (after an accepted invite) in the ops drawer — POST /campaigns/:id/orders had no screen, which broke the §39 loop between invitation and signature.</t>
        </is>
      </c>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Done</t>
        </is>
      </c>
      <c r="J125" s="108" t="n">
        <v>1</v>
      </c>
      <c r="K125" s="109" t="inlineStr">
        <is>
          <t>2026-09-23</t>
        </is>
      </c>
      <c r="L125" s="109" t="inlineStr">
        <is>
          <t>2026-09-23</t>
        </is>
      </c>
      <c r="M125" s="110" t="inlineStr">
        <is>
          <t>rcfworks</t>
        </is>
      </c>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Done</t>
        </is>
      </c>
      <c r="J126" s="108" t="n">
        <v>3</v>
      </c>
      <c r="K126" s="109" t="inlineStr">
        <is>
          <t>2026-09-28</t>
        </is>
      </c>
      <c r="L126" s="109" t="inlineStr">
        <is>
          <t>2026-09-28</t>
        </is>
      </c>
      <c r="M126" s="110" t="inlineStr">
        <is>
          <t>HeckerCreatives</t>
        </is>
      </c>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Done</t>
        </is>
      </c>
      <c r="J127" s="108" t="n">
        <v>1</v>
      </c>
      <c r="K127" s="109" t="inlineStr">
        <is>
          <t>2026-09-23</t>
        </is>
      </c>
      <c r="L127" s="109" t="inlineStr">
        <is>
          <t>2026-09-23</t>
        </is>
      </c>
      <c r="M127" s="110" t="inlineStr">
        <is>
          <t>rcfworks</t>
        </is>
      </c>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Done</t>
        </is>
      </c>
      <c r="J131" s="108" t="n">
        <v>3</v>
      </c>
      <c r="K131" s="109" t="inlineStr">
        <is>
          <t>2026-09-24</t>
        </is>
      </c>
      <c r="L131" s="109" t="n">
        <v>46296</v>
      </c>
      <c r="M131" s="110" t="inlineStr">
        <is>
          <t>rcfworks</t>
        </is>
      </c>
      <c r="N131" s="81" t="n">
        <v>4</v>
      </c>
      <c r="O131" s="80" t="inlineStr">
        <is>
          <t>P6-BE-04</t>
        </is>
      </c>
      <c r="P131" s="80" t="inlineStr">
        <is>
          <t>Real redemption works; the page still renders without JavaScript; invalid, expired and already-used states all render</t>
        </is>
      </c>
      <c r="Q131" s="82" t="inlineStr">
        <is>
          <t>§16, Guide §06</t>
        </is>
      </c>
      <c r="R131" s="111" t="inlineStr">
        <is>
          <t>2026-09-24: /r/&lt;token&gt; is now a route handler returning plain HTML (no React, no scripts) rendered from the API's new read-only GET /public/rewards/:token: invalid, not active, expired, already used, claimable and claimed all render. Claim and redeem are plain &lt;form method=post&gt; → route handlers → API → 303 back; LANDING is a 1×1 image beacon; SCAN recorded on first visit only. Consent wording comes from the API (CONSENT_TEXT for version 2026-09-01). Proven: frontend tests/redeem-page.test.ts (every state, zero &lt;script&gt;, escaping, real claim/redeem payloads) and a LIVE run — real API + Next dev + local DB, driven by curl (no JS): all states rendered, a real claim stored with consent version, first redeem OK, second tap 'Already used', funnel exactly 1 SCAN/LANDING/CLAIM/REDEEM.</t>
        </is>
      </c>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Done</t>
        </is>
      </c>
      <c r="J133" s="108" t="n">
        <v>3</v>
      </c>
      <c r="K133" s="109" t="inlineStr">
        <is>
          <t>2026-09-23</t>
        </is>
      </c>
      <c r="L133" s="109" t="inlineStr">
        <is>
          <t>2026-09-23</t>
        </is>
      </c>
      <c r="M133" s="110" t="inlineStr">
        <is>
          <t>rcfworks</t>
        </is>
      </c>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Done</t>
        </is>
      </c>
      <c r="J135" s="108" t="n">
        <v>1</v>
      </c>
      <c r="K135" s="109" t="n">
        <v>46294</v>
      </c>
      <c r="L135" s="109" t="n">
        <v>46296</v>
      </c>
      <c r="M135" s="110" t="inlineStr">
        <is>
          <t>rcfworks</t>
        </is>
      </c>
      <c r="N135" s="81" t="n"/>
      <c r="O135" s="80" t="inlineStr">
        <is>
          <t>P6-BE-06</t>
        </is>
      </c>
      <c r="P135" s="80" t="inlineStr">
        <is>
          <t>QR assets usable at venue print sizes with adequate quiet zone and contrast</t>
        </is>
      </c>
      <c r="Q135" s="82" t="inlineStr">
        <is>
          <t>§16</t>
        </is>
      </c>
      <c r="R135" s="111" t="inlineStr">
        <is>
          <t xml:space="preserve"> Designed 2026-09-29 by Claude Design: https://claude.ai/artifact/UmkyjWppiZ2PPDoeJ5RnBU — poster 11×17 (QR 4 in), table tent 4×6 folded (QR 1.75 in), sticker 3×3 (QR 1.25 in); quiet zone ≥4 modules; light and dark-brand versions. Made usable 2026-09-29: /print/reward (admin; 'Print templates' in each reward's QR panel) fills poster / table tent / sticker, light or dark brand, with the token's real QR at real inches (@page); measured 4.00 / 1.75 / 1.25 in; quiet-zone padding added to the PNG's 2-module margin (lib/qr-print.ts, tested). Sponsor name stands in for a logo — none is stored. | 2026-10-02 (HeckerCreatives, via Claude): Post-close audit fix: dark-brand art lost its ground in print ('background graphics' off) — print-color-adjust: exact. Quiet-zone comment corrected (≥4 modules from version 3 up); test now encodes real reward URLs.</t>
        </is>
      </c>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Done</t>
        </is>
      </c>
      <c r="J136" s="108" t="n">
        <v>3</v>
      </c>
      <c r="K136" s="109" t="inlineStr">
        <is>
          <t>2026-09-23</t>
        </is>
      </c>
      <c r="L136" s="109" t="inlineStr">
        <is>
          <t>2026-09-24</t>
        </is>
      </c>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 | 2026-09-24: Done at the user's instruction — acceptance confirmed met.</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Done</t>
        </is>
      </c>
      <c r="J138" s="108" t="n">
        <v>5</v>
      </c>
      <c r="K138" s="109" t="inlineStr">
        <is>
          <t>2026-09-28</t>
        </is>
      </c>
      <c r="L138" s="109" t="inlineStr">
        <is>
          <t>2026-09-28</t>
        </is>
      </c>
      <c r="M138" s="110" t="inlineStr">
        <is>
          <t>HeckerCreatives</t>
        </is>
      </c>
      <c r="N138" s="85" t="n"/>
      <c r="O138" s="84" t="inlineStr">
        <is>
          <t>P6-BE-02</t>
        </is>
      </c>
      <c r="P138" s="84" t="inlineStr">
        <is>
          <t>Reward, eligibility, landing page, consent copy, limits and expiration are all configurable and persist</t>
        </is>
      </c>
      <c r="Q138" s="86" t="inlineStr">
        <is>
          <t>§9 screen 10</t>
        </is>
      </c>
      <c r="R138" s="111" t="inlineStr">
        <is>
          <t>2026-09-28: live desk wired — rewards list with 4-event funnels, lifecycle, per-athlete QR tokens (worker PNG via audited signed URL), creator persisting offer/terms/expiry/single-use/tokens/go-live, consent shown read-only (central version). Open: eligibility, redemption cap, landing copy have no columns — raised P6-BE-08.</t>
        </is>
      </c>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Done</t>
        </is>
      </c>
      <c r="J139" s="108" t="n">
        <v>3</v>
      </c>
      <c r="K139" s="109" t="inlineStr">
        <is>
          <t>2026-09-28</t>
        </is>
      </c>
      <c r="L139" s="109" t="inlineStr">
        <is>
          <t>2026-09-28</t>
        </is>
      </c>
      <c r="M139" s="110" t="inlineStr">
        <is>
          <t>HeckerCreatives</t>
        </is>
      </c>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Dropped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inlineStr">
        <is>
          <t>MOVED TO PHASE 2 on 2026-09-24 (business decision) as 2S6-INT-03 — needs the sponsor-contact consent option (2S6-BE-03), also Phase 2.</t>
        </is>
      </c>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Done</t>
        </is>
      </c>
      <c r="J141" s="108" t="n">
        <v>3</v>
      </c>
      <c r="K141" s="109" t="inlineStr">
        <is>
          <t>2026-09-25</t>
        </is>
      </c>
      <c r="L141" s="109" t="inlineStr">
        <is>
          <t>2026-09-25</t>
        </is>
      </c>
      <c r="M141" s="110" t="inlineStr">
        <is>
          <t>rcfworks</t>
        </is>
      </c>
      <c r="N141" s="81" t="n"/>
      <c r="O141" s="80" t="inlineStr">
        <is>
          <t>P6-FE-02</t>
        </is>
      </c>
      <c r="P141" s="80" t="inlineStr">
        <is>
          <t>All four events recorded separately; a second redeem attempt is rejected</t>
        </is>
      </c>
      <c r="Q141" s="82" t="inlineStr">
        <is>
          <t>§30</t>
        </is>
      </c>
      <c r="R141" s="111" t="inlineStr">
        <is>
          <t>2026-09-25: e2e/redeem-flow.spec.ts drives the REAL stack (web → API → Postgres, JavaScript off) — scan the QR page, LANDING beacon, claim with email + consent, staff redeem, then a second redeem POST: 303 → 'Already used'. Asserts the database holds exactly SCAN 1 · LANDING 1 · CLAIM 1 · REDEEM 1. Found and fixed a double LANDING (the post-redirect-get return re-fired the beacon). CI e2e job now has Postgres + migrations + the API so it runs on every push. | 2026-09-25: Done at the user's instruction — acceptance met; both specs run and pass in CI (PR #69).</t>
        </is>
      </c>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Done</t>
        </is>
      </c>
      <c r="J142" s="108" t="n">
        <v>1</v>
      </c>
      <c r="K142" s="109" t="inlineStr">
        <is>
          <t>2026-09-25</t>
        </is>
      </c>
      <c r="L142" s="109" t="inlineStr">
        <is>
          <t>2026-09-25</t>
        </is>
      </c>
      <c r="M142" s="110" t="inlineStr">
        <is>
          <t>rcfworks</t>
        </is>
      </c>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inlineStr">
        <is>
          <t>2026-09-25: e2e/redeem-budget.spec.ts on Pixel 7 with Slow 4G + 4× CPU throttling: 0 script requests, 0 &lt;script&gt; tags, no font, no stylesheet, &lt;20 KB (all gated); load time recorded per run, not gated — the next dev server swung 1.2–5.7 s on CI runners; production latency is P8-OPS-02's staging measurement. Measured locally 2 requests · 4.1 KB · 1,224 ms. frontend/tests/fan-route-budget.test.ts pins plain dynamic route: no revalidate/generateStaticParams/force-static/edge runtime in /r, /t, /u, and the Clerk proxy (edge middleware) now skips them. | 2026-09-25: Done at the user's instruction — acceptance met; both specs run and pass in CI (PR #69).</t>
        </is>
      </c>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Done</t>
        </is>
      </c>
      <c r="J143" s="108" t="n">
        <v>3</v>
      </c>
      <c r="K143" s="109" t="inlineStr">
        <is>
          <t>2026-09-24</t>
        </is>
      </c>
      <c r="L143" s="109" t="inlineStr">
        <is>
          <t>2026-09-24</t>
        </is>
      </c>
      <c r="M143" s="110" t="inlineStr">
        <is>
          <t>rcfworks</t>
        </is>
      </c>
      <c r="N143" s="81" t="n"/>
      <c r="O143" s="80" t="inlineStr">
        <is>
          <t>P6-SEC-01</t>
        </is>
      </c>
      <c r="P143" s="80" t="inlineStr">
        <is>
          <t>Sponsors receive only the fields consent permits; the restriction is enforced in select, not in the UI</t>
        </is>
      </c>
      <c r="Q143" s="82" t="inlineStr">
        <is>
          <t>§26, Memory 04</t>
        </is>
      </c>
      <c r="R143" s="111" t="inlineStr">
        <is>
          <t>Sponsors get fan data only as counts (funnel groupBy, report folds event types); no query anywhere selects fanEmail and every RewardEvent read names its columns — pinned by backend/tests/fan-pii.test.ts, which fails the build otherwise. Phase 1 consent (reward-delivery) permits sponsors no fan fields; the sponsor-contact option is Phase 2 (2S6-BE-03). | 2026-09-24: Done at the user's instruction — acceptance confirmed met.</t>
        </is>
      </c>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Done</t>
        </is>
      </c>
      <c r="J144" s="108" t="n">
        <v>3</v>
      </c>
      <c r="K144" s="109" t="inlineStr">
        <is>
          <t>2026-09-23</t>
        </is>
      </c>
      <c r="L144" s="109" t="inlineStr">
        <is>
          <t>2026-09-23</t>
        </is>
      </c>
      <c r="M144" s="110" t="inlineStr">
        <is>
          <t>rcfworks</t>
        </is>
      </c>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Done</t>
        </is>
      </c>
      <c r="J145" s="108" t="n">
        <v>3</v>
      </c>
      <c r="K145" s="109" t="inlineStr">
        <is>
          <t>2026-09-23</t>
        </is>
      </c>
      <c r="L145" s="109" t="inlineStr">
        <is>
          <t>2026-09-23</t>
        </is>
      </c>
      <c r="M145" s="110" t="inlineStr">
        <is>
          <t>rcfworks</t>
        </is>
      </c>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Done</t>
        </is>
      </c>
      <c r="J147" s="108" t="n">
        <v>5</v>
      </c>
      <c r="K147" s="109" t="inlineStr">
        <is>
          <t>2026-09-23</t>
        </is>
      </c>
      <c r="L147" s="109" t="inlineStr">
        <is>
          <t>2026-09-23</t>
        </is>
      </c>
      <c r="M147" s="110" t="inlineStr">
        <is>
          <t>rcfworks</t>
        </is>
      </c>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Done</t>
        </is>
      </c>
      <c r="J149" s="108" t="n">
        <v>5</v>
      </c>
      <c r="K149" s="109" t="inlineStr">
        <is>
          <t>2026-09-28</t>
        </is>
      </c>
      <c r="L149" s="109" t="inlineStr">
        <is>
          <t>2026-09-28</t>
        </is>
      </c>
      <c r="M149" s="110" t="inlineStr">
        <is>
          <t>HeckerCreatives</t>
        </is>
      </c>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Done</t>
        </is>
      </c>
      <c r="J150" s="108" t="n">
        <v>3</v>
      </c>
      <c r="K150" s="109" t="inlineStr">
        <is>
          <t>2026-09-23</t>
        </is>
      </c>
      <c r="L150" s="109" t="inlineStr">
        <is>
          <t>2026-09-23</t>
        </is>
      </c>
      <c r="M150" s="110" t="inlineStr">
        <is>
          <t>rcfworks</t>
        </is>
      </c>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Verifying the last of an order's deliverables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Verifying the last of an order's deliverables (each created from the order's NIL job at acceptance) makes that order's earning ELIGIBLE, in full; the transition is audited</t>
        </is>
      </c>
      <c r="Q151" s="82" t="inlineStr">
        <is>
          <t>§13 step 11</t>
        </is>
      </c>
      <c r="R151" s="111" t="inlineStr">
        <is>
          <t>Wording amended 2026-09-24 (business decision: release on the last verified deliverable).</t>
        </is>
      </c>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Done</t>
        </is>
      </c>
      <c r="J152" s="108" t="n">
        <v>3</v>
      </c>
      <c r="K152" s="109" t="inlineStr">
        <is>
          <t>2026-09-23</t>
        </is>
      </c>
      <c r="L152" s="109" t="inlineStr">
        <is>
          <t>2026-09-23</t>
        </is>
      </c>
      <c r="M152" s="110" t="inlineStr">
        <is>
          <t>rcfworks</t>
        </is>
      </c>
      <c r="N152" s="85" t="n"/>
      <c r="O152" s="84" t="inlineStr">
        <is>
          <t>P2-BE-05</t>
        </is>
      </c>
      <c r="P152" s="84" t="inlineStr">
        <is>
          <t>Invoice and payment status flow Zoho → SponsorX and attach to the campaign; SponsorX never becomes the invoice system of record</t>
        </is>
      </c>
      <c r="Q152" s="86" t="inlineStr">
        <is>
          <t>§18</t>
        </is>
      </c>
      <c r="R152" s="111" t="inlineStr">
        <is>
          <t>2026-09-24: invoice reads gated on a new RBAC `invoice` resource — BTG admin + the invoiced sponsor only (business decision).</t>
        </is>
      </c>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Dropped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inlineStr">
        <is>
          <t>PARKED 2026-09-24 by business decision — retained, not dropped. Frontend browser PDF (report-pdf.ts) covers the demo; worker job picked up only if a server-rendered file becomes a requirement. | MOVED TO PHASE 2 on 2026-09-24 (user decision) as 2S7-BE-02. By its own AC it is not required in Phase 1: G-07 (P0-PMO-05) chose a print stylesheet, delivered by the browser PDF (report-pdf.ts).</t>
        </is>
      </c>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Done</t>
        </is>
      </c>
      <c r="J154" s="108" t="n">
        <v>3</v>
      </c>
      <c r="K154" s="109" t="inlineStr">
        <is>
          <t>2026-09-23</t>
        </is>
      </c>
      <c r="L154" s="109" t="inlineStr">
        <is>
          <t>2026-09-23</t>
        </is>
      </c>
      <c r="M154" s="110" t="inlineStr">
        <is>
          <t>rcfworks</t>
        </is>
      </c>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Done</t>
        </is>
      </c>
      <c r="J155" s="108" t="n">
        <v>1</v>
      </c>
      <c r="K155" s="109" t="inlineStr">
        <is>
          <t>2026-09-23</t>
        </is>
      </c>
      <c r="L155" s="109" t="inlineStr">
        <is>
          <t>2026-09-23</t>
        </is>
      </c>
      <c r="M155" s="110" t="inlineStr">
        <is>
          <t>rcfworks</t>
        </is>
      </c>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Done</t>
        </is>
      </c>
      <c r="J156" s="108" t="n">
        <v>3</v>
      </c>
      <c r="K156" s="109" t="inlineStr">
        <is>
          <t>2026-09-28</t>
        </is>
      </c>
      <c r="L156" s="109" t="inlineStr">
        <is>
          <t>2026-09-28</t>
        </is>
      </c>
      <c r="M156" s="110" t="inlineStr">
        <is>
          <t>HeckerCreatives</t>
        </is>
      </c>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Done</t>
        </is>
      </c>
      <c r="J157" s="108" t="n">
        <v>5</v>
      </c>
      <c r="K157" s="109" t="inlineStr">
        <is>
          <t>2026-09-28</t>
        </is>
      </c>
      <c r="L157" s="109" t="inlineStr">
        <is>
          <t>2026-09-28</t>
        </is>
      </c>
      <c r="M157" s="110" t="inlineStr">
        <is>
          <t>HeckerCreatives</t>
        </is>
      </c>
      <c r="N157" s="81" t="n"/>
      <c r="O157" s="80" t="inlineStr">
        <is>
          <t>P7-BE-03</t>
        </is>
      </c>
      <c r="P157" s="80" t="inlineStr">
        <is>
          <t>Earnings states, commission calculation, Zoho invoice references and reconciliation view all render from real data</t>
        </is>
      </c>
      <c r="Q157" s="82" t="inlineStr">
        <is>
          <t>§10, §23</t>
        </is>
      </c>
      <c r="R157" s="111" t="inlineStr">
        <is>
          <t>2026-09-28: read-only by design — payout actions stay blocked on the §37 payment policy. Zoho invoice refs + reconciliation render for BTG_ADMIN only: the RBAC matrix's 2026-09-24 decision denies FINANCE the invoice read; the FINANCE view says so. Confirm that's intended for a finance workspace.</t>
        </is>
      </c>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Done</t>
        </is>
      </c>
      <c r="J158" s="108" t="n">
        <v>5</v>
      </c>
      <c r="K158" s="109" t="inlineStr">
        <is>
          <t>2026-09-28</t>
        </is>
      </c>
      <c r="L158" s="109" t="inlineStr">
        <is>
          <t>2026-09-28</t>
        </is>
      </c>
      <c r="M158" s="110" t="inlineStr">
        <is>
          <t>HeckerCreatives</t>
        </is>
      </c>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Done</t>
        </is>
      </c>
      <c r="J159" s="108" t="n">
        <v>3</v>
      </c>
      <c r="K159" s="109" t="inlineStr">
        <is>
          <t>2026-09-28</t>
        </is>
      </c>
      <c r="L159" s="109" t="inlineStr">
        <is>
          <t>2026-09-28</t>
        </is>
      </c>
      <c r="M159" s="110" t="inlineStr">
        <is>
          <t>HeckerCreatives</t>
        </is>
      </c>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Done</t>
        </is>
      </c>
      <c r="J160" s="108" t="n">
        <v>3</v>
      </c>
      <c r="K160" s="109" t="inlineStr">
        <is>
          <t>2026-09-28</t>
        </is>
      </c>
      <c r="L160" s="109" t="inlineStr">
        <is>
          <t>2026-09-28</t>
        </is>
      </c>
      <c r="M160" s="110" t="inlineStr">
        <is>
          <t>HeckerCreatives</t>
        </is>
      </c>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Done</t>
        </is>
      </c>
      <c r="J161" s="108" t="n">
        <v>3</v>
      </c>
      <c r="K161" s="109" t="inlineStr">
        <is>
          <t>2026-09-28</t>
        </is>
      </c>
      <c r="L161" s="109" t="inlineStr">
        <is>
          <t>2026-09-28</t>
        </is>
      </c>
      <c r="M161" s="110" t="inlineStr">
        <is>
          <t>HeckerCreatives</t>
        </is>
      </c>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Done</t>
        </is>
      </c>
      <c r="J162" s="108" t="n">
        <v>1</v>
      </c>
      <c r="K162" s="109" t="inlineStr">
        <is>
          <t>2026-09-23</t>
        </is>
      </c>
      <c r="L162" s="109" t="inlineStr">
        <is>
          <t>2026-09-23</t>
        </is>
      </c>
      <c r="M162" s="110" t="inlineStr">
        <is>
          <t>rcfworks</t>
        </is>
      </c>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Done</t>
        </is>
      </c>
      <c r="J163" s="108" t="n">
        <v>1</v>
      </c>
      <c r="K163" s="109" t="inlineStr">
        <is>
          <t>2026-09-23</t>
        </is>
      </c>
      <c r="L163" s="109" t="inlineStr">
        <is>
          <t>2026-09-23</t>
        </is>
      </c>
      <c r="M163" s="110" t="inlineStr">
        <is>
          <t>rcfworks</t>
        </is>
      </c>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Done</t>
        </is>
      </c>
      <c r="J164" s="108" t="n">
        <v>5</v>
      </c>
      <c r="K164" s="109" t="inlineStr">
        <is>
          <t>2026-09-24</t>
        </is>
      </c>
      <c r="L164" s="109" t="inlineStr">
        <is>
          <t>2026-09-24</t>
        </is>
      </c>
      <c r="M164" s="110" t="inlineStr">
        <is>
          <t>rcfworks</t>
        </is>
      </c>
      <c r="N164" s="85" t="n">
        <v>4</v>
      </c>
      <c r="O164" s="84" t="inlineStr">
        <is>
          <t>P0-PMO-08, P2-BE-05</t>
        </is>
      </c>
      <c r="P164" s="84" t="inlineStr">
        <is>
          <t>Accounts, Contacts, Deals and Tasks push from the worker with SponsorX_ID as the dedupe key</t>
        </is>
      </c>
      <c r="Q164" s="86" t="inlineStr">
        <is>
          <t>§18</t>
        </is>
      </c>
      <c r="R164" s="111" t="inlineStr">
        <is>
          <t>Blocked on SponsorX-Zoho-Field-Mapping.md open decisions O-2 (Campaign as Deal — needs sign-off) and O-5 (Zoho user mapping / record ownership — UNRESOLVED; otherwise CRM records land ownerless and nobody is notified). O-6: no sandbox org exists, so any push writes to production Zoho. The document states these must be closed before dependent code is written. | 2026-09-24: Built 2026-09-24. Worker-only client src/lib/zoho.ts + src/domain/zoho-sync.ts. Accounts, Contacts, Deals and Tasks push from the worker; every create is an upsert with duplicate_check_fields=SponsorX_ID (Tasks: Zoho's upsert endpoint refuses Activities — found live — so the same key is deduped by find-then-write). Parents first (account→contact→deal→task). Triggered on the request path only by ENQUEUE, in the transition's own transaction: brief QUALIFIED/APPROVED/CLOSED, campaign created/cancelled/launched (zoho.pushDeal), follow-up/approval/renewal SyncTasks (zoho.pushTask). O-2 adopted (Campaign = Deal), O-5 decided (User.zohoUserId, task owner = acting staff). Proven: tests/zoho-sync.test.ts on a real DB from the domain call through the outbox into the worker handlers; AND a live run against the SponsorX-Dev sandbox 2026-09-24 — all four created, re-push after losing our id updated the same Deal (1 record), test records deleted. | 2026-09-24: Done at the user's instruction — acceptance confirmed met.</t>
        </is>
      </c>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Done</t>
        </is>
      </c>
      <c r="J165" s="108" t="n">
        <v>3</v>
      </c>
      <c r="K165" s="109" t="inlineStr">
        <is>
          <t>2026-09-24</t>
        </is>
      </c>
      <c r="L165" s="109" t="inlineStr">
        <is>
          <t>2026-09-24</t>
        </is>
      </c>
      <c r="M165" s="110" t="inlineStr">
        <is>
          <t>rcfworks</t>
        </is>
      </c>
      <c r="N165" s="81" t="n">
        <v>1</v>
      </c>
      <c r="O165" s="80" t="inlineStr">
        <is>
          <t>P8-INT-01</t>
        </is>
      </c>
      <c r="P165" s="80" t="inlineStr">
        <is>
          <t>The route verifies the signature, writes to our own database and enqueues — it never calls Zoho</t>
        </is>
      </c>
      <c r="Q165" s="82" t="inlineStr">
        <is>
          <t>Guide §07</t>
        </is>
      </c>
      <c r="R165" s="111" t="inlineStr">
        <is>
          <t>2026-09-24: POST /api/v1/webhooks/zoho/crm (Notifications API). Verifies the channel token (constant-time) and channel id Zoho echoes on every callback — CRM notifications carry no HMAC — then writes a WebhookDelivery and enqueues zoho.ingestCrm in one transaction. Never calls Zoho: tests/zoho-boundary.test.ts walks the import graph from src/app.ts and fails if lib/zoho or zoho-sync is reachable (mutation-checked). The worker subscribes/renews the channel itself; the exact watch request was accepted by the live sandbox 2026-09-24 (renewing replaces, not duplicates) and removed. Staging holds ZOHO_NOTIFY_*; a live end-to-end callback lands with the first staging deploy of this code. | 2026-09-24: Done at the user's instruction — acceptance confirmed met.</t>
        </is>
      </c>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Done</t>
        </is>
      </c>
      <c r="J166" s="108" t="n">
        <v>5</v>
      </c>
      <c r="K166" s="109" t="n">
        <v>46311</v>
      </c>
      <c r="L166" s="109" t="n">
        <v>46311</v>
      </c>
      <c r="M166" s="110" t="inlineStr">
        <is>
          <t>rcfworks</t>
        </is>
      </c>
      <c r="N166" s="85" t="n">
        <v>2</v>
      </c>
      <c r="O166" s="84" t="inlineStr">
        <is>
          <t>all phases</t>
        </is>
      </c>
      <c r="P166" s="84" t="inlineStr">
        <is>
          <t>All fourteen §30 criteria demonstrated and recorded</t>
        </is>
      </c>
      <c r="Q166" s="86" t="inlineStr">
        <is>
          <t>§30</t>
        </is>
      </c>
      <c r="R166" s="111" t="inlineStr">
        <is>
          <t>2026-10-16 DONE (rcfworks, signed off by the user): SponsorX-Phase1-Acceptance.md — all 14 §30 criteria demonstrated: 1,048/1,048 backend tests in 39 files + new phase1-acceptance.test.ts (3/3); Phase 1 e2e loops green on main (CI 38857461531); Zoho live in the sandbox (2026-10-09 run). #2 SX jobs = configured by reviewed code change (user's decision). | 2026-10-09 AUDIT: NOT MET — no Phase 1 §30 acceptance record exists in the repo (Phase 2 has documentation/SponsorX-Phase2-Acceptance-Signoff.md; Phase 1 has none). §30 is in the Blueprint (Drive), not the repo. This is the work to do: the Phase 1 counterpart of that sign-off record.</t>
        </is>
      </c>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Done</t>
        </is>
      </c>
      <c r="J167" s="108" t="n">
        <v>1</v>
      </c>
      <c r="K167" s="109" t="inlineStr">
        <is>
          <t>2026-09-24</t>
        </is>
      </c>
      <c r="L167" s="109" t="inlineStr">
        <is>
          <t>2026-09-24</t>
        </is>
      </c>
      <c r="M167" s="110" t="inlineStr">
        <is>
          <t>rcfworks</t>
        </is>
      </c>
      <c r="N167" s="81" t="n">
        <v>1</v>
      </c>
      <c r="O167" s="80" t="inlineStr">
        <is>
          <t>P8-INT-03</t>
        </is>
      </c>
      <c r="P167" s="80" t="inlineStr">
        <is>
          <t>Every inbound attempt is recorded as RECEIVED / REJECTED / APPLIED, valid or not</t>
        </is>
      </c>
      <c r="Q167" s="82" t="inlineStr">
        <is>
          <t>§20</t>
        </is>
      </c>
      <c r="R167" s="111" t="inlineStr">
        <is>
          <t>2026-09-24: Every inbound attempt is a WebhookDelivery row: RECEIVED when verified and parsed; REJECTED for a bad token/channel/signature or a malformed body (both webhooks now — the invoice route used to 401 without recording); the worker then sets APPLIED, REJECTED (names nothing we know) or FAILED (retried). Secrets carried in a body are never stored. tests/zoho-webhook.test.ts on a real DB. | 2026-09-24: Done at the user's instruction — acceptance confirmed met.</t>
        </is>
      </c>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Done</t>
        </is>
      </c>
      <c r="J168" s="108" t="n">
        <v>3</v>
      </c>
      <c r="K168" s="109" t="inlineStr">
        <is>
          <t>2026-09-28</t>
        </is>
      </c>
      <c r="L168" s="109" t="inlineStr">
        <is>
          <t>2026-09-28</t>
        </is>
      </c>
      <c r="M168" s="110" t="inlineStr">
        <is>
          <t>HeckerCreatives</t>
        </is>
      </c>
      <c r="N168" s="85" t="n">
        <v>1</v>
      </c>
      <c r="O168" s="84" t="inlineStr">
        <is>
          <t>P8-INT-04</t>
        </is>
      </c>
      <c r="P168" s="84" t="inlineStr">
        <is>
          <t>Sync state, failed deliveries and queue health render in the admin portal</t>
        </is>
      </c>
      <c r="Q168" s="86" t="inlineStr">
        <is>
          <t>§23</t>
        </is>
      </c>
      <c r="R168" s="111" t="inlineStr">
        <is>
          <t>2026-09-24: dependency P8-INT-04 built (Code review) — WebhookDelivery rows and the nightly ZohoReconciliation report are what this view reads.</t>
        </is>
      </c>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Done</t>
        </is>
      </c>
      <c r="J169" s="108" t="n">
        <v>3</v>
      </c>
      <c r="K169" s="109" t="inlineStr">
        <is>
          <t>2026-09-24</t>
        </is>
      </c>
      <c r="L169" s="109" t="inlineStr">
        <is>
          <t>2026-09-24</t>
        </is>
      </c>
      <c r="M169" s="110" t="inlineStr">
        <is>
          <t>rcfworks</t>
        </is>
      </c>
      <c r="N169" s="81" t="n">
        <v>1</v>
      </c>
      <c r="O169" s="80" t="inlineStr">
        <is>
          <t>P8-INT-01</t>
        </is>
      </c>
      <c r="P169" s="80" t="inlineStr">
        <is>
          <t>A write that originated in Zoho and whose hash is unchanged is dropped as an echo — the ping-pong loop cannot start</t>
        </is>
      </c>
      <c r="Q169" s="82" t="inlineStr">
        <is>
          <t>Guide §07</t>
        </is>
      </c>
      <c r="R169" s="111" t="inlineStr">
        <is>
          <t>2026-09-24: lastSyncOrigin + lastSyncHash over one shared projection per object (zoho-mapping.ts), so a hash means the same thing in both directions. Outbound: a row Zoho wrote last with an unchanged hash is dropped as an echo; inbound: our own write coming back is dropped. Plus: a push asserts Stage only if OUR row changed since the last sync — a redelivered job cannot revert sales' stage (found by the settle test). Conflicts on both sides go to AuditLog as sync.conflict with SoR winner. Proven by tests/zoho-sync.test.ts ('left to run, push → notify → apply settles') and live: inbound of our own sandbox deal = echo. | 2026-09-24: Done at the user's instruction — acceptance confirmed met.</t>
        </is>
      </c>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Done</t>
        </is>
      </c>
      <c r="J170" s="108" t="n">
        <v>3</v>
      </c>
      <c r="K170" s="109" t="n"/>
      <c r="L170" s="163" t="n">
        <v>46302</v>
      </c>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 | 2026-10-09 AUDIT: DONE — every clause met by 2S8-OPS-01 on 2026-10-07: staging PITR restore matched live and was usable in ~9.5 min; a test alert reached Slack (health-monitor run 37584104464); rollback exercised (41 s, roll-forward 51 s). Its dependency P2-OPS-11 is Done (2026-10-08). The Railway $50 hard-limit note is carried to P8-PMO-06 (go-live), where real users first depend on it.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Done</t>
        </is>
      </c>
      <c r="J171" s="108" t="n">
        <v>5</v>
      </c>
      <c r="K171" s="109" t="n">
        <v>46311</v>
      </c>
      <c r="L171" s="109" t="n">
        <v>46311</v>
      </c>
      <c r="M171" s="110" t="inlineStr">
        <is>
          <t>rcfworks</t>
        </is>
      </c>
      <c r="N171" s="81" t="n">
        <v>1</v>
      </c>
      <c r="O171" s="80" t="inlineStr">
        <is>
          <t>P8-QA-01</t>
        </is>
      </c>
      <c r="P171" s="80" t="inlineStr">
        <is>
          <t>Scripts exist for athlete, sponsor, admin and fan journeys; run with real pilot users on staging</t>
        </is>
      </c>
      <c r="Q171" s="82" t="inlineStr">
        <is>
          <t>§29 Sprint 7, §38</t>
        </is>
      </c>
      <c r="R171" s="111" t="inlineStr">
        <is>
          <t>2026-10-16 DONE (rcfworks, the user's decision): scripts in SponsorX-Phase1-UAT-Scripts.md (28 steps, mapped to §30). The run is met by Phase 2's simulated-user run on staging (2026-10-09: sign-up, Zoho, cross-tenant) plus the daily e2e loops in CI (application, matching, delivery, QR reward, earnings and report). Scripts stay ready for BTG's real pilot.</t>
        </is>
      </c>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Done</t>
        </is>
      </c>
      <c r="J172" s="108" t="n">
        <v>3</v>
      </c>
      <c r="K172" s="109" t="inlineStr">
        <is>
          <t>2026-09-24</t>
        </is>
      </c>
      <c r="L172" s="109" t="inlineStr">
        <is>
          <t>2026-09-24</t>
        </is>
      </c>
      <c r="M172" s="110" t="inlineStr">
        <is>
          <t>rcfworks</t>
        </is>
      </c>
      <c r="N172" s="85" t="n">
        <v>1</v>
      </c>
      <c r="O172" s="84" t="inlineStr">
        <is>
          <t>all phase BE tasks</t>
        </is>
      </c>
      <c r="P172" s="84" t="inlineStr">
        <is>
          <t>Every resource added across Phases 3–7 has its rows; the suite is a required CI check</t>
        </is>
      </c>
      <c r="Q172" s="86" t="inlineStr">
        <is>
          <t>§30, Guide §09</t>
        </is>
      </c>
      <c r="R172" s="111" t="inlineStr">
        <is>
          <t>2026-09-24: Matrix completed: new resources inquiry and syncTask (BTG-side only) in RBAC-Matrix §11 and policy.ts; digest f6af9e4293912f8b — with the two removed it still hashes to 441c358e69d81f98, so nothing else moved. tests/authz.coverage.test.ts fails if any Prisma model lacks a governing resource (or an explicit internal reason). Runs in CI on every push and PR. NOTE: 'required' check in the GitHub branch-protection sense cannot be switched on — this private repo on a Free personal account has no branch protection or rulesets (needs GitHub Pro); it is required by discipline, and a red suite fails the PR's CI run. | 2026-09-24: Done at the user's instruction — acceptance confirmed met.</t>
        </is>
      </c>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Done</t>
        </is>
      </c>
      <c r="J173" s="108" t="n">
        <v>3</v>
      </c>
      <c r="K173" s="109" t="inlineStr">
        <is>
          <t>2026-09-24</t>
        </is>
      </c>
      <c r="L173" s="109" t="inlineStr">
        <is>
          <t>2026-09-24</t>
        </is>
      </c>
      <c r="M173" s="110" t="inlineStr">
        <is>
          <t>rcfworks</t>
        </is>
      </c>
      <c r="N173" s="81" t="n"/>
      <c r="O173" s="80" t="inlineStr">
        <is>
          <t>P3-DATA-01</t>
        </is>
      </c>
      <c r="P173" s="80" t="inlineStr">
        <is>
          <t>A representative, SIMULATED 25-athlete cohort and first sponsors exist in staging for UAT; the real cohort replaces it at launch through the same cohort:import path (amended 2026-09-24 — was 'the real first-25')</t>
        </is>
      </c>
      <c r="Q173" s="82" t="inlineStr">
        <is>
          <t>§36</t>
        </is>
      </c>
      <c r="R173" s="111" t="inlineStr">
        <is>
          <t>2026-09-24: Needs the REAL first-25 athlete cohort file (and first sponsors) from the user — cannot be invented. The tool is ready: `npm run cohort:import` (P3-DATA-01, Code review) ran on staging 2026-09-24 with 25 synthetic rows. Sponsors: the Zoho backfill (P8-INT-07) imports existing Zoho accounts into staging. | 2026-09-24: AC AMENDED by user decision ('whatever we can simulate, we simulate' — two-person team). DONE ON STAGING: backend/scripts/pilot-cohort-simulated.csv (25 athletes, 5 minors 16_17, DMV states, 8 sports, fictional schools, @example.com, fingerprint fdd733f3edbf) imported via cohort:import → 25 created, SUBMITTED in the review queue. The 25 synthetic pilot.* rows from the P3-DATA-01 test run were removed first. Sponsors: 5 fictional local businesses + contacts created in the SponsorX-Dev Zoho sandbox and pulled into staging by the backfill (5 + 5 created) — alongside the 10 Zoho sample accounts. | 2026-09-24: Done at the user's instruction — acceptance confirmed met.</t>
        </is>
      </c>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Done</t>
        </is>
      </c>
      <c r="J174" s="108" t="n">
        <v>3</v>
      </c>
      <c r="K174" s="109" t="inlineStr">
        <is>
          <t>2026-09-28</t>
        </is>
      </c>
      <c r="L174" s="109" t="inlineStr">
        <is>
          <t>2026-09-28</t>
        </is>
      </c>
      <c r="M174" s="110" t="inlineStr">
        <is>
          <t>HeckerCreatives</t>
        </is>
      </c>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Done</t>
        </is>
      </c>
      <c r="J175" s="108" t="n">
        <v>3</v>
      </c>
      <c r="K175" s="109" t="inlineStr">
        <is>
          <t>2026-09-24</t>
        </is>
      </c>
      <c r="L175" s="109" t="inlineStr">
        <is>
          <t>2026-09-24</t>
        </is>
      </c>
      <c r="M175" s="110" t="inlineStr">
        <is>
          <t>rcfworks</t>
        </is>
      </c>
      <c r="N175" s="81" t="n"/>
      <c r="O175" s="80" t="inlineStr">
        <is>
          <t>P8-INT-02</t>
        </is>
      </c>
      <c r="P175" s="80" t="inlineStr">
        <is>
          <t>A scheduled job detects and reports drift between the two systems rather than silently diverging</t>
        </is>
      </c>
      <c r="Q175" s="82" t="inlineStr">
        <is>
          <t>§18</t>
        </is>
      </c>
      <c r="R175" s="111" t="inlineStr">
        <is>
          <t>2026-09-24: Nightly (hourly sweep, once a day per tenant) reconcile() pages each module by SponsorX_ID and REPORTS — never repairs — missingInZoho, unknownInSponsorX and diverged fields; one ZohoReconciliation row per module + a worker log line. COQL cannot select on the external field (is not null / like refused — found live), so it pages the records API. Tests: drift of all three kinds detected, nothing on either side changed. Ran live against the sandbox: zero drift. | 2026-09-24: Done at the user's instruction — acceptance confirmed met.</t>
        </is>
      </c>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Done</t>
        </is>
      </c>
      <c r="J176" s="108" t="n">
        <v>3</v>
      </c>
      <c r="K176" s="109" t="inlineStr">
        <is>
          <t>2026-09-24</t>
        </is>
      </c>
      <c r="L176" s="109" t="inlineStr">
        <is>
          <t>2026-09-24</t>
        </is>
      </c>
      <c r="M176" s="110" t="inlineStr">
        <is>
          <t>rcfworks</t>
        </is>
      </c>
      <c r="N176" s="85" t="n"/>
      <c r="O176" s="84" t="inlineStr">
        <is>
          <t>P8-INT-01</t>
        </is>
      </c>
      <c r="P176" s="84" t="inlineStr">
        <is>
          <t>Inquiries create Zoho Leads; campaign closure creates a renewal Deal</t>
        </is>
      </c>
      <c r="Q176" s="86" t="inlineStr">
        <is>
          <t>§18, §13 step 12</t>
        </is>
      </c>
      <c r="R176" s="111" t="inlineStr">
        <is>
          <t>2026-09-24: New Inquiry model + public POST /api/v1/public/inquiries (rate-limited) → zoho.pushLead → Zoho Lead (Lead_Source from the org's real picklist). Campaign COMPLETED → zoho.pushRenewal → second Deal keyed renewal:&lt;id&gt;, Qualification, Existing Business, one-way; plus a RENEWAL task on it. Sponsor enquiries only — fan lead capture stays Phase 2 (2S6-INT-03). Proven in tests and live in the sandbox (Lead, renewal Deal and renewal Task created, then deleted). No frontend form yet — wiring one is FE work. | 2026-09-24: Done at the user's instruction — acceptance confirmed met.</t>
        </is>
      </c>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Done</t>
        </is>
      </c>
      <c r="J177" s="108" t="n">
        <v>3</v>
      </c>
      <c r="K177" s="109" t="inlineStr">
        <is>
          <t>2026-09-24</t>
        </is>
      </c>
      <c r="L177" s="109" t="inlineStr">
        <is>
          <t>2026-09-24</t>
        </is>
      </c>
      <c r="M177" s="110" t="inlineStr">
        <is>
          <t>rcfworks</t>
        </is>
      </c>
      <c r="N177" s="81" t="n"/>
      <c r="O177" s="80" t="inlineStr">
        <is>
          <t>P8-INT-01</t>
        </is>
      </c>
      <c r="P177" s="80" t="inlineStr">
        <is>
          <t>Existing Zoho records import as a job, run against staging first, and the job is kept — it will run more than once</t>
        </is>
      </c>
      <c r="Q177" s="82" t="inlineStr">
        <is>
          <t>Guide §10</t>
        </is>
      </c>
      <c r="R177" s="111" t="inlineStr">
        <is>
          <t>2026-09-24: BUILT, NOT YET RUN ON STAGING. zoho.backfill job (kept, re-runnable): Users → zohoUserId by email, Accounts → sponsors, Contacts → sponsor contacts; writes our SponsorX_ID back so later pushes dedupe onto the imported record; skips records carrying another environment's SponsorX_ID; 250ms between calls. `npm run zoho:backfill -w @sponsorx/backend`; production refuses without --confirm-production. Tests prove idempotence (re-run creates nothing). Staging already holds the SponsorX-Dev sandbox token (ZOHO_EXPECTED_ORG_ID pinned). NEXT: after merge to main deploys staging, run it there via railway ssh, then Code review — same path P3-DATA-01 took. | 2026-09-24: RUN ON STAGING after #45 deployed — against the SponsorX-Dev sandbox: 10 Accounts → sponsors, 10 Contacts → contacts, our SponsorX_ID written back; a second run created 0 (kept, re-runnable). Users step linked 0 (no staging user shares a Zoho user's email). Same deploy proved P8-INT-03 live: a sandbox account renamed via API reached POST /webhooks/zoho/crm, recorded APPLIED, sponsor renamed with origin ZOHO. | 2026-09-24: Done at the user's instruction — acceptance confirmed met.</t>
        </is>
      </c>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Done</t>
        </is>
      </c>
      <c r="J178" s="108" t="n">
        <v>3</v>
      </c>
      <c r="K178" s="109" t="inlineStr">
        <is>
          <t>2026-09-24</t>
        </is>
      </c>
      <c r="L178" s="109" t="inlineStr">
        <is>
          <t>2026-09-25</t>
        </is>
      </c>
      <c r="M178" s="110" t="inlineStr">
        <is>
          <t>rcfworks</t>
        </is>
      </c>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inlineStr">
        <is>
          <t>2026-09-24: Target built (P6-FE-02, script-free route handler). Load test runs against STAGING once this batch deploys (merge to main), then the result and the Cloudflare Workers decision (A10) are recorded here. | 2026-09-25: DONE ON STAGING — documentation/SponsorX-Fan-QR-Load-Test.md. autocannon bursts of 1/25/50/100/200 simultaneous fans on /r/&lt;token&gt;: up to 537 loads/s, 0 errors of 16,116, median ~355 ms (the Manila→Singapore edge→Virginia round trip), slowest 2.5% 480 ms. Cloudflare Workers trigger DEFERRED with data: threshold set (slowest 2.5% &gt;800 ms or &gt;1% errors at expected peak ~25 loads/s); tested &gt;20× peak. FOUND AND FIXED (#64/#65): rate limits keyed on Railway's edge node, not the fan — a 50-fan burst had 75% refused; now X-Real-IP, verified unspoofable and per-fan (120 served, then refused). | 2026-09-25: Done at the user's instruction — both acceptance clauses met (burst characterised; Workers trigger explicitly deferred with data).</t>
        </is>
      </c>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Done</t>
        </is>
      </c>
      <c r="J179" s="108" t="n">
        <v>1</v>
      </c>
      <c r="K179" s="109" t="inlineStr">
        <is>
          <t>2026-09-24</t>
        </is>
      </c>
      <c r="L179" s="109" t="inlineStr">
        <is>
          <t>2026-09-24</t>
        </is>
      </c>
      <c r="M179" s="110" t="inlineStr">
        <is>
          <t>rcfworks</t>
        </is>
      </c>
      <c r="N179" s="81" t="n"/>
      <c r="O179" s="80" t="inlineStr">
        <is>
          <t>P2-BE-07</t>
        </is>
      </c>
      <c r="P179" s="80" t="inlineStr">
        <is>
          <t>openapi.json is complete, generated from Zod contracts, and covers every /api/v1 endpoint</t>
        </is>
      </c>
      <c r="Q179" s="82" t="inlineStr">
        <is>
          <t>§38, Addendum A2</t>
        </is>
      </c>
      <c r="R179" s="111" t="inlineStr">
        <is>
          <t>All 70 /api/v1 operations registered from the Zod contracts (request bodies are the schemas handlers parse). backend/tests/openapi.coverage.test.ts walks the live Express routers and fails on any undocumented route or phantom path. | 2026-09-24: Done at the user's instruction — acceptance confirmed met.</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Done</t>
        </is>
      </c>
      <c r="J180" s="108" t="n">
        <v>3</v>
      </c>
      <c r="K180" s="109" t="inlineStr">
        <is>
          <t>2026-09-28</t>
        </is>
      </c>
      <c r="L180" s="109" t="inlineStr">
        <is>
          <t>2026-09-28</t>
        </is>
      </c>
      <c r="M180" s="110" t="inlineStr">
        <is>
          <t>HeckerCreatives</t>
        </is>
      </c>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Done</t>
        </is>
      </c>
      <c r="J181" s="108" t="n">
        <v>3</v>
      </c>
      <c r="K181" s="109" t="inlineStr">
        <is>
          <t>2026-09-28</t>
        </is>
      </c>
      <c r="L181" s="109" t="inlineStr">
        <is>
          <t>2026-09-28</t>
        </is>
      </c>
      <c r="M181" s="110" t="inlineStr">
        <is>
          <t>HeckerCreatives</t>
        </is>
      </c>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Done</t>
        </is>
      </c>
      <c r="J182" s="108" t="n">
        <v>3</v>
      </c>
      <c r="K182" s="109" t="inlineStr">
        <is>
          <t>2026-09-28</t>
        </is>
      </c>
      <c r="L182" s="109" t="inlineStr">
        <is>
          <t>2026-09-28</t>
        </is>
      </c>
      <c r="M182" s="110" t="inlineStr">
        <is>
          <t>HeckerCreatives</t>
        </is>
      </c>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Done</t>
        </is>
      </c>
      <c r="J183" s="108" t="n">
        <v>3</v>
      </c>
      <c r="K183" s="109" t="inlineStr">
        <is>
          <t>2026-10-02</t>
        </is>
      </c>
      <c r="L183" s="109" t="n">
        <v>46303</v>
      </c>
      <c r="M183" s="110" t="inlineStr">
        <is>
          <t>HeckerCreatives</t>
        </is>
      </c>
      <c r="N183" s="81" t="n"/>
      <c r="O183" s="80" t="inlineStr">
        <is>
          <t>all phases</t>
        </is>
      </c>
      <c r="P183" s="80" t="inlineStr">
        <is>
          <t>A developer who has never seen the project can run it locally and ship a change</t>
        </is>
      </c>
      <c r="Q183" s="82" t="inlineStr">
        <is>
          <t>§38</t>
        </is>
      </c>
      <c r="R183" s="111" t="inlineStr">
        <is>
          <t>2026-10-02 (HeckerCreatives, via Claude): Written: documentation/SponsorX-Developer-Handoff.md, plus npm run db:test (scripts/setup-test-db.mjs — the CI test database in one command, no psql). Verified by following it in a fresh clone: npm ci (39 s), env files, prisma generate + migrate, API /health 200, worker seeded (7 NIL jobs, 12 packages, 14 logins), web 200, frontend 958 + backend 2,155 tests green, lint + build green. Following it found and fixed: prisma:deploy ignored the root .env; frontend/.env.example named two variables nothing reads. NOT completed: the first sign-in — the Clerk development instance is at its 100-user cap ('user quota exceeded'), so no new identity can be created. Code review rather than Done until a person who has never seen the project follows it, and the Clerk cap is cleared. Moved to Done by the owner 2026-10-08.</t>
        </is>
      </c>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inlineStr">
        <is>
          <t>2026-10-09 AUDIT: Carried from P8-OPS-01: at go-live, raise or remove the Railway compute hard limit ($50, set 2026-09-23, stops ALL resources) and rely on the $25 email alert — a self-inflicted outage costs more than the overage once real users depend on it.</t>
        </is>
      </c>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Done</t>
        </is>
      </c>
      <c r="J185" s="108" t="n">
        <v>3</v>
      </c>
      <c r="K185" s="109" t="inlineStr">
        <is>
          <t>2026-10-02</t>
        </is>
      </c>
      <c r="L185" s="109" t="n">
        <v>46311</v>
      </c>
      <c r="M185" s="110" t="inlineStr">
        <is>
          <t>HeckerCreatives</t>
        </is>
      </c>
      <c r="N185" s="81" t="n"/>
      <c r="O185" s="80" t="inlineStr">
        <is>
          <t>P8-QA-01</t>
        </is>
      </c>
      <c r="P185" s="80" t="inlineStr">
        <is>
          <t>Every E2E test from Phases 3–7 runs green in one suite in CI</t>
        </is>
      </c>
      <c r="Q185" s="82" t="inlineStr">
        <is>
          <t>§38</t>
        </is>
      </c>
      <c r="R185" s="111" t="inlineStr">
        <is>
          <t>2026-10-16 DONE (verified by rcfworks at the user's instruction): main's CI run 38857461531 — Playwright 70 passed, 0 failed in one suite; stages 3-7 loops all green (loop-p3-application incl. the minor loop red on 10-02, loop-p4-matching, loop-p5-delivery, redeem-flow, loop-p7-earnings-report); skips are other-project or Phase 2 seed-only. 'Phases 3-7' = Phase 1 stages 3-7. | 2026-10-02 (HeckerCreatives, via Claude): Started — the suite is not green yet. Fixed: two test collisions that made the backend suite fail in parallel (next-public-apply reused notification-preferences' tenant id; tenant-isolation's positive control timed out under load). Backend 2,155/2,155 and frontend 958/958 green. Browser suite: 17 pass, 7 skip by design, 2 failed — the application loops' Instagram selector also matched the footer icon (fixed; adult loop passes). STILL RED: the minor application loop (loop-p3-application.spec.ts, 'a minor cannot go ACTIVE…') encodes the manual-review receipt that 2S1-FE-06 (rcfworks, 2026-10-01) deliberately replaced with the live auto-approval checklist; it needs rewriting to that flow by its owner. CI's e2e job runs once a day, on main.</t>
        </is>
      </c>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Done</t>
        </is>
      </c>
      <c r="J186" s="108" t="n">
        <v>3</v>
      </c>
      <c r="K186" s="109" t="inlineStr">
        <is>
          <t>2026-09-24</t>
        </is>
      </c>
      <c r="L186" s="109" t="inlineStr">
        <is>
          <t>2026-09-24</t>
        </is>
      </c>
      <c r="M186" s="110" t="inlineStr">
        <is>
          <t>rcfworks</t>
        </is>
      </c>
      <c r="N186" s="85" t="n"/>
      <c r="O186" s="84" t="inlineStr">
        <is>
          <t>P8-SEC-01</t>
        </is>
      </c>
      <c r="P186" s="84" t="inlineStr">
        <is>
          <t>No query in the codebase can reach another tenant's data — proven by test</t>
        </is>
      </c>
      <c r="Q186" s="86" t="inlineStr">
        <is>
          <t>§26, §30</t>
        </is>
      </c>
      <c r="R186" s="111" t="inlineStr">
        <is>
          <t>2026-09-24: FOUND AND FIXED A REAL CROSS-TENANT LEAK. whereFor() fragments were overwritten by callers' keys ({...whereFor(), id}): MATCHES_NOTHING={id:{in:[]}} became 'this id in any tenant' and 'own' scopes became 'any row in the tenant' — a tenant-B athlete read tenant A's full sponsor report. Fixed at the source: whereFor returns {AND:[scope]}. Proof: tests/tenant-isolation.test.ts — real API + real DB, every tenant-bound route × 4 tenant-B actors with tenant-A ids and valid bodies: never 2xx, nothing of A in any response, fingerprint of every tenant-A row unchanged; positive control as A's admin. tests/tenant-scope.static.test.ts — every request-path read carries its tenant or a reviewed tenant-scope note. Both go red with the fix reverted. Rate card now refuses an unreachable athlete instead of answering []. | 2026-09-24: Done at the user's instruction — acceptance confirmed met. | 2026-09-24 FOLLOW-UP (honest correction): the write half of the sweep was weaker than first reported — invalid test bodies returned 500 (ZodError had no status) and 500 was counted as a refusal. Fixed: validation errors now 400; bodies corrected; the sweep fails on any 400 or 500. Every write route × every tenant-B actor now reaches past validation and is refused, tenant-A fingerprint unchanged. Stays Done — now proven for writes too.</t>
        </is>
      </c>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Done</t>
        </is>
      </c>
      <c r="J187" s="108" t="n">
        <v>3</v>
      </c>
      <c r="K187" s="109" t="inlineStr">
        <is>
          <t>2026-09-24</t>
        </is>
      </c>
      <c r="L187" s="109" t="inlineStr">
        <is>
          <t>2026-09-24</t>
        </is>
      </c>
      <c r="M187" s="110" t="inlineStr">
        <is>
          <t>rcfworks</t>
        </is>
      </c>
      <c r="N187" s="81" t="n"/>
      <c r="O187" s="80" t="inlineStr">
        <is>
          <t>P6-FE-02</t>
        </is>
      </c>
      <c r="P187" s="80" t="inlineStr">
        <is>
          <t>Redeem page, tracking redirect, join form and public profiles reviewed for injection, enumeration and rate-limit exposure</t>
        </is>
      </c>
      <c r="Q187" s="82" t="inlineStr">
        <is>
          <t>§26</t>
        </is>
      </c>
      <c r="R187" s="111" t="inlineStr">
        <is>
          <t>2026-09-24: documentation/SponsorX-Public-Surface-Security-Review.md. Fixed: F1 every public rate limit counted the WEB SERVER not the fan (one bucket per event) → trusted forward via SPONSORX_EDGE_KEY (set on staging web+api; production when it goes live); F2 tracking destinations accepted javascript:/data: → http(s) only, also on resolve; F3 malformed bodies answered 500 → 400. Reviewed clean: SQL (Prisma/parameterised), HTML escaping (tested), redirects, token entropy (160/72 bits), limits on every public route, webhooks, fan PII. /join and public profiles are still fixture pages — re-check when P3-FE-01/03/05 wire them. | 2026-09-24: Done at the user's instruction — acceptance confirmed met. | 2026-10-09: SPONSORX_EDGE_KEY now set on production api + web too, so the F1 fix (each fan's own rate-limit bucket) is live in production.</t>
        </is>
      </c>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Done</t>
        </is>
      </c>
      <c r="J191" s="108" t="n">
        <v>1</v>
      </c>
      <c r="K191" s="109" t="inlineStr">
        <is>
          <t>2026-09-16</t>
        </is>
      </c>
      <c r="L191" s="109" t="inlineStr">
        <is>
          <t>2026-09-16</t>
        </is>
      </c>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Done</t>
        </is>
      </c>
      <c r="J192" s="108" t="n">
        <v>1</v>
      </c>
      <c r="K192" s="109" t="inlineStr">
        <is>
          <t>2026-09-16</t>
        </is>
      </c>
      <c r="L192" s="109" t="inlineStr">
        <is>
          <t>2026-09-16</t>
        </is>
      </c>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Done</t>
        </is>
      </c>
      <c r="J193" s="108" t="n">
        <v>1</v>
      </c>
      <c r="K193" s="109" t="inlineStr">
        <is>
          <t>2026-09-16</t>
        </is>
      </c>
      <c r="L193" s="109" t="inlineStr">
        <is>
          <t>2026-09-16</t>
        </is>
      </c>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Done</t>
        </is>
      </c>
      <c r="J194" s="108" t="n">
        <v>1</v>
      </c>
      <c r="K194" s="109" t="inlineStr">
        <is>
          <t>2026-09-16</t>
        </is>
      </c>
      <c r="L194" s="109" t="inlineStr">
        <is>
          <t>2026-09-16</t>
        </is>
      </c>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Done</t>
        </is>
      </c>
      <c r="J195" s="108" t="n">
        <v>1</v>
      </c>
      <c r="K195" s="109" t="inlineStr">
        <is>
          <t>2026-09-16</t>
        </is>
      </c>
      <c r="L195" s="109" t="inlineStr">
        <is>
          <t>2026-09-16</t>
        </is>
      </c>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Done</t>
        </is>
      </c>
      <c r="J196" s="108" t="n">
        <v>1</v>
      </c>
      <c r="K196" s="109" t="inlineStr">
        <is>
          <t>2026-09-17</t>
        </is>
      </c>
      <c r="L196" s="109" t="inlineStr">
        <is>
          <t>2026-09-17</t>
        </is>
      </c>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Done</t>
        </is>
      </c>
      <c r="J197" s="108" t="n">
        <v>1</v>
      </c>
      <c r="K197" s="109" t="inlineStr">
        <is>
          <t>2026-09-17</t>
        </is>
      </c>
      <c r="L197" s="109" t="inlineStr">
        <is>
          <t>2026-09-17</t>
        </is>
      </c>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Done</t>
        </is>
      </c>
      <c r="J198" s="108" t="n">
        <v>1</v>
      </c>
      <c r="K198" s="109" t="inlineStr">
        <is>
          <t>2026-09-23</t>
        </is>
      </c>
      <c r="L198" s="109" t="inlineStr">
        <is>
          <t>2026-09-23</t>
        </is>
      </c>
      <c r="M198" s="110" t="inlineStr">
        <is>
          <t>rcfworks</t>
        </is>
      </c>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Done</t>
        </is>
      </c>
      <c r="J199" s="108" t="n">
        <v>1</v>
      </c>
      <c r="K199" s="109" t="inlineStr">
        <is>
          <t>2026-09-24</t>
        </is>
      </c>
      <c r="L199" s="109" t="inlineStr">
        <is>
          <t>2026-09-24</t>
        </is>
      </c>
      <c r="M199" s="110" t="inlineStr">
        <is>
          <t>rcfworks</t>
        </is>
      </c>
      <c r="N199" s="81" t="n"/>
      <c r="O199" s="80" t="inlineStr">
        <is>
          <t>P6-SEC-01, P3-INT-01</t>
        </is>
      </c>
      <c r="P199" s="80" t="inlineStr">
        <is>
          <t>An unsubscribe link in every fan email works without login and in one tap; withdrawal is recorded against the same consent record with a timestamp; a withdrawn fan is excluded from any further contact at query level, not in the UI</t>
        </is>
      </c>
      <c r="Q199" s="82" t="inlineStr">
        <is>
          <t>§16, §26</t>
        </is>
      </c>
      <c r="R199" s="111" t="inlineStr">
        <is>
          <t>Signed one-tap link in every fan email (body + RFC 8058 List-Unsubscribe header) → web /u/:token (GET shows one button, POST withdraws; no login) → POST /api/v1/public/unsubscribe/:token. Withdrawal stamps consentWithdrawnAt on the same claim row, first tap wins, audited. Worker re-checks in SQL before any fan send. AC clause 3 amended: lead push moved to Phase 2. | 2026-09-24: Done at the user's instruction — acceptance confirmed met.</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Done</t>
        </is>
      </c>
      <c r="J202" s="108" t="n">
        <v>3</v>
      </c>
      <c r="K202" s="109" t="inlineStr">
        <is>
          <t>2026-09-18</t>
        </is>
      </c>
      <c r="L202" s="109" t="inlineStr">
        <is>
          <t>2026-09-18</t>
        </is>
      </c>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Done</t>
        </is>
      </c>
      <c r="J204" s="108" t="n">
        <v>1</v>
      </c>
      <c r="K204" s="109" t="n">
        <v>46302</v>
      </c>
      <c r="L204" s="109" t="n">
        <v>46302</v>
      </c>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 | 2026-10-07 DONE, all four clauses met. (1) Resend account under the BTG-controlled icarrefound address. (2) sponsorx.net verified, DKIM (resend._domainkey) and SPF (send.sponsorx.net, include of Resend's MX/SPF) resolving on 1.1.1.1. (3) RESEND_API_KEY and EMAIL_FROM set on the API in BOTH staging and production. (4) Inbox, not spam: today's support-mailbox sends (2S1-OPS-01) went out through Resend from noreply@sponsorx.net and arrived in the infinex1 inbox. DMARC is still absent; it is optional and not in the acceptance. Add _dmarc TXT 'v=DMARC1; p=none;' if a big mailbox starts filing us as spam.</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Done</t>
        </is>
      </c>
      <c r="J206" s="108" t="n">
        <v>2</v>
      </c>
      <c r="K206" s="109" t="inlineStr">
        <is>
          <t>2026-09-25</t>
        </is>
      </c>
      <c r="L206" s="109" t="inlineStr">
        <is>
          <t>2026-09-25</t>
        </is>
      </c>
      <c r="M206" s="110" t="inlineStr">
        <is>
          <t>rcfworks</t>
        </is>
      </c>
      <c r="N206" s="81" t="n">
        <v>2</v>
      </c>
      <c r="O206" s="80" t="n"/>
      <c r="P206" s="80" t="inlineStr">
        <is>
          <t>Slot prices and the four-way split signed off as numbers, not ranges; the back cover and presenting sponsor recorded as quantity one</t>
        </is>
      </c>
      <c r="Q206" s="82" t="inlineStr">
        <is>
          <t>Spec §5.2, §5.3, §12</t>
        </is>
      </c>
      <c r="R206" s="111" t="inlineStr">
        <is>
          <t>2026-09-25: SIMULATED (standing instruction: simulate what BTG would supply) — documentation/SponsorX-NEXT-Rate-Card-Decision.md. Single prices: quarter $250, half $500, full $800, back cover $1,000 (qty 1), presenting sponsor $3,000 (qty 1), Local Business Package $1,500. Split 40/30/20/10 (SponsorX/school/student pool/editorial) — matches the P1-FE-23 screen, not the source's 35/25/25/15 illustration. BTG replaces with real numbers when pricing edition one. | 2026-09-25: Done at the user's instruction — acceptance met (CI green, PR #73).</t>
        </is>
      </c>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Done</t>
        </is>
      </c>
      <c r="J207" s="108" t="n">
        <v>3</v>
      </c>
      <c r="K207" s="109" t="inlineStr">
        <is>
          <t>2026-09-25</t>
        </is>
      </c>
      <c r="L207" s="109" t="inlineStr">
        <is>
          <t>2026-09-25</t>
        </is>
      </c>
      <c r="M207" s="110" t="inlineStr">
        <is>
          <t>rcfworks</t>
        </is>
      </c>
      <c r="N207" s="81" t="n">
        <v>1</v>
      </c>
      <c r="O207" s="80" t="n"/>
      <c r="P207" s="80" t="inlineStr">
        <is>
          <t>A school can sign one document and start; editorial approval authority named explicitly</t>
        </is>
      </c>
      <c r="Q207" s="82" t="inlineStr">
        <is>
          <t>Spec §7, §12</t>
        </is>
      </c>
      <c r="R207" s="111" t="inlineStr">
        <is>
          <t>2026-09-25: SIMULATED working terms — documentation/SponsorX-NEXT-School-Programme-Terms.md. One document (the NEXT Programme Agreement), signed by the principal, naming one faculty advisor. EDITORIAL APPROVAL: the faculty advisor approves all school-specific content and student participation; SponsorX decides production/format (spec §5.2). Covers masthead ownership, unsold inventory (filled editorially, never charged, no carry-over), revenue split 40/30/20/10, student work licensing (students keep copyright; non-exclusive licence with guardian consent for minors). Legal review tracked separately, does not gate the build. | 2026-09-25: Done at the user's instruction — acceptance met (one document; editorial approval named: the faculty advisor).</t>
        </is>
      </c>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Done</t>
        </is>
      </c>
      <c r="J208" s="108" t="n">
        <v>2</v>
      </c>
      <c r="K208" s="109" t="inlineStr">
        <is>
          <t>2026-09-25</t>
        </is>
      </c>
      <c r="L208" s="109" t="inlineStr">
        <is>
          <t>2026-09-25</t>
        </is>
      </c>
      <c r="M208" s="110" t="inlineStr">
        <is>
          <t>rcfworks</t>
        </is>
      </c>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2026-09-25: NEXT_PACKAGES in backend/src/domain/sponsor-packages.ts, seeded by the worker on boot (seedPackages, same SQL as the athlete packages). NEXT-LOCAL-1500 + NEXT-AD-QUARTER/HALF/FULL/BACK-COVER + NEXT-PRESENTING: empty lineItems, 0 athletes, all inventory in includes; no schema change. tests/next-packages.test.ts: real seed SQL → rows; sponsor catalogue lists them; a brief on NEXT-LOCAL-1500 qualified → Zoho Deal 'Kim's Auto Care — NEXT Local Business Package — Oct 2026', Amount 1500; margin floor callable only from CampaignOrder creation (needs athlete + job). Mutation-checked. Prices SIMULATED via P9-PMO-01. | 2026-09-25: Done at the user's instruction — acceptance met (CI green, PR #73).</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Done</t>
        </is>
      </c>
      <c r="J209" s="108" t="n">
        <v>1</v>
      </c>
      <c r="K209" s="109" t="inlineStr">
        <is>
          <t>2026-09-25</t>
        </is>
      </c>
      <c r="L209" s="109" t="inlineStr">
        <is>
          <t>2026-10-02</t>
        </is>
      </c>
      <c r="M209" s="110" t="inlineStr">
        <is>
          <t>rcfworks</t>
        </is>
      </c>
      <c r="N209" s="81" t="n">
        <v>1</v>
      </c>
      <c r="O209" s="80" t="inlineStr">
        <is>
          <t>P9-PMO-02</t>
        </is>
      </c>
      <c r="P209" s="80" t="inlineStr">
        <is>
          <t>The pilot school exists as a Property, its advisor has a login, and it appears in the property portal</t>
        </is>
      </c>
      <c r="Q209" s="82" t="inlineStr">
        <is>
          <t>Spec §3</t>
        </is>
      </c>
      <c r="R209" s="111" t="inlineStr">
        <is>
          <t>2026-09-25: BACKEND DONE, FRONTEND STEP LEFT. Pilot school (SIMULATED: Northside High School, Bowie MD, slug northside-high) seeded as Property kind SCHOOL by the worker's environment seed (seedPilotSchool; never in production). Advisor = PROPERTY_MGR linked to it (not the gated ADVISOR role), email northside.advisor+clerk_test@example.com — a Clerk TEST address, so on the dev Clerk instance anyone signs in with code 424242. New: property scope builder (own = actor's linked property in actor's tenant), GET /api/v1/properties/mine, /me returns propertyId. tests/pilot-school.test.ts: seed idempotent; first sign-in claims the account; /properties/mine returns the school; unlinked, staff and a cross-tenant forged link all 404 (mutation-checked). No Zoho Account — field-mapping S-9 sends property as text. REMAINING for 'appears in the property portal': the /property pages still render fixtures — wire them to GET /properties/mine (frontend). | 2026-10-02 (HeckerCreatives, via Claude): Verified against every acceptance clause: the remaining step (the property portal reading GET /properties/mine) shipped with P3-FE-07; the advisor would see 'Northside High School · School · Bowie, MD'. pilot-school.test.ts green.</t>
        </is>
      </c>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inlineStr">
        <is>
          <t>2026-09-25: lifted FOR THE BUILD by the programme owner — all NEXT backend proceeds now. Row stays open as the record that edition one has not sold (P9-DATA-01).</t>
        </is>
      </c>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Done</t>
        </is>
      </c>
      <c r="J212" s="108" t="n">
        <v>3</v>
      </c>
      <c r="K212" s="109" t="inlineStr">
        <is>
          <t>2026-09-25</t>
        </is>
      </c>
      <c r="L212" s="109" t="inlineStr">
        <is>
          <t>2026-09-25</t>
        </is>
      </c>
      <c r="M212" s="110" t="inlineStr">
        <is>
          <t>rcfworks</t>
        </is>
      </c>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inlineStr">
        <is>
          <t>Stage 9 gate (P9-PMO-03) lifted for the build by the programme owner 2026-09-25. Publication (propertyId or null for regional) + Edition (closeDate, publishTarget, printDate, pageCount, three production conditions, threshold) + EditionState incl. PUBLISHED_DIGITAL (V1 is free digital). Pure state machine domain/edition-state.ts; IN_PRODUCTION refused unless contentReady+rightsCleared+revenueMet; sale after closeDate refused in the domain (assertCanSell) and in Postgres. Routes POST /publications, /publications/{id}/editions, GET /editions/{id}, POST /editions/{id}/conditions|transition. tests/next-editions.test.ts (mutation-checked). | 2026-09-25: Done at the user's instruction — acceptance met; tests green in CI.</t>
        </is>
      </c>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Done</t>
        </is>
      </c>
      <c r="J213" s="108" t="n">
        <v>5</v>
      </c>
      <c r="K213" s="109" t="inlineStr">
        <is>
          <t>2026-09-25</t>
        </is>
      </c>
      <c r="L213" s="109" t="inlineStr">
        <is>
          <t>2026-09-25</t>
        </is>
      </c>
      <c r="M213" s="110" t="inlineStr">
        <is>
          <t>rcfworks</t>
        </is>
      </c>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inlineStr">
        <is>
          <t>Stage 9 gate (P9-PMO-03) lifted for the build by the programme owner 2026-09-25. AdSlot ledger → Campaign (not CampaignOrder), integer cents, quantity CHECK = 1 (one row per position). DATABASE-ENFORCED (migration 20260925120000, copy prisma/sql/adslot_inventory.sql): partial unique index = one BACK_COVER + one PRESENTING per edition; trigger adslot_guard_sale refuses re-selling a sold slot, selling when the edition is not SELLING or past closeDate, and cross-tenant campaigns. POST /editions/{id}/sales sells exactly the positions the package's includes (P9-BE-01) promises, all or nothing, price spread across slots. Tests: raw second back cover refused; two racing sales → one wins; raw update to another buyer refused; $1,500 package takes its full page and is refused (nothing sold) when none is left. | 2026-09-25: Done at the user's instruction — acceptance met; tests green in CI.</t>
        </is>
      </c>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Done</t>
        </is>
      </c>
      <c r="J214" s="108" t="n">
        <v>5</v>
      </c>
      <c r="K214" s="109" t="inlineStr">
        <is>
          <t>2026-09-25</t>
        </is>
      </c>
      <c r="L214" s="109" t="inlineStr">
        <is>
          <t>2026-09-25</t>
        </is>
      </c>
      <c r="M214" s="110" t="inlineStr">
        <is>
          <t>rcfworks</t>
        </is>
      </c>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inlineStr">
        <is>
          <t>Stage 9 Batch B (gate lifted for the build 2026-09-25). tests/next-students.test.ts (21 tests, HTTP through real auth/scope, mutation-checked). Student model (own table; Athlete gains only a back-relation — no nullable half), StudentState = every AthleteState state and edge (asserted pairwise) + INACTIVE. Advisor-reviewed: SUBMITTED is the student's own move, every other move needs student.approve (the school's ADVISOR or BTG) — tested: student can't approve self, other school's advisor refused. Minor → ACTIVE needs linked AND verified Guardian via the same guardianReadiness rule (Guardian model reused; BTG verifies). Public POST /public/students/applications lands SUBMITTED at the school, echoes only {id,state}. | 2026-09-25: Done at the user's instruction — acceptance met; tests green in CI.</t>
        </is>
      </c>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Done</t>
        </is>
      </c>
      <c r="J215" s="108" t="n">
        <v>3</v>
      </c>
      <c r="K215" s="109" t="inlineStr">
        <is>
          <t>2026-09-25</t>
        </is>
      </c>
      <c r="L215" s="109" t="inlineStr">
        <is>
          <t>2026-09-25</t>
        </is>
      </c>
      <c r="M215" s="110" t="inlineStr">
        <is>
          <t>rcfworks</t>
        </is>
      </c>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Stage 9 Batch B (gate lifted for the build 2026-09-25). tests/next-students.test.ts (21 tests, HTTP through real auth/scope, mutation-checked). Roles STUDENT + ADVISOR in the Role enum, policy.ts and the matrix doc (§15 marked transcribed). User.studentId added (§15.5 watch-for). Policy: student / studentCode / saleAttribution / studentPoints per §15.2 + studentProspect (added to the matrix); ADVISOR/STUDENT own-property rows on publication/edition/adSlot/editionEvent. Field denials: every protected field incl. athleteRate.amount denied to both; new revenueSplit.amount field. Catalogued-resource assertion (authz.coverage) and money-boundary tests (authz.fields, sponsor-field-authz — now also sweeps every GET as STUDENT/ADVISOR for pay markers) GROWN, not deleted. Matrix digest re-pinned; with the new roles/resources removed it hashes to the previous value. | 2026-09-25: Done at the user's instruction — acceptance met; tests green in CI.</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Done</t>
        </is>
      </c>
      <c r="J216" s="108" t="n">
        <v>3</v>
      </c>
      <c r="K216" s="109" t="inlineStr">
        <is>
          <t>2026-09-25</t>
        </is>
      </c>
      <c r="L216" s="109" t="inlineStr">
        <is>
          <t>2026-09-25</t>
        </is>
      </c>
      <c r="M216" s="110" t="inlineStr">
        <is>
          <t>rcfworks</t>
        </is>
      </c>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inlineStr">
        <is>
          <t>Stage 9 gate (P9-PMO-03) lifted for the build by the programme owner 2026-09-25. RevenueSplit per edition (SPONSORX/SCHOOL/STUDENT_POOL/EDITORIAL_FUND, bps + computed cents, 40/30/20/10 per P9-PMO-01), computed from sold slots in the same transaction as the edition closing; largest-remainder so the four always sum to revenue; revenueMet set vs threshold. Test: close → four payees, Earning count unchanged; an athlete order in a NEXT campaign still creates an ordinary Earning. GET /editions/{id}/splits (FINANCE/BTG). | 2026-09-25: Done at the user's instruction — acceptance met; tests green in CI.</t>
        </is>
      </c>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Done</t>
        </is>
      </c>
      <c r="J217" s="108" t="n">
        <v>3</v>
      </c>
      <c r="K217" s="109" t="inlineStr">
        <is>
          <t>2026-09-25</t>
        </is>
      </c>
      <c r="L217" s="109" t="inlineStr">
        <is>
          <t>2026-09-25</t>
        </is>
      </c>
      <c r="M217" s="110" t="inlineStr">
        <is>
          <t>rcfworks</t>
        </is>
      </c>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inlineStr">
        <is>
          <t>Stage 9 Batch B (gate lifted for the build 2026-09-25). tests/next-students.test.ts (21 tests, HTTP through real auth/scope, mutation-checked). StudentCode: one unguessable code per student (a person's, across every sale). Public GET /public/s/{code} resolves it (ACTIVE students only; same 404 for unknown and departed). A brief carries studentCode (CampaignBrief.studentCodeId); the ad sale (sellCampaignSlots) writes the SalesAttribution in the SAME transaction. Test: two sales to two sponsors on one code → two rows, $1,000; a sale with no code credits nobody; a departed student's code is refused. TrackingLink.deliverableId still unique+required, RewardToken untouched (asserted from schema). | 2026-09-25: Done at the user's instruction — acceptance met; tests green in CI.</t>
        </is>
      </c>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Done</t>
        </is>
      </c>
      <c r="J219" s="108" t="n">
        <v>3</v>
      </c>
      <c r="K219" s="109" t="inlineStr">
        <is>
          <t>2026-09-25</t>
        </is>
      </c>
      <c r="L219" s="109" t="inlineStr">
        <is>
          <t>2026-09-25</t>
        </is>
      </c>
      <c r="M219" s="110" t="inlineStr">
        <is>
          <t>rcfworks</t>
        </is>
      </c>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Stage 9 gate (P9-PMO-03) lifted for the build by the programme owner 2026-09-25. DECIDED and written in domain/campaign-state.ts: a NEXT sale is an ordinary Campaign with NO CampaignOrder; an AD-ONLY campaign (0 orders, ≥1 sold slot) may go DRAFT → APPROVAL, skipping STAFFING; campaigns with athlete work, or with nothing sold, cannot. Test: brief on NEXT-AD-HALF → campaign → slot sold → APPROVAL → launch → REPORTING → COMPLETED, with 0 orders, 0 invites, 0 earnings. | 2026-09-25: Done at the user's instruction — acceptance met; tests green in CI.</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Done</t>
        </is>
      </c>
      <c r="J220" s="108" t="n">
        <v>5</v>
      </c>
      <c r="K220" s="109" t="n">
        <v>46294</v>
      </c>
      <c r="L220" s="109" t="n">
        <v>46296</v>
      </c>
      <c r="M220" s="110" t="inlineStr">
        <is>
          <t>rcfworks</t>
        </is>
      </c>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 Designed 2026-09-29 by Claude Design from the programme owner's brief: https://claude.ai/artifact/JJ3fteuVxQM39Ysj7k7GAz — landing, apply wizard, schools proposal; dark and light, desktop and phone, every state, plus a US Letter print version.</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Done</t>
        </is>
      </c>
      <c r="J221" s="108" t="n">
        <v>2</v>
      </c>
      <c r="K221" s="109" t="inlineStr">
        <is>
          <t>2026-09-23</t>
        </is>
      </c>
      <c r="L221" s="109" t="inlineStr">
        <is>
          <t>2026-09-23</t>
        </is>
      </c>
      <c r="M221" s="110" t="inlineStr">
        <is>
          <t>HeckerCreatives</t>
        </is>
      </c>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 Built 2026-09-23 alongside P1-FE-19: --sx-next/--sx-next-soft token pair, both Portal declarations agree, four glyphs in ICONS. Contrast re-run both themes; Frost -soft is fills-only (4.48 as text, under AA).</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Done</t>
        </is>
      </c>
      <c r="J222" s="108" t="n">
        <v>5</v>
      </c>
      <c r="K222" s="109" t="inlineStr">
        <is>
          <t>2026-09-23</t>
        </is>
      </c>
      <c r="L222" s="109" t="inlineStr">
        <is>
          <t>2026-09-23</t>
        </is>
      </c>
      <c r="M222" s="110" t="inlineStr">
        <is>
          <t>HeckerCreatives</t>
        </is>
      </c>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 Built 2026-09-23 on the house system (no student-portal mockups exist) - re-check when P1-ART-08 lands. Bottom tab bar at &lt;md. Points detail is P1-FE-30; disabled controls name their Stage 9 wiring row.</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Done</t>
        </is>
      </c>
      <c r="J223" s="108" t="n">
        <v>3</v>
      </c>
      <c r="K223" s="109" t="inlineStr">
        <is>
          <t>2026-09-24</t>
        </is>
      </c>
      <c r="L223" s="109" t="inlineStr">
        <is>
          <t>2026-09-24</t>
        </is>
      </c>
      <c r="M223" s="110" t="inlineStr">
        <is>
          <t>HeckerCreatives</t>
        </is>
      </c>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 Built 2026-09-24. ApprovalsDesk reused unchanged for content review; sixth Portal member 'advisor' shares the NEXT violet (ADVISOR role is Stage 9; BTG admins preview, same as /next). Applications render note-first, decisions disabled naming P9-FE-02.</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Done</t>
        </is>
      </c>
      <c r="J224" s="108" t="n">
        <v>5</v>
      </c>
      <c r="K224" s="109" t="inlineStr">
        <is>
          <t>2026-09-24</t>
        </is>
      </c>
      <c r="L224" s="109" t="inlineStr">
        <is>
          <t>2026-09-24</t>
        </is>
      </c>
      <c r="M224" s="110" t="inlineStr">
        <is>
          <t>HeckerCreatives</t>
        </is>
      </c>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 Built 2026-09-24 as a live flatplan. editionPages fixture is the single source; invariants suite pins the student portal's numbers and Jordan's ledger rows to the map. Spec: docs/superpowers/specs/2026-09-24-edition-page-map-design.md.</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Done</t>
        </is>
      </c>
      <c r="J225" s="108" t="n">
        <v>3</v>
      </c>
      <c r="K225" s="109" t="inlineStr">
        <is>
          <t>2026-09-24</t>
        </is>
      </c>
      <c r="L225" s="109" t="inlineStr">
        <is>
          <t>2026-09-24</t>
        </is>
      </c>
      <c r="M225" s="110" t="inlineStr">
        <is>
          <t>HeckerCreatives</t>
        </is>
      </c>
      <c r="N225" s="81" t="n">
        <v>1</v>
      </c>
      <c r="O225" s="80" t="inlineStr">
        <is>
          <t>P1-FE-18</t>
        </is>
      </c>
      <c r="P225" s="80" t="inlineStr">
        <is>
          <t>Every slot's state and buyer readable in one list; filter-kit reused rather than rebuilt</t>
        </is>
      </c>
      <c r="Q225" s="82" t="inlineStr">
        <is>
          <t>Spec §8</t>
        </is>
      </c>
      <c r="R225" s="111" t="inlineStr">
        <is>
          <t>Built 2026-09-24. filter-kit reused (SearchInput/Dropdown/FilterChip, admin tone); renders from the same editionPages fixture as the flatplan; Map-&gt; deep-links rows to the page drawer (?open=N). Table scrolls in its own container; page-level no-horizontal-scroll verified at 390/470/768.</t>
        </is>
      </c>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Done</t>
        </is>
      </c>
      <c r="J226" s="108" t="n">
        <v>3</v>
      </c>
      <c r="K226" s="109" t="inlineStr">
        <is>
          <t>2026-09-24</t>
        </is>
      </c>
      <c r="L226" s="109" t="inlineStr">
        <is>
          <t>2026-09-24</t>
        </is>
      </c>
      <c r="M226" s="110" t="inlineStr">
        <is>
          <t>HeckerCreatives</t>
        </is>
      </c>
      <c r="N226" s="81" t="n">
        <v>1</v>
      </c>
      <c r="O226" s="80" t="inlineStr">
        <is>
          <t>P1-FE-18</t>
        </is>
      </c>
      <c r="P226" s="80" t="inlineStr">
        <is>
          <t>A split reads per edition and is visibly distinct from the athlete earnings surface</t>
        </is>
      </c>
      <c r="Q226" s="82" t="inlineStr">
        <is>
          <t>Spec §5.3, §8</t>
        </is>
      </c>
      <c r="R226" s="111" t="inlineStr">
        <is>
          <t>Built 2026-09-24. Amounts derive from bps at render time (tests pin bps sum and remainder-free allocation); visibly unlike earnings per the acceptance - allocation bar + bps language + boundary card. P9-FE-05 wires.</t>
        </is>
      </c>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Done</t>
        </is>
      </c>
      <c r="J227" s="108" t="n">
        <v>3</v>
      </c>
      <c r="K227" s="109" t="n">
        <v>46294</v>
      </c>
      <c r="L227" s="109" t="n">
        <v>46296</v>
      </c>
      <c r="M227" s="110" t="inlineStr">
        <is>
          <t>rcfworks</t>
        </is>
      </c>
      <c r="N227" s="81" t="n"/>
      <c r="O227" s="80" t="inlineStr">
        <is>
          <t>P1-ART-08</t>
        </is>
      </c>
      <c r="P227" s="80" t="inlineStr">
        <is>
          <t>Both audiences have a clear next step; works at 390px</t>
        </is>
      </c>
      <c r="Q227" s="82" t="inlineStr">
        <is>
          <t>Spec §8, §9.5</t>
        </is>
      </c>
      <c r="R227" s="111" t="inlineStr">
        <is>
          <t xml:space="preserve"> Built 2026-09-29 at /next/about (the student portal owns /next — spec §8 listed both there). Latest editions from the new GET /public/next/editions. Walked locally, desktop and phone.</t>
        </is>
      </c>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Done</t>
        </is>
      </c>
      <c r="J228" s="108" t="n">
        <v>3</v>
      </c>
      <c r="K228" s="109" t="n">
        <v>46294</v>
      </c>
      <c r="L228" s="109" t="n">
        <v>46296</v>
      </c>
      <c r="M228" s="110" t="inlineStr">
        <is>
          <t>rcfworks</t>
        </is>
      </c>
      <c r="N228" s="81" t="n">
        <v>1</v>
      </c>
      <c r="O228" s="80" t="inlineStr">
        <is>
          <t>P1-ART-08</t>
        </is>
      </c>
      <c r="P228" s="80" t="inlineStr">
        <is>
          <t>A student completes the wizard on a phone against fixtures; the guardian step appears on the existing minor rule</t>
        </is>
      </c>
      <c r="Q228" s="82" t="inlineStr">
        <is>
          <t>Spec §8, §5.1</t>
        </is>
      </c>
      <c r="R228" s="111" t="inlineStr">
        <is>
          <t xml:space="preserve"> Built 2026-09-29 at /next/apply, phone-first: about you, school (live list, GET /public/next/schools), roles, guardian (only under 18, the API's own rule), review, confirmation; progress saves on the device. Not built (noted): emailed resume link, guardian consent email, 'my school isn't here' waitlist. Walked locally on a phone. | 2026-10-02 (HeckerCreatives, via Claude): Post-close audit fix: the API's minor rule added 18 years in local time, the two wizard copies in UTC — they disagreed across a DST-rule change (US 2007). Now UTC; minor-rule-parity.test.ts holds all three copies to one answer.</t>
        </is>
      </c>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Done</t>
        </is>
      </c>
      <c r="J229" s="108" t="n">
        <v>2</v>
      </c>
      <c r="K229" s="109" t="n">
        <v>46294</v>
      </c>
      <c r="L229" s="109" t="n">
        <v>46296</v>
      </c>
      <c r="M229" s="110" t="inlineStr">
        <is>
          <t>rcfworks</t>
        </is>
      </c>
      <c r="N229" s="81" t="n"/>
      <c r="O229" s="80" t="inlineStr">
        <is>
          <t>P1-ART-08</t>
        </is>
      </c>
      <c r="P229" s="80" t="inlineStr">
        <is>
          <t>An administrator can read what the school commits to and receives, and forward the page</t>
        </is>
      </c>
      <c r="Q229" s="82" t="inlineStr">
        <is>
          <t>Spec §8, §9.5</t>
        </is>
      </c>
      <c r="R229" s="111" t="inlineStr">
        <is>
          <t xml:space="preserve"> Built 2026-09-29 at /next/schools: the programme proposal from the NEXT programme terms, print-clean, copy link; contact next@sponsorx.net is SIMULATED (NEXT_CONTACT_EMAIL). Walked locally, incl. print. | 2026-10-02 (HeckerCreatives, via Claude): Post-close audit fix: the page claimed the chrome dropped out in print; it didn't, and a dark print came out pale-on-white. Header, footer, loader are print:hidden; printing switches to the light theme and restores the visitor's (lib/print-light.ts).</t>
        </is>
      </c>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Done</t>
        </is>
      </c>
      <c r="J230" s="108" t="n">
        <v>3</v>
      </c>
      <c r="K230" s="109" t="inlineStr">
        <is>
          <t>2026-09-28</t>
        </is>
      </c>
      <c r="L230" s="109" t="inlineStr">
        <is>
          <t>2026-09-28</t>
        </is>
      </c>
      <c r="M230" s="110" t="inlineStr">
        <is>
          <t>HeckerCreatives</t>
        </is>
      </c>
      <c r="N230" s="81" t="n"/>
      <c r="O230" s="80" t="inlineStr">
        <is>
          <t>P9-BE-04, P9-BE-07, P1-FE-19</t>
        </is>
      </c>
      <c r="P230" s="80" t="inlineStr">
        <is>
          <t>Assignments, sales and codes come from the API; no fixture import remains in the student routes</t>
        </is>
      </c>
      <c r="Q230" s="82" t="inlineStr">
        <is>
          <t>Spec §8</t>
        </is>
      </c>
      <c r="R230" s="111" t="inlineStr">
        <is>
          <t>Sales, code, prospects and points are live. Assignments have no backend model (no editorial workflow) and show an honest not-connected state. A sponsor's name is not a STUDENT read, so the attribution ledger shows value and date only — flagged. Added /s/[code] public page; the brief form does not carry a code yet — flagged.</t>
        </is>
      </c>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Done</t>
        </is>
      </c>
      <c r="J231" s="108" t="n">
        <v>2</v>
      </c>
      <c r="K231" s="109" t="inlineStr">
        <is>
          <t>2026-09-28</t>
        </is>
      </c>
      <c r="L231" s="109" t="inlineStr">
        <is>
          <t>2026-09-28</t>
        </is>
      </c>
      <c r="M231" s="110" t="inlineStr">
        <is>
          <t>HeckerCreatives</t>
        </is>
      </c>
      <c r="N231" s="81" t="n"/>
      <c r="O231" s="80" t="inlineStr">
        <is>
          <t>P9-BE-05, P1-FE-20</t>
        </is>
      </c>
      <c r="P231" s="80" t="inlineStr">
        <is>
          <t>An advisor reviews and approves real records, scoped to one school and refused for any other</t>
        </is>
      </c>
      <c r="Q231" s="82" t="inlineStr">
        <is>
          <t>Spec §7, §8</t>
        </is>
      </c>
      <c r="R231" s="111" t="inlineStr">
        <is>
          <t>Applications are live, scoped to the advisor's school; another school's record gets a 403 (walked). Content review has no student-draft model in the backend and shows an honest not-connected state — needs a backend row.</t>
        </is>
      </c>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Done</t>
        </is>
      </c>
      <c r="J232" s="108" t="n">
        <v>3</v>
      </c>
      <c r="K232" s="109" t="inlineStr">
        <is>
          <t>2026-09-28</t>
        </is>
      </c>
      <c r="L232" s="109" t="inlineStr">
        <is>
          <t>2026-09-28</t>
        </is>
      </c>
      <c r="M232" s="110" t="inlineStr">
        <is>
          <t>HeckerCreatives</t>
        </is>
      </c>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Done</t>
        </is>
      </c>
      <c r="J233" s="108" t="n">
        <v>2</v>
      </c>
      <c r="K233" s="109" t="inlineStr">
        <is>
          <t>2026-09-28</t>
        </is>
      </c>
      <c r="L233" s="109" t="inlineStr">
        <is>
          <t>2026-09-28</t>
        </is>
      </c>
      <c r="M233" s="110" t="inlineStr">
        <is>
          <t>HeckerCreatives</t>
        </is>
      </c>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Done</t>
        </is>
      </c>
      <c r="J234" s="108" t="n">
        <v>2</v>
      </c>
      <c r="K234" s="109" t="inlineStr">
        <is>
          <t>2026-09-28</t>
        </is>
      </c>
      <c r="L234" s="109" t="inlineStr">
        <is>
          <t>2026-09-28</t>
        </is>
      </c>
      <c r="M234" s="110" t="inlineStr">
        <is>
          <t>HeckerCreatives</t>
        </is>
      </c>
      <c r="N234" s="81" t="n"/>
      <c r="O234" s="80" t="inlineStr">
        <is>
          <t>P9-BE-06, P1-FE-23</t>
        </is>
      </c>
      <c r="P234" s="80" t="inlineStr">
        <is>
          <t>A real split resolves to four payees on screen with no read of Earning</t>
        </is>
      </c>
      <c r="Q234" s="82" t="inlineStr">
        <is>
          <t>Spec §5.3</t>
        </is>
      </c>
      <c r="R234" s="111" t="inlineStr">
        <is>
          <t>Matrix gap flagged 2026-09-28: FINANCE holds revenueSplit read but no edition read (§15.3), so it cannot list editions to open this screen; SALES holds adSlot write but no edition read, so listSlots/sellCampaignSlots refuse it. Policy decision, not coded around.</t>
        </is>
      </c>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Done</t>
        </is>
      </c>
      <c r="J235" s="108" t="n">
        <v>2</v>
      </c>
      <c r="K235" s="109" t="n">
        <v>46294</v>
      </c>
      <c r="L235" s="109" t="n">
        <v>46296</v>
      </c>
      <c r="M235" s="110" t="inlineStr">
        <is>
          <t>rcfworks</t>
        </is>
      </c>
      <c r="N235" s="81" t="n"/>
      <c r="O235" s="80" t="inlineStr">
        <is>
          <t>P9-BE-04, P1-FE-25</t>
        </is>
      </c>
      <c r="P235" s="80" t="inlineStr">
        <is>
          <t>A real student application is created and reaches the advisor desk; a minor's guardian is captured on the existing rule</t>
        </is>
      </c>
      <c r="Q235" s="82" t="inlineStr">
        <is>
          <t>Spec §5.1, §8</t>
        </is>
      </c>
      <c r="R235" s="111" t="inlineStr">
        <is>
          <t xml:space="preserve"> Built 2026-09-29: the wizard submits to POST /public/students/applications, which now requires and captures a minor's guardian (422 without); the advisor's approval creates the student's and guardian's logins (athlete-login.ts, as P3-BE-15). Verified locally: a 15-year-old applied on a phone and appeared in Ms. Patel's advisor queue. Tests: backend next-public-apply (8, mutation-checked), frontend next-apply (9). | 2026-10-02 (HeckerCreatives, via Claude): Post-close audit fixes: (1) a request with neither birthDate nor ageBand was read as an adult and skipped the guardian — StudentApplicationInput now has the athlete intake's one-of rule and date bounds; (2) the server action did not forward the applicant's address, so the 5-an-hour limit was ONE bucket for the whole site — now forwarded (edgeHeadersFrom), tested.</t>
        </is>
      </c>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Done</t>
        </is>
      </c>
      <c r="J236" s="108" t="n">
        <v>3</v>
      </c>
      <c r="K236" s="109" t="inlineStr">
        <is>
          <t>2026-09-25</t>
        </is>
      </c>
      <c r="L236" s="109" t="inlineStr">
        <is>
          <t>2026-09-25</t>
        </is>
      </c>
      <c r="M236" s="110" t="inlineStr">
        <is>
          <t>rcfworks</t>
        </is>
      </c>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inlineStr">
        <is>
          <t>Stage 9 Batch B (gate lifted for the build 2026-09-25). tests/next-students.test.ts (21 tests, HTTP through real auth/scope, mutation-checked). Cross-student (a student reads own record/sales/points/code, a schoolmate's 403, list shows only self) and cross-school (advisor sees own school only, can't add students elsewhere) isolation tested; tenant-isolation sweep grown with tenant-B STUDENT and ADVISOR attacking every route. AthleteRate.amount denied to STUDENT and ADVISOR (field rule + GET /athletes/{id}/rates 403, marker absent). PII: public /s/[code] returns display name + school only (asserted exact keys; legal name absent); application echoes nothing; email optional; age via date or band only. Categories unsuitable for minors (alcohol, vape, gambling, cannabis, firearms, adult, political, religious, pharma, crypto, energy drink, supplements) can't be prospected or redirected to. | 2026-09-25: Done at the user's instruction — acceptance met; tests green in CI.</t>
        </is>
      </c>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Done</t>
        </is>
      </c>
      <c r="J237" s="108" t="n">
        <v>3</v>
      </c>
      <c r="K237" s="109" t="inlineStr">
        <is>
          <t>2026-10-02</t>
        </is>
      </c>
      <c r="L237" s="109" t="n">
        <v>46311</v>
      </c>
      <c r="M237" s="110" t="inlineStr">
        <is>
          <t>HeckerCreatives</t>
        </is>
      </c>
      <c r="N237" s="81" t="n"/>
      <c r="O237" s="80" t="inlineStr">
        <is>
          <t>P9-FE-03, P9-BE-07, P9-BE-16</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inlineStr">
        <is>
          <t>2026-10-16 DONE (verified by rcfworks at the user's instruction): next-edition-e2e.test.ts 7/7 green, one test per clause; clause 4 (approval board + ContentRight) covered since P9-BE-16 (Done 2026-10-05). | 2026-10-02 (HeckerCreatives, via Claude): Written: backend/tests/next-edition-e2e.test.ts, 7/7 green over the real API, mutation-checked on clauses 2 and 6 — school as Property; the back cover sold exactly once (second slot 409, rival 409, a bypass write refused by the trigger); the student code attributing the sale (one SalesAttribution, the right student, 100,000); rights clearing the artwork for production; QR_SCAN and LINK_CLICK counted apart (2 / 3); four payees 40/30/20/10 with Earning unchanged. Clause 4's 'clears the approval board' cannot be met: edition ad artwork has no path onto the approval board. Raised as P9-BE-16; this row waits on it.</t>
        </is>
      </c>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Done</t>
        </is>
      </c>
      <c r="J238" s="108" t="n">
        <v>4</v>
      </c>
      <c r="K238" s="109" t="inlineStr">
        <is>
          <t>2026-09-25</t>
        </is>
      </c>
      <c r="L238" s="109" t="inlineStr">
        <is>
          <t>2026-09-25</t>
        </is>
      </c>
      <c r="M238" s="110" t="inlineStr">
        <is>
          <t>rcfworks</t>
        </is>
      </c>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Stage 9 Batch C (gate lifted for the build 2026-09-25). tests/next-rights.test.ts (13 tests, mutation-checked). EditionAsset (an edition's content item — not CreativeAsset, which is an athlete deliverable's) + ContentRight: ONE ledger, three population paths via grantorKind (student / athlete / guardian consent → acceptanceId; BTG / third-party licence → licenseRef; Postgres CHECKs: exactly one basis, matching the grantor). The gate is rightsGap(): ONE query (asserted by counting calls) for assets with no right covering the format on the date. rightsCleared is now COMPUTED at IN_PRODUCTION / PUBLISHED_DIGITAL (digital) and PRINTED checks print — no longer typed in (conditions input is strict; rightsCleared → 400). Tests: production refused until the last asset has a right; digital edition published while print outstanding, PRINTED refused then allowed after a print grant; BTG right defaults mayReuseCommercially=false and POST /edition-assets/{id}/campaign refuses (409) until an explicit commercial grant; consent from someone else doesn't cover an asset. | 2026-09-25: Done at the user's instruction — acceptance met; tests green in CI.</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Done</t>
        </is>
      </c>
      <c r="J239" s="108" t="n">
        <v>4</v>
      </c>
      <c r="K239" s="109" t="inlineStr">
        <is>
          <t>2026-09-25</t>
        </is>
      </c>
      <c r="L239" s="109" t="inlineStr">
        <is>
          <t>2026-09-25</t>
        </is>
      </c>
      <c r="M239" s="110" t="inlineStr">
        <is>
          <t>rcfworks</t>
        </is>
      </c>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Stage 9 Batch C (gate lifted for the build 2026-09-25). tests/next-rights.test.ts (13 tests, mutation-checked). AthleteState FEATURED (edge FEATURED → UNDER_REVIEW only). POST /featured-athletes (editorial; no email, no consent); GET /public/athletes/{slug} (exact keys — no legal name, contact, age, GPA). A featured athlete: invitation refused, rate refused (new guard), absent from matching (tested). AgreementAcceptance gains TYPED SUBJECTS (userId nullable + athleteId/studentId; Postgres CHECK exactly one) — POST /consents records consent with no login; a minor's only via their verified guardian. Agreement.kind + FEATURE/PROFILE/COMMERCIAL (data). Claim: public POST .../claim ('that's me'; roster result never returned) → school verifies (roster match required + that school's ADVISOR; other school 403) → UNDER_REVIEW → guardian linked + verified → approve → ACTIVE refused until the guardian's COMMERCIAL consent is recorded, then allowed. Roster is SIMULATED (RosterEntry, seeded for the pilot; real roster = spec §14 gate 1). P0-LEG-01 tracked on the Legal sheet, not gating. GPA: no column anywhere (asserted). | 2026-09-25: Done at the user's instruction — acceptance met; tests green in CI.</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Done</t>
        </is>
      </c>
      <c r="J240" s="108" t="n">
        <v>2</v>
      </c>
      <c r="K240" s="109" t="inlineStr">
        <is>
          <t>2026-09-25</t>
        </is>
      </c>
      <c r="L240" s="109" t="inlineStr">
        <is>
          <t>2026-09-25</t>
        </is>
      </c>
      <c r="M240" s="110" t="inlineStr">
        <is>
          <t>rcfworks</t>
        </is>
      </c>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Stage 9 gate (P9-PMO-03) lifted for the build by the programme owner 2026-09-25. EditionEvent + EngagementType (QR_SCAN print; LINK_CLICK/PROFILE_VIEW/CAMPAIGN_VIEW/CTA_CLICK digital) — its own stream, RewardEventType untouched (asserted from the schema). PUBLIC POST /public/editions/{id}/events, rate-limited, only on a published edition and a real target. Sponsor report gains adPlacements + editionEngagement {print, digital}, never pooled; ad spend now counts in media value. Test: six events → five types as separate rows; report shows print 2 vs digital separately; reward funnel unchanged. | 2026-09-25: Done at the user's instruction — acceptance met; tests green in CI.</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Done</t>
        </is>
      </c>
      <c r="J241" s="108" t="n">
        <v>3</v>
      </c>
      <c r="K241" s="109" t="inlineStr">
        <is>
          <t>2026-09-25</t>
        </is>
      </c>
      <c r="L241" s="109" t="inlineStr">
        <is>
          <t>2026-09-25</t>
        </is>
      </c>
      <c r="M241" s="110" t="inlineStr">
        <is>
          <t>rcfworks</t>
        </is>
      </c>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Stage 9 Batch B (gate lifted for the build 2026-09-25). tests/next-students.test.ts (21 tests, HTTP through real auth/scope, mutation-checked). SalesAttribution is immutable IN POSTGRES (trigger sales_attribution_immutable; deletion only via a deliberate SET LOCAL purge for teardown/lawful erasure). Sponsor gains ownership (default SPONSORX) / schoolPropertyId / assignedStudentId; a student's first sale to a new account sets STUDENT_ORIGINATED, never moved after. Tests: graduating (INACTIVE) leaves attribution rows byte-identical and staff can still read them; direct UPDATE/DELETE refused; POST /sponsors/{id}/assigned-student changes only assignedStudentId (every other column snapshot-compared). Sponsor Acceptance Check: POST /prospects/{id}/decision — reject needs a reason code (422 without), queues notify.email student.prospectDeclined to the student (or guardian), leaves attribution + points identical, and on CATEGORY_EXCLUSIVE offers open categories (excludes the held presenting-sponsor category and minor-unsuitable ones). Content Conflict Check is the rights workflow — Batch C. | 2026-09-25: Done at the user's instruction — acceptance met; tests green in CI.</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Done</t>
        </is>
      </c>
      <c r="J242" s="108" t="n">
        <v>2</v>
      </c>
      <c r="K242" s="109" t="inlineStr">
        <is>
          <t>2026-09-25</t>
        </is>
      </c>
      <c r="L242" s="109" t="inlineStr">
        <is>
          <t>2026-09-25</t>
        </is>
      </c>
      <c r="M242" s="110" t="inlineStr">
        <is>
          <t>rcfworks</t>
        </is>
      </c>
      <c r="N242" s="81" t="n"/>
      <c r="O242" s="80" t="inlineStr">
        <is>
          <t>P9-BE-06, P9-BE-13</t>
        </is>
      </c>
      <c r="P242" s="80" t="inlineStr">
        <is>
          <t>A DMV edition draws from several schools and both pools resolve by formula with no manual adjudication</t>
        </is>
      </c>
      <c r="Q242" s="82" t="inlineStr">
        <is>
          <t>Spec v2.0 §5.7</t>
        </is>
      </c>
      <c r="R242" s="111" t="inlineStr">
        <is>
          <t>Stage 9 Batch C (gate lifted for the build 2026-09-25). tests/next-rights.test.ts (13 tests, mutation-checked). ContentContribution (FEATURE 5 · PHOTO_PACKAGE 3 · INTERVIEW 3 · VIDEO 5) + SchoolPoolAllocation. When a REGIONAL edition (publication with no school) publishes, the SCHOOL split resolves by formula into SALES (by schools' SalesAttribution in the edition) and CONTENT (units ÷ total units × pool) — 50/50 SIMULATED in the rate-card doc; largest-remainder so each pool sums exactly. Test: three schools — sales 600:200, content 5:6 → exact cents asserted; the school with no content gets no CONTENT row; no route writes pools (asserted over the OpenAPI registry); a school's own edition has none. | 2026-09-25: Done at the user's instruction — acceptance met; tests green in CI.</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Done</t>
        </is>
      </c>
      <c r="J243" s="108" t="n">
        <v>3</v>
      </c>
      <c r="K243" s="109" t="inlineStr">
        <is>
          <t>2026-09-25</t>
        </is>
      </c>
      <c r="L243" s="109" t="inlineStr">
        <is>
          <t>2026-09-25</t>
        </is>
      </c>
      <c r="M243" s="110" t="inlineStr">
        <is>
          <t>rcfworks</t>
        </is>
      </c>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inlineStr">
        <is>
          <t>Stage 9 Batch B (gate lifted for the build 2026-09-25). tests/next-students.test.ts (21 tests, HTTP through real auth/scope, mutation-checked). StudentPointAccrual: ARTICLE 50, INTERVIEW 25, PHOTO 25, APPOINTMENT 25, SALES_500 100, VIEWS_BONUS (1–1000); against a student and optionally an edition. SALES_500 only from an attributed sale (one per $500 crossed, same transaction) — refused as manual input. Written by BTG, never the student (403 tested). No cents column, no Earning relation, Earning has no student/points reference (asserted from schema); no route converts points (asserted over the OpenAPI registry). Redemption absent by design. | 2026-09-25: Done at the user's instruction — acceptance met; tests green in CI.</t>
        </is>
      </c>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Done</t>
        </is>
      </c>
      <c r="J244" s="108" t="n">
        <v>5</v>
      </c>
      <c r="K244" s="109" t="inlineStr">
        <is>
          <t>2026-09-24</t>
        </is>
      </c>
      <c r="L244" s="109" t="inlineStr">
        <is>
          <t>2026-09-24</t>
        </is>
      </c>
      <c r="M244" s="110" t="inlineStr">
        <is>
          <t>HeckerCreatives</t>
        </is>
      </c>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 Built 2026-09-24 despite the P1-ART-08 gate, deliberately: the spec constrains this screen hard (existing type scale, principle 10), so design-rebuild risk is minimal - re-check against ART-08 when it lands. Walks the flatplan in page order; reserved slots not public; unknown editions 404 (unpublished-unreachable, P9-FE-07 enforces later).</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Done</t>
        </is>
      </c>
      <c r="J245" s="108" t="n">
        <v>3</v>
      </c>
      <c r="K245" s="109" t="inlineStr">
        <is>
          <t>2026-09-28</t>
        </is>
      </c>
      <c r="L245" s="109" t="inlineStr">
        <is>
          <t>2026-09-28</t>
        </is>
      </c>
      <c r="M245" s="110" t="inlineStr">
        <is>
          <t>HeckerCreatives</t>
        </is>
      </c>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inlineStr">
        <is>
          <t>Built directly on the live public profile (GET /public/athletes/:slug) rather than on fixtures — the backend already existed. Non-featured slugs keep the existing view unchanged.</t>
        </is>
      </c>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Done</t>
        </is>
      </c>
      <c r="J246" s="108" t="n">
        <v>5</v>
      </c>
      <c r="K246" s="109" t="inlineStr">
        <is>
          <t>2026-09-24</t>
        </is>
      </c>
      <c r="L246" s="109" t="inlineStr">
        <is>
          <t>2026-09-24</t>
        </is>
      </c>
      <c r="M246" s="110" t="inlineStr">
        <is>
          <t>HeckerCreatives</t>
        </is>
      </c>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inlineStr">
        <is>
          <t>Built 2026-09-24. Coverage-per-use hero (print vs digital separate, spec 5.3); evidence = exactly one of acceptance/licence, tested; BTG content pins commercial reuse false (V3 s6), tested; editions gate now derives its rights count from the clearanceQueue fixture. P9-FE-09 wires.</t>
        </is>
      </c>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Done</t>
        </is>
      </c>
      <c r="J247" s="108" t="n">
        <v>3</v>
      </c>
      <c r="K247" s="109" t="inlineStr">
        <is>
          <t>2026-09-24</t>
        </is>
      </c>
      <c r="L247" s="109" t="inlineStr">
        <is>
          <t>2026-09-24</t>
        </is>
      </c>
      <c r="M247" s="110" t="inlineStr">
        <is>
          <t>HeckerCreatives</t>
        </is>
      </c>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 Built 2026-09-24. No currency sign anywhere; POINT_RULES fixture carries the 5.5 earn vocabulary with a test pinning fixed-value reasons; Redeem disabled naming the open 14 question. Points nav/tab now live.</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Done</t>
        </is>
      </c>
      <c r="J248" s="108" t="n">
        <v>2</v>
      </c>
      <c r="K248" s="109" t="inlineStr">
        <is>
          <t>2026-09-28</t>
        </is>
      </c>
      <c r="L248" s="109" t="inlineStr">
        <is>
          <t>2026-09-28</t>
        </is>
      </c>
      <c r="M248" s="110" t="inlineStr">
        <is>
          <t>HeckerCreatives</t>
        </is>
      </c>
      <c r="N248" s="81" t="n"/>
      <c r="O248" s="80" t="inlineStr">
        <is>
          <t>P9-BE-02, P1-FE-27</t>
        </is>
      </c>
      <c r="P248" s="80" t="inlineStr">
        <is>
          <t>A published edition reads from the API; an unpublished one is unreachable</t>
        </is>
      </c>
      <c r="Q248" s="82" t="inlineStr">
        <is>
          <t>Spec v2.0 §8</t>
        </is>
      </c>
      <c r="R248" s="111" t="inlineStr">
        <is>
          <t>Added GET /public/editions/:school/:id (published only; rights-cleared contents; display-name bylines; sponsors, no prices). Article prose is not stored — the ledger holds titles + R2 keys — so the reader lists contents. The fixture showcase address (northside-high/fall-2026) is kept.</t>
        </is>
      </c>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Done</t>
        </is>
      </c>
      <c r="J249" s="108" t="n">
        <v>3</v>
      </c>
      <c r="K249" s="109" t="inlineStr">
        <is>
          <t>2026-09-28</t>
        </is>
      </c>
      <c r="L249" s="109" t="inlineStr">
        <is>
          <t>2026-09-28</t>
        </is>
      </c>
      <c r="M249" s="110" t="inlineStr">
        <is>
          <t>HeckerCreatives</t>
        </is>
      </c>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inlineStr">
        <is>
          <t>Steps 1 (public claim) and 2 (advisor verify/reject; off-roster claims can't be verified) are live and walked 16/16. Step 3, the guardian's COMMERCIAL consent, is enforced by the backend at activation. Capturing it (POST /consents with the agreement shown) has no UI yet, and a guardian has no account — flagged.</t>
        </is>
      </c>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Done</t>
        </is>
      </c>
      <c r="J250" s="108" t="n">
        <v>2</v>
      </c>
      <c r="K250" s="109" t="inlineStr">
        <is>
          <t>2026-09-28</t>
        </is>
      </c>
      <c r="L250" s="109" t="inlineStr">
        <is>
          <t>2026-09-28</t>
        </is>
      </c>
      <c r="M250" s="110" t="inlineStr">
        <is>
          <t>HeckerCreatives</t>
        </is>
      </c>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Done</t>
        </is>
      </c>
      <c r="J251" s="108" t="n">
        <v>2</v>
      </c>
      <c r="K251" s="109" t="inlineStr">
        <is>
          <t>2026-09-28</t>
        </is>
      </c>
      <c r="L251" s="109" t="inlineStr">
        <is>
          <t>2026-09-28</t>
        </is>
      </c>
      <c r="M251" s="110" t="inlineStr">
        <is>
          <t>HeckerCreatives</t>
        </is>
      </c>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s="75">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row r="254" s="75">
      <c r="A254" s="104" t="n">
        <v>128.5</v>
      </c>
      <c r="B254" s="105" t="inlineStr">
        <is>
          <t>P6-BE-08</t>
        </is>
      </c>
      <c r="C254" s="81" t="n">
        <v>6</v>
      </c>
      <c r="D254" s="82" t="inlineStr">
        <is>
          <t>Measurement &amp; Reward</t>
        </is>
      </c>
      <c r="E254" s="139" t="inlineStr">
        <is>
          <t>BE</t>
        </is>
      </c>
      <c r="F254" s="120" t="inlineStr">
        <is>
          <t>Code</t>
        </is>
      </c>
      <c r="G254" s="80" t="inlineStr">
        <is>
          <t>Reward eligibility, redemption cap and landing copy fields</t>
        </is>
      </c>
      <c r="H254" s="107" t="inlineStr">
        <is>
          <t>Raised 2026-09-28 by the P6-FE-01 wiring. §9 screen 10 asks the reward creator to configure eligibility (who qualifies), redemption limits and the landing page — the Reward model has no columns for any of them (offerText, terms, singleUse, expiresAt only). Add them (migration + contract + domain enforcement: a cap must be checked in the redeem transaction, not the UI), then P6-FE-01 exposes them. Consent copy is deliberately NOT per reward: it is versioned centrally (fan-consent.ts, P6-SEC-01) so the claim records the words the fan saw — confirm that reading of the acceptance.</t>
        </is>
      </c>
      <c r="I254" s="108" t="inlineStr">
        <is>
          <t>Done</t>
        </is>
      </c>
      <c r="J254" s="108" t="n">
        <v>2</v>
      </c>
      <c r="K254" s="109" t="inlineStr">
        <is>
          <t>2026-09-28</t>
        </is>
      </c>
      <c r="L254" s="109" t="inlineStr">
        <is>
          <t>2026-09-28</t>
        </is>
      </c>
      <c r="M254" s="110" t="inlineStr">
        <is>
          <t>rcfworks + HeckerCreatives</t>
        </is>
      </c>
      <c r="N254" s="81" t="inlineStr">
        <is>
          <t>P6-FE-01</t>
        </is>
      </c>
      <c r="O254" s="80" t="inlineStr">
        <is>
          <t>P6-BE-02</t>
        </is>
      </c>
      <c r="P254" s="80" t="inlineStr">
        <is>
          <t>Eligibility, a redemption cap and landing headline/subhead persist on Reward; the cap is enforced race-safely at redeem; the public view serves the landing copy for the fan page to render (the rendering itself is P6-FE-04); tenant-isolation sweep still green</t>
        </is>
      </c>
      <c r="Q254" s="82" t="inlineStr">
        <is>
          <t>§9 screen 10, §16</t>
        </is>
      </c>
      <c r="R254" s="111" t="inlineStr">
        <is>
          <t>Raised by HeckerCreatives 2026-09-28 (P6-FE-01). | 2026-09-28 BACKEND DONE, ONE CLAUSE IS FRONTEND. Reward gains eligibility, redemptionCap (+ redemptionCount) and landingHeadline/landingSubhead (migration 20260928180000; POST /campaigns/{id}/rewards accepts them). The cap is enforced race-safely in the redeem transaction by one conditional UPDATE of redemptionCount (Postgres row lock + re-check; DB CHECK count ≤ cap): 8 booths redeeming at once against a cap of 3 → exactly 3 succeed, 5 get 409 kind REDEMPTION_CAP, 3 REDEEM rows. A used code stays 409 'already used' (no kind). GET /public/rewards/{token} now returns landing {headline, subhead}, eligibility and capReached, so the page has what it needs. Consent copy confirmed central, not per reward (fan-consent.ts). Tenant-isolation sweep green. Tests: tests/reward-eligibility-cap.test.ts, mutation-checked (cap ignored; read-then-write race). OPEN: 'the fan page renders the landing copy' is a frontend change (frontend/src/server/fan-page.ts renders the view's landing/eligibility, and the redeem route maps error.kind REDEMPTION_CAP to its own message) — left for the frontend owner, not done from the backend side. | 2026-09-28: acceptance re-scoped at the programme owner's instruction — the fan page's rendering is split into P6-FE-04 — and moved to Done: every backend clause is met (see above), CI green (PR #105).</t>
        </is>
      </c>
    </row>
    <row r="255" s="75">
      <c r="A255" s="104" t="n">
        <v>128.6</v>
      </c>
      <c r="B255" s="105" t="inlineStr">
        <is>
          <t>P6-FE-04</t>
        </is>
      </c>
      <c r="C255" s="81" t="n">
        <v>6</v>
      </c>
      <c r="D255" s="82" t="inlineStr">
        <is>
          <t>Measurement &amp; Reward</t>
        </is>
      </c>
      <c r="E255" s="139" t="inlineStr">
        <is>
          <t>FE</t>
        </is>
      </c>
      <c r="F255" s="120" t="inlineStr">
        <is>
          <t>Code</t>
        </is>
      </c>
      <c r="G255" s="80" t="inlineStr">
        <is>
          <t>Render reward landing copy, eligibility and cap on the fan page</t>
        </is>
      </c>
      <c r="H255" s="107" t="inlineStr">
        <is>
          <t>Split out of P6-BE-08 on 2026-09-28 at the programme owner's instruction, so the backend task stays backend-only. The public view (GET /public/rewards/{token}) now returns landing {headline, subhead}, eligibility and capReached; the fan page (frontend/src/server/fan-page.ts) renders them, and the redeem route tells a spent cap (409 with error.kind REDEMPTION_CAP) apart from an already-used code.</t>
        </is>
      </c>
      <c r="I255" s="108" t="inlineStr">
        <is>
          <t>Done</t>
        </is>
      </c>
      <c r="J255" s="108" t="n">
        <v>1</v>
      </c>
      <c r="K255" s="109" t="inlineStr">
        <is>
          <t>2026-09-28</t>
        </is>
      </c>
      <c r="L255" s="109" t="inlineStr">
        <is>
          <t>2026-09-28</t>
        </is>
      </c>
      <c r="M255" s="110" t="inlineStr">
        <is>
          <t>HeckerCreatives</t>
        </is>
      </c>
      <c r="N255" s="81" t="n">
        <v>0</v>
      </c>
      <c r="O255" s="80" t="inlineStr">
        <is>
          <t>P6-BE-08</t>
        </is>
      </c>
      <c r="P255" s="80" t="inlineStr">
        <is>
          <t>The fan page renders the reward's landing headline, subhead and eligibility from the public view; a spent cap (capReached) shows its own message with no claim or redeem form; the booth's redeem result tells REDEMPTION_CAP apart from an already-used code</t>
        </is>
      </c>
      <c r="Q255" s="82" t="inlineStr">
        <is>
          <t>§9 screen 10, §16</t>
        </is>
      </c>
      <c r="R255" s="111" t="inlineStr">
        <is>
          <t>2026-09-28: raised by the programme owner — the frontend half of P6-BE-08's acceptance, moved here. The backend it reads from is done.</t>
        </is>
      </c>
    </row>
    <row r="256" ht="35.05" customHeight="1" s="75">
      <c r="A256" s="112" t="n">
        <v>68.5</v>
      </c>
      <c r="B256" s="113" t="inlineStr">
        <is>
          <t>P3-BE-15</t>
        </is>
      </c>
      <c r="C256" s="85" t="n">
        <v>3</v>
      </c>
      <c r="D256" s="86" t="inlineStr">
        <is>
          <t>Athlete Network</t>
        </is>
      </c>
      <c r="E256" s="114" t="inlineStr">
        <is>
          <t>BE</t>
        </is>
      </c>
      <c r="F256" s="115" t="inlineStr">
        <is>
          <t>Code</t>
        </is>
      </c>
      <c r="G256" s="84" t="inlineStr">
        <is>
          <t>Give an approved athlete, and a linked guardian, a login</t>
        </is>
      </c>
      <c r="H256" s="116" t="inlineStr">
        <is>
          <t>Approving an application tells the athlete to sign in, but no SponsorX account exists for them, so the sign-in lands on "no SponsorX account". Found in the staging walkthrough. Approval creates the athlete's login, and a guardian's where one is linked; a guardian linked after approval gets theirs then.</t>
        </is>
      </c>
      <c r="I256" s="108" t="inlineStr">
        <is>
          <t>Done</t>
        </is>
      </c>
      <c r="J256" s="108" t="n">
        <v>1</v>
      </c>
      <c r="K256" s="109" t="n">
        <v>46294</v>
      </c>
      <c r="L256" s="109" t="n">
        <v>46296</v>
      </c>
      <c r="M256" s="110" t="inlineStr">
        <is>
          <t>rcfworks</t>
        </is>
      </c>
      <c r="N256" s="85" t="n">
        <v>0</v>
      </c>
      <c r="O256" s="84" t="inlineStr">
        <is>
          <t>P3-BE-07</t>
        </is>
      </c>
      <c r="P256" s="84" t="inlineStr">
        <is>
          <t>An approved applicant signs in with the email they applied with and lands in the athlete portal as that athlete; a linked guardian signs in as that guardian; approving creates no duplicate and never takes over an address another account already uses; it commits in the same transaction as the decision</t>
        </is>
      </c>
      <c r="Q256" s="86" t="inlineStr">
        <is>
          <t>§21, §4</t>
        </is>
      </c>
      <c r="R256" s="111" t="inlineStr">
        <is>
          <t>2026-09-29: raised by the programme owner from the staging walkthrough (sign-up to payout, as each person). Built 2026-09-29: src/domain/athlete-login.ts, called inside reviewApplication's transaction on APPROVED (athlete + linked guardian) and from linkGuardian when the athlete is already APPROVED/ACTIVE. Invitation-to-claim rows (placeholder clerkId), never a takeover of an address held in any tenant; outcome returned as `login` on the decision; audited as user.provision. Approval email now says to sign in with the applied address. Tests: tests/athlete-login.test.ts (real Postgres, sign-in through the identity path) + 7 in application.review.test.ts; mutation-checked. | 2026-10-02 (HeckerCreatives, via Claude): Post-close audit fix: two concurrent approvals of one address could create two logins (check-then-insert, no unique email) — a per-address advisory lock now serialises them; athlete-login.race.test.ts forces the race and fails without the lock.</t>
        </is>
      </c>
    </row>
    <row r="257" ht="35.05" customHeight="1" s="75">
      <c r="A257" s="112" t="n">
        <v>76.5</v>
      </c>
      <c r="B257" s="113" t="inlineStr">
        <is>
          <t>P3-FE-06</t>
        </is>
      </c>
      <c r="C257" s="85" t="n">
        <v>3</v>
      </c>
      <c r="D257" s="86" t="inlineStr">
        <is>
          <t>Athlete Network</t>
        </is>
      </c>
      <c r="E257" s="114" t="inlineStr">
        <is>
          <t>FE</t>
        </is>
      </c>
      <c r="F257" s="115" t="inlineStr">
        <is>
          <t>Code</t>
        </is>
      </c>
      <c r="G257" s="84" t="inlineStr">
        <is>
          <t>Wire the athlete portal home to real data</t>
        </is>
      </c>
      <c r="H257" s="116" t="inlineStr">
        <is>
          <t>The athlete home still shows a sample athlete ("Shammah") behind a demo banner, while invitations, deliverables, earnings and profile are live on their own pages. The home should summarise the signed-in athlete's own real figures.</t>
        </is>
      </c>
      <c r="I257" s="108" t="inlineStr">
        <is>
          <t>Done</t>
        </is>
      </c>
      <c r="J257" s="108" t="n">
        <v>3</v>
      </c>
      <c r="K257" s="109" t="n">
        <v>46294</v>
      </c>
      <c r="L257" s="109" t="n">
        <v>46296</v>
      </c>
      <c r="M257" s="110" t="inlineStr">
        <is>
          <t>rcfworks</t>
        </is>
      </c>
      <c r="N257" s="85" t="n">
        <v>0</v>
      </c>
      <c r="O257" s="84" t="inlineStr">
        <is>
          <t>P3-FE-03, P4-FE-04, P7-FE-01</t>
        </is>
      </c>
      <c r="P257" s="84" t="inlineStr">
        <is>
          <t>The home shows the signed-in athlete's own name, open invitations, deliverables due and earnings from the live reads; the demo banner is gone; a new athlete with nothing yet sees honest empty states</t>
        </is>
      </c>
      <c r="Q257" s="86" t="inlineStr">
        <is>
          <t>§9, §21</t>
        </is>
      </c>
      <c r="R257" s="111" t="inlineStr">
        <is>
          <t>2026-09-29: raised by the programme owner from the staging walkthrough (sign-up to payout, as each person). Built 2026-09-29: /athlete now reads /athletes/me, /invitations, /deliverables and /earnings — greeting, status, profile completion with missing sections, open invitations, deliverables due, earnings by status; demo banner and sample athlete gone; a guardian sees their ward's work without a profile block. Verified locally as Riley.</t>
        </is>
      </c>
    </row>
    <row r="258" ht="35.05" customHeight="1" s="75">
      <c r="A258" s="112" t="n">
        <v>76.59999999999999</v>
      </c>
      <c r="B258" s="113" t="inlineStr">
        <is>
          <t>P3-FE-07</t>
        </is>
      </c>
      <c r="C258" s="85" t="n">
        <v>3</v>
      </c>
      <c r="D258" s="86" t="inlineStr">
        <is>
          <t>Athlete Network</t>
        </is>
      </c>
      <c r="E258" s="114" t="inlineStr">
        <is>
          <t>FE</t>
        </is>
      </c>
      <c r="F258" s="115" t="inlineStr">
        <is>
          <t>Code</t>
        </is>
      </c>
      <c r="G258" s="84" t="inlineStr">
        <is>
          <t>Wire the property portal to the manager's own property</t>
        </is>
      </c>
      <c r="H258" s="116" t="inlineStr">
        <is>
          <t>The property portal shows a sample property ("BTG Sports Talk") behind a demo banner. GET /properties/mine already returns the manager's property; the portal should render it, its roster and its inventory.</t>
        </is>
      </c>
      <c r="I258" s="108" t="inlineStr">
        <is>
          <t>Done</t>
        </is>
      </c>
      <c r="J258" s="108" t="n">
        <v>3</v>
      </c>
      <c r="K258" s="109" t="n">
        <v>46294</v>
      </c>
      <c r="L258" s="109" t="n">
        <v>46296</v>
      </c>
      <c r="M258" s="110" t="inlineStr">
        <is>
          <t>rcfworks</t>
        </is>
      </c>
      <c r="N258" s="85" t="n">
        <v>0</v>
      </c>
      <c r="O258" s="84" t="inlineStr">
        <is>
          <t>P9-OPS-01</t>
        </is>
      </c>
      <c r="P258" s="84" t="inlineStr">
        <is>
          <t>A property manager sees their own property's name, kind and roster; no sample property appears; another property's data is never shown</t>
        </is>
      </c>
      <c r="Q258" s="86" t="inlineStr">
        <is>
          <t>§8</t>
        </is>
      </c>
      <c r="R258" s="111" t="inlineStr">
        <is>
          <t>2026-09-29: raised by the programme owner from the staging walkthrough (sign-up to payout, as each person). Built 2026-09-29: /property now reads /properties/mine and /team/roster — name, kind, place, roster with team shares, inventory (active/paused, price, quantity; listing review status is not shown, it isn't on the item). Verified locally as the Hawks manager.</t>
        </is>
      </c>
    </row>
    <row r="259" ht="35.05" customHeight="1" s="75">
      <c r="A259" s="112" t="n">
        <v>94.5</v>
      </c>
      <c r="B259" s="113" t="inlineStr">
        <is>
          <t>P4-FE-07</t>
        </is>
      </c>
      <c r="C259" s="85" t="n">
        <v>4</v>
      </c>
      <c r="D259" s="86" t="inlineStr">
        <is>
          <t>Sponsor Demand &amp; Matching</t>
        </is>
      </c>
      <c r="E259" s="114" t="inlineStr">
        <is>
          <t>FE</t>
        </is>
      </c>
      <c r="F259" s="115" t="inlineStr">
        <is>
          <t>Code</t>
        </is>
      </c>
      <c r="G259" s="84" t="inlineStr">
        <is>
          <t>Qualify and approve a sponsor brief from the admin workspace</t>
        </is>
      </c>
      <c r="H259" s="116" t="inlineStr">
        <is>
          <t>A sponsor's brief arrives as DRAFT, and the Matching Studio only shows QUALIFIED or APPROVED briefs, but no screen moves a brief on: POST /briefs/:id/transition has no caller. The Campaigns page also doesn't link to the Matching Studio while there are no campaigns. Found in the staging walkthrough.</t>
        </is>
      </c>
      <c r="I259" s="108" t="inlineStr">
        <is>
          <t>Done</t>
        </is>
      </c>
      <c r="J259" s="108" t="n">
        <v>1</v>
      </c>
      <c r="K259" s="109" t="n">
        <v>46294</v>
      </c>
      <c r="L259" s="109" t="n">
        <v>46296</v>
      </c>
      <c r="M259" s="110" t="inlineStr">
        <is>
          <t>rcfworks</t>
        </is>
      </c>
      <c r="N259" s="85" t="n">
        <v>0</v>
      </c>
      <c r="O259" s="84" t="inlineStr">
        <is>
          <t>P4-BE-02, P4-FE-01</t>
        </is>
      </c>
      <c r="P259" s="84" t="inlineStr">
        <is>
          <t>BTG staff see incoming briefs, can qualify, approve or close each one, and a qualified brief then opens in the Matching Studio; the Campaigns page links to briefs waiting for matching</t>
        </is>
      </c>
      <c r="Q259" s="86" t="inlineStr">
        <is>
          <t>§9 screen 8, §23</t>
        </is>
      </c>
      <c r="R259" s="111" t="inlineStr">
        <is>
          <t>2026-09-29: raised by the programme owner from the staging walkthrough (sign-up to payout, as each person). Built 2026-09-29 from the Claude Design canvas: /admin/briefs (Briefs in the admin nav) — state tabs with counts, search, sport filter, detail panel (beside the list on desktop, full screen on phone) with Qualify / Approve / Close with a reason / Open in Matching Studio; the Campaigns page gains an 'N briefs waiting for matching' link, hidden when nothing waits. Backend: CampaignBrief.closeReason (migration 20260929120000), required when BTG staff close, shown back by GET /briefs and on the brief.close audit row; package price added to the brief list. Verified locally as the campaign manager: qualify, close-with-reason, and the qualified brief opens in the Matching Studio. Tests: frontend gap-screens-live, backend operations-board. | 2026-10-02 (HeckerCreatives, via Claude): Post-close audit fix: the Campaigns banner opened the empty QUALIFIED tab when only APPROVED briefs waited. Known limit left: the briefs desk loads the newest 100 unpaged.</t>
        </is>
      </c>
    </row>
    <row r="260" ht="35.05" customHeight="1" s="75">
      <c r="A260" s="112" t="n">
        <v>150.5</v>
      </c>
      <c r="B260" s="113" t="inlineStr">
        <is>
          <t>P7-FE-06</t>
        </is>
      </c>
      <c r="C260" s="85" t="n">
        <v>7</v>
      </c>
      <c r="D260" s="86" t="inlineStr">
        <is>
          <t>Money &amp; Reporting</t>
        </is>
      </c>
      <c r="E260" s="114" t="inlineStr">
        <is>
          <t>FE</t>
        </is>
      </c>
      <c r="F260" s="115" t="inlineStr">
        <is>
          <t>Code</t>
        </is>
      </c>
      <c r="G260" s="84" t="inlineStr">
        <is>
          <t>Wire the admin Operations Board to real data</t>
        </is>
      </c>
      <c r="H260" s="116" t="inlineStr">
        <is>
          <t>The admin home (Operations Board) is sample data behind a demo banner, including its "Briefs to match" and "Applications waiting" counts. Its figures should come from the live reads the other admin pages already use.</t>
        </is>
      </c>
      <c r="I260" s="108" t="inlineStr">
        <is>
          <t>Done</t>
        </is>
      </c>
      <c r="J260" s="108" t="n">
        <v>3</v>
      </c>
      <c r="K260" s="109" t="n">
        <v>46294</v>
      </c>
      <c r="L260" s="109" t="n">
        <v>46296</v>
      </c>
      <c r="M260" s="110" t="inlineStr">
        <is>
          <t>rcfworks</t>
        </is>
      </c>
      <c r="N260" s="85" t="n">
        <v>0</v>
      </c>
      <c r="O260" s="84" t="inlineStr">
        <is>
          <t>P7-FE-05</t>
        </is>
      </c>
      <c r="P260" s="84" t="inlineStr">
        <is>
          <t>Every figure on the Operations Board comes from a live read or is removed; the queue counts match the Applications, Approvals, Campaigns and Finance pages; the demo banner is gone</t>
        </is>
      </c>
      <c r="Q260" s="86" t="inlineStr">
        <is>
          <t>§23</t>
        </is>
      </c>
      <c r="R260" s="111" t="inlineStr">
        <is>
          <t>2026-09-29: raised by the programme owner from the staging walkthrough (sign-up to payout, as each person). Built 2026-09-29: /admin reads the new GET /operations/board (queue counts per role, null where the role doesn't read a queue, 403 for non-staff), /operations/delivery-health and /operations/integration-health. Sample GMV, growth and 'median brief → match' figures removed; Clerk dropped from integration health (no source). Verified locally as BTG admin and as finance.</t>
        </is>
      </c>
    </row>
    <row r="261" s="75">
      <c r="A261" s="112" t="n">
        <v>55.1</v>
      </c>
      <c r="B261" s="113" t="inlineStr">
        <is>
          <t>P2-FE-02</t>
        </is>
      </c>
      <c r="C261" s="85" t="n">
        <v>2</v>
      </c>
      <c r="D261" s="86" t="inlineStr">
        <is>
          <t>Platform Foundations</t>
        </is>
      </c>
      <c r="E261" s="121" t="inlineStr">
        <is>
          <t>FE</t>
        </is>
      </c>
      <c r="F261" s="122" t="inlineStr">
        <is>
          <t>Code</t>
        </is>
      </c>
      <c r="G261" s="84" t="inlineStr">
        <is>
          <t>Server-side pagination for every growing list</t>
        </is>
      </c>
      <c r="H261" s="116" t="inlineStr">
        <is>
          <t>No list fetches every row and slices it in the browser: every list that grows with use asks the API for one page (page, size, search, filters and sort done in the database) and every count or money total on those screens is a database aggregate.</t>
        </is>
      </c>
      <c r="I261" s="108" t="inlineStr">
        <is>
          <t>Done</t>
        </is>
      </c>
      <c r="J261" s="108" t="n">
        <v>3</v>
      </c>
      <c r="K261" s="109" t="inlineStr">
        <is>
          <t>2026-09-29</t>
        </is>
      </c>
      <c r="L261" s="109" t="inlineStr">
        <is>
          <t>2026-09-29</t>
        </is>
      </c>
      <c r="M261" s="110" t="inlineStr">
        <is>
          <t>HeckerCreatives</t>
        </is>
      </c>
      <c r="N261" s="85" t="n"/>
      <c r="O261" s="84" t="inlineStr">
        <is>
          <t>P2-FE-01</t>
        </is>
      </c>
      <c r="P261" s="84" t="inlineStr">
        <is>
          <t>Each unbounded list is offset-paged by the API (?page ?size, true total); page 1 carries only page 1 rows; filters/search/sort run server-side and reset to page 1; totals come from summary endpoints; house pager (12/24/60, top + bottom); unpaged API behaviour unchanged for other callers</t>
        </is>
      </c>
      <c r="Q261" s="86" t="inlineStr">
        <is>
          <t>Memory/2026-09-29/pagination.md</t>
        </is>
      </c>
      <c r="R261" s="111" t="inlineStr">
        <is>
          <t>2026-09-29 (HeckerCreatives; six parallel agents + orchestrator). Shared: backend/src/lib/paging.ts (offset paging + total, opt-in by ?page), frontend lib/list-query.ts + components/server-pager.tsx (URL-driven server pager, two-list keys). Converted: sponsor campaigns list + dashboard + admin board (/campaigns ?page, /campaigns/summary); admin campaigns (tabs, health/attention), briefs picker, eligible athletes, athlete invitations (+/invitations/summary), network reach list; applications desk (+summary); approvals desk + athlete deliverables calendar (month range) (+summary); finance earnings/reconciliation/invoices + athlete earnings (+/earnings/summary; reconciliation no longer built from 500 capped earnings); rewards desk (+summary; campaign picker now searches); advisor students/claims + NEXT sales/prospects/points (DB _sum/groupBy); property roster + inventory (/team/athletes, /team/inventory); athlete home (summaries + top-10 queues). Left client-side on purpose (bounded): package + NIL-job catalogues, commission rules, per-edition NEXT ledgers, integration health, campaign ops roster. Dropped in live mode (computed, not SQL-sortable): campaign spend/progress sort + pacing filter; applications score sort; matching margin/cost sorts; earnings exact last-change order. Verified: backend 1821/1821, frontend 454/454, build green, official e2e 15/7/0, signed-in walk over 20 list routes (200, pagers top+bottom, 0 overflow, 0 console errors).</t>
        </is>
      </c>
    </row>
    <row r="262" s="75">
      <c r="A262" s="104" t="n">
        <v>65.7</v>
      </c>
      <c r="B262" s="105" t="inlineStr">
        <is>
          <t>P3-BE-16</t>
        </is>
      </c>
      <c r="C262" s="81" t="n">
        <v>3</v>
      </c>
      <c r="D262" s="82" t="inlineStr">
        <is>
          <t>Athlete Network</t>
        </is>
      </c>
      <c r="E262" s="139" t="inlineStr">
        <is>
          <t>BE</t>
        </is>
      </c>
      <c r="F262" s="120" t="inlineStr">
        <is>
          <t>Code</t>
        </is>
      </c>
      <c r="G262" s="80" t="inlineStr">
        <is>
          <t>Post-approval athlete profile edits (non-social sections)</t>
        </is>
      </c>
      <c r="H262" s="107" t="inlineStr">
        <is>
          <t>Let an approved athlete change their own profile sections - identity, sport, capabilities, interests, restrictions - with BTG review before anything public changes. Today only socials (PUT /athletes/:id/socials) can be written after approval.</t>
        </is>
      </c>
      <c r="I262" s="108" t="inlineStr">
        <is>
          <t>Done</t>
        </is>
      </c>
      <c r="J262" s="108" t="n">
        <v>3</v>
      </c>
      <c r="K262" s="109" t="inlineStr">
        <is>
          <t>2026-09-29</t>
        </is>
      </c>
      <c r="L262" s="109" t="inlineStr">
        <is>
          <t>2026-09-29</t>
        </is>
      </c>
      <c r="M262" s="110" t="inlineStr">
        <is>
          <t>HeckerCreatives</t>
        </is>
      </c>
      <c r="N262" s="81" t="n"/>
      <c r="O262" s="80" t="inlineStr">
        <is>
          <t>P3-FE-03</t>
        </is>
      </c>
      <c r="P262" s="80" t="inlineStr">
        <is>
          <t>An athlete can submit a change to each editable section; public-facing changes reach the public profile only after BTG approves; restrictions changes feed the conflict check; tenant + own-scope tests; the live editor offers Save for those sections</t>
        </is>
      </c>
      <c r="Q262" s="82" t="inlineStr">
        <is>
          <t>§11, §24</t>
        </is>
      </c>
      <c r="R262" s="111" t="inlineStr">
        <is>
          <t>Raised 2026-09-29 by HeckerCreatives during P2-FE-01. Product decision (user, 2026-09-29): until this lands, the live editor is seeded from /athletes/me, saves socials only, and every other section says "ask your BTG contact". Needs a change-request model (or a direct-save policy decision) before code. Built 2026-09-29: AthleteProfileChange model, POST /athletes/:id/profile-changes, GET /profile-changes (paged desk), approve/decline/withdraw; /admin/profile-changes desk; live editor sections send change requests.</t>
        </is>
      </c>
    </row>
    <row r="263" s="75">
      <c r="A263" s="104" t="n">
        <v>82.5</v>
      </c>
      <c r="B263" s="105" t="inlineStr">
        <is>
          <t>P3-FE-08</t>
        </is>
      </c>
      <c r="C263" s="81" t="n">
        <v>3</v>
      </c>
      <c r="D263" s="82" t="inlineStr">
        <is>
          <t>Athlete Network</t>
        </is>
      </c>
      <c r="E263" s="139" t="inlineStr">
        <is>
          <t>FE</t>
        </is>
      </c>
      <c r="F263" s="120" t="inlineStr">
        <is>
          <t>Code</t>
        </is>
      </c>
      <c r="G263" s="80" t="inlineStr">
        <is>
          <t>Public athlete profile on real data for ACTIVE athletes</t>
        </is>
      </c>
      <c r="H263" s="107" t="inlineStr">
        <is>
          <t>The public /athletes/[slug] page renders real data only for FEATURED athletes; an ACTIVE athlete still gets the fixture profile view. Render ACTIVE athletes from GET /public/athletes/:slug (public fields only).</t>
        </is>
      </c>
      <c r="I263" s="108" t="inlineStr">
        <is>
          <t>Done</t>
        </is>
      </c>
      <c r="J263" s="108" t="n">
        <v>1</v>
      </c>
      <c r="K263" s="109" t="inlineStr">
        <is>
          <t>2026-09-29</t>
        </is>
      </c>
      <c r="L263" s="109" t="inlineStr">
        <is>
          <t>2026-09-29</t>
        </is>
      </c>
      <c r="M263" s="110" t="inlineStr">
        <is>
          <t>HeckerCreatives</t>
        </is>
      </c>
      <c r="N263" s="81" t="n"/>
      <c r="O263" s="80" t="inlineStr">
        <is>
          <t>P9-BE-11</t>
        </is>
      </c>
      <c r="P263" s="80" t="inlineStr">
        <is>
          <t>An ACTIVE athlete's public page shows their own public fields from Postgres, never a fixture; no legal name, contact, age or pay; minors follow the same rule as FEATURED; unknown slugs are a not-found</t>
        </is>
      </c>
      <c r="Q263" s="82" t="inlineStr">
        <is>
          <t>§9 screen 5</t>
        </is>
      </c>
      <c r="R263" s="111" t="inlineStr">
        <is>
          <t>Raised 2026-09-29 by HeckerCreatives during P2-FE-01: the live property pages do not link roster names to /athletes/[slug] for this reason. Built 2026-09-29: /public/athletes/:slug carries the §11 public sections; /athletes/[slug] renders ACTIVE live, unknown slug → 404, outage → error.</t>
        </is>
      </c>
    </row>
    <row r="264" s="75">
      <c r="A264" s="104" t="n">
        <v>32.6</v>
      </c>
      <c r="B264" s="105" t="inlineStr">
        <is>
          <t>P1-ART-09</t>
        </is>
      </c>
      <c r="C264" s="81" t="n">
        <v>1</v>
      </c>
      <c r="D264" s="82" t="inlineStr">
        <is>
          <t>UI Scaffold on Fixtures</t>
        </is>
      </c>
      <c r="E264" s="139" t="inlineStr">
        <is>
          <t>ART</t>
        </is>
      </c>
      <c r="F264" s="120" t="inlineStr">
        <is>
          <t>Code</t>
        </is>
      </c>
      <c r="G264" s="80" t="inlineStr">
        <is>
          <t>Landing 3D — cyberpunk city environment behind the public home</t>
        </is>
      </c>
      <c r="H264" s="107" t="inlineStr">
        <is>
          <t>A full cyberpunk city built from the Leartes Modular Stylized Cyberpunk Street kit as the fixed 3D background of the public home: a plaza with a pedestal at its centre, an open basketball court, an open soccer field, an open baseball field and a skyscraper on one boulevard, with no overlapping objects. Kit converted from the unitypackage to a shared-texture GLB (Blender + gltf-transform, WebP, meshopt); the site plan is data (layout.ts) checked by a vitest that fails on any disallowed overlap; rendered with React Three Fiber behind the existing page content, capability-gated with a poster fallback.</t>
        </is>
      </c>
      <c r="I264" s="108" t="inlineStr">
        <is>
          <t>Done</t>
        </is>
      </c>
      <c r="J264" s="108" t="n">
        <v>4</v>
      </c>
      <c r="K264" s="109" t="inlineStr">
        <is>
          <t>2026-09-29</t>
        </is>
      </c>
      <c r="L264" s="109" t="inlineStr">
        <is>
          <t>2026-10-02</t>
        </is>
      </c>
      <c r="M264" s="110" t="inlineStr">
        <is>
          <t>HeckerCreatives</t>
        </is>
      </c>
      <c r="N264" s="81" t="n">
        <v>0</v>
      </c>
      <c r="O264" s="80" t="n"/>
      <c r="P264" s="80" t="inlineStr">
        <is>
          <t>All six elements present and identifiable at /?orbit=1; city-layout test proves zero overlaps outside authored kits and every object inside the site; home renders full content over the poster with WebGL off, reduced-motion or a low-perf device; npm run build, frontend vitest, eslint and the Playwright smoke green; desktop kit ≤ 14 MB, lite kit ≤ 6 MB.</t>
        </is>
      </c>
      <c r="Q264" s="82" t="inlineStr">
        <is>
          <t>docs/superpowers/specs/2026-09-29-landing-cyberpunk-city-design.md; §9 screen 1</t>
        </is>
      </c>
      <c r="R264" s="111" t="inlineStr">
        <is>
          <t>Environment only — no camera or scroll behaviour in this task. | 2026-10-02 (HeckerCreatives, via Claude): Verified against every acceptance clause: six elements identified by city-layout.test.ts; zero overlaps; poster path for WebGL off / reduced motion / low-perf; kits 6,508,624 B (≤14 MB) and 2,865,200 B (≤6 MB), now gated by tests/city-kit-budget.test.ts (the pipeline only printed OVER and exited 0). Playwright smoke was failing every run (asserted an 'I'm a Sponsor' link and a -z-10 wrapper, gone since the fly-through) — fixed, green on desktop and mobile. Build, frontend vitest (958) and eslint green.</t>
        </is>
      </c>
    </row>
    <row r="265" s="75">
      <c r="A265" s="104" t="n">
        <v>32.7</v>
      </c>
      <c r="B265" s="105" t="inlineStr">
        <is>
          <t>P1-ART-10</t>
        </is>
      </c>
      <c r="C265" s="81" t="n">
        <v>1</v>
      </c>
      <c r="D265" s="82" t="inlineStr">
        <is>
          <t>UI Scaffold on Fixtures</t>
        </is>
      </c>
      <c r="E265" s="139" t="inlineStr">
        <is>
          <t>ART</t>
        </is>
      </c>
      <c r="F265" s="120" t="inlineStr">
        <is>
          <t>Code</t>
        </is>
      </c>
      <c r="G265" s="80" t="inlineStr">
        <is>
          <t>Landing 3D — scroll-driven drone fly-through of the city</t>
        </is>
      </c>
      <c r="H265" s="107" t="inlineStr">
        <is>
          <t>The public home becomes a cinematic fly-through of the P1-ART-09 city: one fixed full-screen React Three Fiber canvas that never scrolls, a tall empty scroll track (~600svh) smoothed by Lenis, and a single progress number (scrollY over the scrollable range, 0..1) in a zustand store that drives the whole camera. A drone camera flies two Catmull-Rom splines (position and gaze) through five waypoints in order — the plaza (the unchanged header viewpoint), the basketball court, the soccer field, the baseball field, the skyscraper — decelerating into each and accelerating out, with banking and a hover bob; the last leg swoops down to 2 m over the boulevard and tilts up at the SPONSORX wordmark on the forecourt screen with the tower behind it. Each waypoint owns one 2D overlay (hero + stats, how it works, sponsor packages, athletes, closing CTA) that is fully visible only around that waypoint's centre and fades out as the user scrolls on; the nav's section anchors scroll to their stop.</t>
        </is>
      </c>
      <c r="I265" s="108" t="inlineStr">
        <is>
          <t>Done</t>
        </is>
      </c>
      <c r="J265" s="108" t="n">
        <v>2</v>
      </c>
      <c r="K265" s="109" t="n">
        <v>46295</v>
      </c>
      <c r="L265" s="109" t="inlineStr">
        <is>
          <t>2026-10-02</t>
        </is>
      </c>
      <c r="M265" s="110" t="inlineStr">
        <is>
          <t>HeckerCreatives</t>
        </is>
      </c>
      <c r="N265" s="81" t="n">
        <v>0</v>
      </c>
      <c r="O265" s="80" t="inlineStr">
        <is>
          <t>P1-ART-09</t>
        </is>
      </c>
      <c r="P265" s="80" t="inlineStr">
        <is>
          <t>Progress 0 is exactly the P1-ART-09 header viewpoint; the camera passes the five waypoints in the brief's order and the flight test proves ≥1.5 m clearance from every building, prop and venue box and never leaves the site; each overlay is visible only on its stop's plateau, none mid-leg (tested); nav hash links and a hash on load land on the right stop; no React render per scroll; reduced motion falls back to native scroll and the poster; no-JS shows every section in flow; build, tests and lint green</t>
        </is>
      </c>
      <c r="Q265" s="82" t="inlineStr">
        <is>
          <t>§9 screen 1; frontend/src/lib/city/flight.ts; tests/city-flight.test.ts</t>
        </is>
      </c>
      <c r="R265" s="111" t="inlineStr">
        <is>
          <t>Raised 2026-09-30 by the programme owner (rules pasted in session: R3F + three + lenis + zustand, fixed canvas, ~600vh track, progress = scrollY/(scrollHeight−innerHeight), overlays fade in per scroll band; waypoints plaza → basketball → soccer → baseball → skyscraper, drone feel, 2D UI only at each waypoint's centre). Built 2026-09-30: lib/city/flight.ts (+ flight-store.ts), components/city/flight-rig.tsx, scroll-track.tsx, flight-stop.tsx; home page rewritten as five FlightStops; lenis 1.3.26 and zustand 5.0.15 added to the frontend workspace. Owner's mid-session note: the skyscraper leg must fly low above the ground looking up at the SponsorX lettering — done (the gantry wordmark, z −182). | 2026-10-02 (HeckerCreatives, via Claude): Verified against every acceptance clause (city-flight.test.ts, flight-stop.tsx, scroll-track.tsx). Progress 0 = the scene's resting camera by construction (KNOTS[0]); that pose was re-authored after P1-ART-09 first shipped ([6,7,52]→[4.2,1.35,41]) — the current header view. Build, tests, lint green.</t>
        </is>
      </c>
    </row>
    <row r="266" s="75">
      <c r="A266" s="104" t="n">
        <v>32.8</v>
      </c>
      <c r="B266" s="105" t="inlineStr">
        <is>
          <t>P1-ART-11</t>
        </is>
      </c>
      <c r="C266" s="81" t="n">
        <v>1</v>
      </c>
      <c r="D266" s="82" t="inlineStr">
        <is>
          <t>UI Scaffold on Fixtures</t>
        </is>
      </c>
      <c r="E266" s="139" t="inlineStr">
        <is>
          <t>ART</t>
        </is>
      </c>
      <c r="F266" s="120" t="inlineStr">
        <is>
          <t>Code</t>
        </is>
      </c>
      <c r="G266" s="80" t="inlineStr">
        <is>
          <t>Landing 3D — loading screen and entrance</t>
        </is>
      </c>
      <c r="H266" s="107" t="inlineStr">
        <is>
          <t>A hard load or refresh of any public page (the home, and since 2026-09-30 every (public) page such as For Sponsors and For Athletes) opens on a full-screen boot screen, once per document, that stays up until the page can actually be shown, then flies out into the hero. The loader is the isometric server cube from the owner's reference (uiverse fresh-yak-92) rebuilt in CSS 3D in the brand blues, with a hologram letter X turning on a projector beam in the glow of its top face — the pedestal's hologram. Its number is honest: a weighted sum of the city's files streamed by byte (the tier's kit GLB + the environment HDR, cached into three.js so the scene never downloads them twice), the scene chunk arriving and the first drawn city frame, and the page's fonts + window load. Poster-only devices skip the scene share; a safety timeout never strands the visitor. At 100 the rig flares and scales toward the viewer as the overlay fades while the header, hero copy, impact card and the two bands rise in one after another.</t>
        </is>
      </c>
      <c r="I266" s="108" t="inlineStr">
        <is>
          <t>Done</t>
        </is>
      </c>
      <c r="J266" s="108" t="n">
        <v>1</v>
      </c>
      <c r="K266" s="109" t="n">
        <v>46295</v>
      </c>
      <c r="L266" s="109" t="inlineStr">
        <is>
          <t>2026-10-02</t>
        </is>
      </c>
      <c r="M266" s="110" t="inlineStr">
        <is>
          <t>HeckerCreatives</t>
        </is>
      </c>
      <c r="N266" s="81" t="n">
        <v>0</v>
      </c>
      <c r="O266" s="80" t="inlineStr">
        <is>
          <t>P1-ART-09, P1-ART-10</t>
        </is>
      </c>
      <c r="P266" s="80" t="inlineStr">
        <is>
          <t>Loader is the first paint on a hard load or refresh of any public page, never on a client-side move between them (P1-ART-12's transition); off the home it waits on fonts + load alone; 100 only after the first city frame (or at once on the poster path); the counter never overshoots the real progress; files are downloaded once (three's cache serves the scene); the hero is hidden until the loader leaves, then staggers in; no-JS shows the page with no loader; weighting, byte maths and finish rule unit-tested; build, tests and lint green</t>
        </is>
      </c>
      <c r="Q266" s="82" t="inlineStr">
        <is>
          <t>§9 screen 1; frontend/src/lib/city/loading.ts; frontend/src/components/landing-loader.tsx; tests/city-loading.test.ts</t>
        </is>
      </c>
      <c r="R266" s="111" t="inlineStr">
        <is>
          <t>Raised 2026-09-30 by the programme owner (loader reference + screenshot pasted in session; the X in the glow so it reads as a hologram; must track the real three.js load to 100; think through the transition). Built 2026-09-30: lib/city/loading.ts + load-store.ts + assets.ts, components/landing-loader.tsx + .module.css, components/city/city-preload.ts; city-backdrop streams files first and writes the load store; (home) layout + page carry the sx-reveal entrance. Rescoped 2026-09-30 by the owner: boot-once per document (html[data-sx-booted]) and also mounted in the (public) layout (city={false}); client-side moves get P1-ART-12. | 2026-10-02 (HeckerCreatives, via Claude): Verified against every acceptance clause; weighting, byte maths and finish rule unit-tested; no-JS shows no loader. Build, tests, lint green. Not covered: a WebGL context that fails inside the canvas waits out the 25 s safety timeout.</t>
        </is>
      </c>
    </row>
    <row r="267" s="75">
      <c r="A267" s="104" t="n">
        <v>32.9</v>
      </c>
      <c r="B267" s="105" t="inlineStr">
        <is>
          <t>P1-ART-12</t>
        </is>
      </c>
      <c r="C267" s="81" t="n">
        <v>1</v>
      </c>
      <c r="D267" s="82" t="inlineStr">
        <is>
          <t>UI Scaffold on Fixtures</t>
        </is>
      </c>
      <c r="E267" s="139" t="inlineStr">
        <is>
          <t>ART</t>
        </is>
      </c>
      <c r="F267" s="120" t="inlineStr">
        <is>
          <t>Code</t>
        </is>
      </c>
      <c r="G267" s="80" t="inlineStr">
        <is>
          <t>Public site — page transition between pages</t>
        </is>
      </c>
      <c r="H267" s="107" t="inlineStr">
        <is>
          <t>Client-side moves between public pages get a second loading screen, separate from the boot screen: a route transition built on the brand's X. On click the X grows out of the click point in three layers (orange, blue, ink), twisting into place until the ink covers the screen, and the destination's name rises in letter by letter over a blueprint grid, a light sweep and a giant outline X drawing itself. The route is prefetched at the click and pushed once covered; the overlay holds until the page is really there (for the home: the city's first drawn frame, with the real load-store counter). Then an X-shaped hole tears open in the ink, then the blue, then the orange, widening until the new page is all there is while the home's hero entrance plays through it. Back/forward start covered and play only the reveal. Sign-in, portals and the fan QR page keep plain navigation.</t>
        </is>
      </c>
      <c r="I267" s="108" t="inlineStr">
        <is>
          <t>Done</t>
        </is>
      </c>
      <c r="J267" s="108" t="n">
        <v>1</v>
      </c>
      <c r="K267" s="109" t="n">
        <v>46295</v>
      </c>
      <c r="L267" s="109" t="inlineStr">
        <is>
          <t>2026-10-02</t>
        </is>
      </c>
      <c r="M267" s="110" t="inlineStr">
        <is>
          <t>HeckerCreatives</t>
        </is>
      </c>
      <c r="N267" s="81" t="n">
        <v>0</v>
      </c>
      <c r="O267" s="80" t="inlineStr">
        <is>
          <t>P1-ART-11</t>
        </is>
      </c>
      <c r="P267" s="80" t="inlineStr">
        <is>
          <t>A client-side move between public pages never shows the boot screen and always plays the transition; a hard refresh on any public page shows the boot screen; the X covers every viewport point before the route swaps, from any click point (unit-tested); one point count per shape across keyframes; the home reveals only after the city's first frame and replays its entrance; back/forward never seen uncovered; scroll locked while covered and always released; reduced motion gets a plain fade; build, tests and lint green</t>
        </is>
      </c>
      <c r="Q267" s="82" t="inlineStr">
        <is>
          <t>§9 screen 1; frontend/src/lib/page-transition.ts; frontend/src/components/page-transition.tsx (+ .module.css); tests/page-transition.test.ts</t>
        </is>
      </c>
      <c r="R267" s="111" t="inlineStr">
        <is>
          <t>Raised 2026-09-30 by the programme owner: For Sponsors / For Athletes -&gt; Home replayed the boot loader; wanted a separate, awwwards-grade transition loader, and the boot loader on a refresh of every public page. Built 2026-09-30: PageTransition mounted in the root layout (survives the (home)/(public) group change), one window capture-phase click listener (Next &lt;Link&gt; honours defaultPrevented), WAAPI clip-path polygons; LandingLoader boot-once + mounted in the (public) layout. | 2026-10-02 (HeckerCreatives, via Claude): Verified against every acceptance clause after three fixes: (1) the scroll lock saved/restored html.style.overflow, which the boot screen also locks — a link followed mid-boot left the page locked for good; now an attribute the transition owns (html[data-sx-scroll-lock]); (2) a cancelled cover/reveal animation was swallowed and the phase never ended (covered for good, or every later link dropped) — both settle on reject and have a deadline; (3) back pressed during the cover pushed the clicked link anyway — now opens where the visitor is. Decisions in lib/page-transition.ts, unit-tested (16).</t>
        </is>
      </c>
    </row>
    <row r="268" s="75">
      <c r="A268" s="104" t="n">
        <v>209.5</v>
      </c>
      <c r="B268" s="105" t="inlineStr">
        <is>
          <t>P9-BE-16</t>
        </is>
      </c>
      <c r="C268" s="81" t="n">
        <v>9</v>
      </c>
      <c r="D268" s="82" t="inlineStr">
        <is>
          <t>SponsorX NEXT</t>
        </is>
      </c>
      <c r="E268" s="139" t="inlineStr">
        <is>
          <t>BE</t>
        </is>
      </c>
      <c r="F268" s="120" t="inlineStr">
        <is>
          <t>Code</t>
        </is>
      </c>
      <c r="G268" s="80" t="inlineStr">
        <is>
          <t>Route edition ad artwork through the approval board</t>
        </is>
      </c>
      <c r="H268" s="107" t="inlineStr">
        <is>
          <t>An advertiser's artwork for an edition ad slot has no approval step. EditionAsset carries no review state, and the approval board (DeliverableState) needs a Deliverable on a Campaign Order, which an ad-only NEXT campaign never has. The spec says artwork goes 'through CreativeAsset and the approval board' (§3 calls it rename-only; the model says otherwise). Give ad artwork a path onto the board — BTG review, then the sponsor's sign-off — before an edition goes to production.</t>
        </is>
      </c>
      <c r="I268" s="108" t="inlineStr">
        <is>
          <t>Done</t>
        </is>
      </c>
      <c r="J268" s="108" t="n">
        <v>3</v>
      </c>
      <c r="K268" s="109" t="n">
        <v>46297</v>
      </c>
      <c r="L268" s="109" t="n">
        <v>46297</v>
      </c>
      <c r="M268" s="110" t="inlineStr">
        <is>
          <t>rcfworks</t>
        </is>
      </c>
      <c r="N268" s="81" t="n">
        <v>1</v>
      </c>
      <c r="O268" s="80" t="inlineStr">
        <is>
          <t>P9-BE-10, P9-FE-03</t>
        </is>
      </c>
      <c r="P268" s="80" t="inlineStr">
        <is>
          <t>Artwork for a sold slot reaches BTG review and the sponsor's sign-off on the existing approval board, with no new state machine; an edition cannot enter production while any sold slot's artwork is unapproved; the decisions are audited; P9-QA-01 clause 4 passes against it</t>
        </is>
      </c>
      <c r="Q268" s="82" t="inlineStr">
        <is>
          <t>Spec §3, §11; found by backend/tests/next-edition-e2e.test.ts (P9-QA-01)</t>
        </is>
      </c>
      <c r="R268" s="111" t="inlineStr">
        <is>
          <t>Raised 2026-10-02 (HeckerCreatives, via Claude) while writing P9-QA-01's end-to-end test: every other clause of that test passes on real code; this is the one the platform cannot do yet. A design choice comes first — whether an ad becomes a Deliverable (and on what order) or the board learns a second kind of subject. | Started 2026-10-02 on option B (the approval board learns edition artwork as a second subject, reusing the deliverable review states). | Built and reviewed 2026-10-02 (option B: the approval board learns edition artwork, reusing the deliverable review states; sponsor sign-off mandatory; production gate on every sold slot; cross-tenant gate fix). P9-QA-01 clause 4 passes against it on a copy with the artwork steps added — the owner of P9-QA-01 adds them to next-edition-e2e.test.ts (lines in the PR / Memory log).</t>
        </is>
      </c>
    </row>
    <row r="269" s="75">
      <c r="A269" s="104" t="n">
        <v>32.95</v>
      </c>
      <c r="B269" s="105" t="inlineStr">
        <is>
          <t>P1-ART-13</t>
        </is>
      </c>
      <c r="C269" s="81" t="n">
        <v>1</v>
      </c>
      <c r="D269" s="82" t="inlineStr">
        <is>
          <t>UI Scaffold on Fixtures</t>
        </is>
      </c>
      <c r="E269" s="139" t="inlineStr">
        <is>
          <t>ART</t>
        </is>
      </c>
      <c r="F269" s="120" t="inlineStr">
        <is>
          <t>Code</t>
        </is>
      </c>
      <c r="G269" s="80" t="inlineStr">
        <is>
          <t>Sign-in — stage redesign, boot screen and page transition</t>
        </is>
      </c>
      <c r="H269" s="107" t="inlineStr">
        <is>
          <t>The /login screen redesigned in the landing's, /packages', /join's and /next/about's visual language. It has a fixed-dark stage with a light that follows the pointer, sweeping floodlights, rising motes and a parallax floor. From lg a HUD column sits next to the sign-in: a scrambled eyebrow, a masked three-line headline, a 'Where you'll land' card that cycles the five workspaces, and the network figures (labelled as samples). The sign-in is in a chamfered glass panel with an outline spotlight, and the page closes with the landing's compact footer. /login also joins the public site's loading screens: a hard load or refresh shows the boot screen (P1-ART-11), and moving between it and the site plays the X transition both ways, labelled 'Login' (P1-ART-12). Signing in (→ /portal) stays a plain navigation.</t>
        </is>
      </c>
      <c r="I269" s="108" t="inlineStr">
        <is>
          <t>Done</t>
        </is>
      </c>
      <c r="J269" s="108" t="n">
        <v>2</v>
      </c>
      <c r="K269" s="109" t="n">
        <v>46297</v>
      </c>
      <c r="L269" s="109" t="n">
        <v>46297</v>
      </c>
      <c r="M269" s="110" t="inlineStr">
        <is>
          <t>HeckerCreatives</t>
        </is>
      </c>
      <c r="N269" s="81" t="n">
        <v>0</v>
      </c>
      <c r="O269" s="80" t="inlineStr">
        <is>
          <t>P1-ART-11, P1-ART-12</t>
        </is>
      </c>
      <c r="P269" s="80" t="inlineStr">
        <is>
          <t>Clerk behaviour unchanged (hash routing, lands on /portal). Fixed-dark in both themes. One viewport down to 1366×700 on desktop, and no horizontal overflow at 390px. Reduced motion shows the still stage. A hard load of /login shows the boot screen first; /login ↔ site moves play the transition; the transition title's descenders (g, p, y) are not clipped. Unit tests, lint and typecheck green.</t>
        </is>
      </c>
      <c r="Q269" s="82" t="inlineStr">
        <is>
          <t>§9 screen 2</t>
        </is>
      </c>
      <c r="R269" s="111" t="inlineStr">
        <is>
          <t>Raised and closed 2026-10-02 on the owner's request. Components: login-stage.tsx, login-fx.tsx. Also fixed: the transition title clipped descenders on every label.</t>
        </is>
      </c>
    </row>
    <row r="270">
      <c r="A270" s="104" t="n">
        <v>90.09999999999999</v>
      </c>
      <c r="B270" s="105" t="inlineStr">
        <is>
          <t>P4-BE-07</t>
        </is>
      </c>
      <c r="C270" s="81" t="n">
        <v>4</v>
      </c>
      <c r="D270" s="82" t="inlineStr">
        <is>
          <t>Sponsor Demand &amp; Matching</t>
        </is>
      </c>
      <c r="E270" s="139" t="inlineStr">
        <is>
          <t>BE</t>
        </is>
      </c>
      <c r="F270" s="120" t="inlineStr">
        <is>
          <t>Code</t>
        </is>
      </c>
      <c r="G270" s="80" t="inlineStr">
        <is>
          <t>Brief readiness checklist</t>
        </is>
      </c>
      <c r="H270" s="107" t="inlineStr">
        <is>
          <t>BTG's brief desk shows a checklist on each brief: objective written, valid dates, budget at or above the price floor, sponsor approved, eligible athletes after conflicts (with the count), and category conflicts flagged. A draft brief passing them is shown as ready for review. BTG still qualifies and approves by hand.</t>
        </is>
      </c>
      <c r="I270" s="108" t="inlineStr">
        <is>
          <t>Done</t>
        </is>
      </c>
      <c r="J270" s="108" t="n">
        <v>1</v>
      </c>
      <c r="K270" s="109" t="n">
        <v>46298</v>
      </c>
      <c r="L270" s="109" t="n">
        <v>46298</v>
      </c>
      <c r="M270" s="110" t="inlineStr">
        <is>
          <t>rcfworks</t>
        </is>
      </c>
      <c r="N270" s="81" t="inlineStr">
        <is>
          <t>P4-FE-08</t>
        </is>
      </c>
      <c r="O270" s="80" t="inlineStr">
        <is>
          <t>P4-BE-01, P4-BE-03</t>
        </is>
      </c>
      <c r="P270" s="80" t="inlineStr">
        <is>
          <t>Each brief shows its checklist and whether it is ready for review; the desk filters to ready briefs; no brief changes state on its own</t>
        </is>
      </c>
      <c r="Q270" s="82" t="inlineStr">
        <is>
          <t>BTG admin review item 18, 2026-10-03</t>
        </is>
      </c>
      <c r="R270" s="111" t="inlineStr">
        <is>
          <t>Raised 2026-10-03 from the BTG admin review: BTG keeps the decision; the busywork around it is automated. | Reviewed 2026-10-03: backend 2465/2467 on two runs (only next-edition-e2e 4-5); frontend 1096/1096; tsc and eslint clean.</t>
        </is>
      </c>
    </row>
    <row r="271">
      <c r="A271" s="104" t="n">
        <v>90.2</v>
      </c>
      <c r="B271" s="105" t="inlineStr">
        <is>
          <t>P4-BE-08</t>
        </is>
      </c>
      <c r="C271" s="81" t="n">
        <v>4</v>
      </c>
      <c r="D271" s="82" t="inlineStr">
        <is>
          <t>Sponsor Demand &amp; Matching</t>
        </is>
      </c>
      <c r="E271" s="139" t="inlineStr">
        <is>
          <t>BE</t>
        </is>
      </c>
      <c r="F271" s="120" t="inlineStr">
        <is>
          <t>Code</t>
        </is>
      </c>
      <c r="G271" s="80" t="inlineStr">
        <is>
          <t>Ranked shortlist with reasons; offers pre-filled</t>
        </is>
      </c>
      <c r="H271" s="107" t="inlineStr">
        <is>
          <t>The matching shortlist is ranked (sport, state, completed work, rate fit, recent activity) with the reasons shown; conflicts are still excluded first. A pre-filled offer draft comes from the athlete's rate card, the job's sell range and floor, the deliverable template and the brief. BTG still chooses and sends.</t>
        </is>
      </c>
      <c r="I271" s="108" t="inlineStr">
        <is>
          <t>Done</t>
        </is>
      </c>
      <c r="J271" s="108" t="n">
        <v>2</v>
      </c>
      <c r="K271" s="109" t="n">
        <v>46298</v>
      </c>
      <c r="L271" s="109" t="n">
        <v>46298</v>
      </c>
      <c r="M271" s="110" t="inlineStr">
        <is>
          <t>rcfworks</t>
        </is>
      </c>
      <c r="N271" s="81" t="inlineStr">
        <is>
          <t>P4-FE-08</t>
        </is>
      </c>
      <c r="O271" s="80" t="inlineStr">
        <is>
          <t>P4-BE-03, P4-BE-04</t>
        </is>
      </c>
      <c r="P271" s="80" t="inlineStr">
        <is>
          <t>The shortlist is ordered by score with reasons and never includes a conflicted athlete; the offer draft fills each field from its source, respects the price floor and passes offer validation unchanged; nothing is sent without BTG</t>
        </is>
      </c>
      <c r="Q271" s="82" t="inlineStr">
        <is>
          <t>BTG admin review item 19, 2026-10-03</t>
        </is>
      </c>
      <c r="R271" s="111" t="inlineStr">
        <is>
          <t>Raised 2026-10-03 from the BTG admin review: BTG keeps the decision; the busywork around it is automated. | Reviewed 2026-10-03: backend 2465/2467 on two runs (only next-edition-e2e 4-5); frontend 1096/1096; tsc and eslint clean.</t>
        </is>
      </c>
    </row>
    <row r="272">
      <c r="A272" s="104" t="n">
        <v>90.3</v>
      </c>
      <c r="B272" s="105" t="inlineStr">
        <is>
          <t>P4-BE-09</t>
        </is>
      </c>
      <c r="C272" s="81" t="n">
        <v>4</v>
      </c>
      <c r="D272" s="82" t="inlineStr">
        <is>
          <t>Sponsor Demand &amp; Matching</t>
        </is>
      </c>
      <c r="E272" s="139" t="inlineStr">
        <is>
          <t>BE</t>
        </is>
      </c>
      <c r="F272" s="120" t="inlineStr">
        <is>
          <t>Code</t>
        </is>
      </c>
      <c r="G272" s="80" t="inlineStr">
        <is>
          <t>Campaign stages move by themselves</t>
        </is>
      </c>
      <c r="H272" s="107" t="inlineStr">
        <is>
          <t>Stage moves that are facts happen automatically: staffing → approval when the package's maximum athletes have signed and nothing is outstanding (below that, or with no package, BTG moves it); active → reporting when every deliverable is verified; reporting → completed when the final report renders. BTG keeps launching and cancelling. Campaigns show their next step.</t>
        </is>
      </c>
      <c r="I272" s="108" t="inlineStr">
        <is>
          <t>Done</t>
        </is>
      </c>
      <c r="J272" s="108" t="n">
        <v>2</v>
      </c>
      <c r="K272" s="109" t="n">
        <v>46298</v>
      </c>
      <c r="L272" s="109" t="n">
        <v>46298</v>
      </c>
      <c r="M272" s="110" t="inlineStr">
        <is>
          <t>rcfworks</t>
        </is>
      </c>
      <c r="N272" s="81" t="inlineStr">
        <is>
          <t>P4-FE-08</t>
        </is>
      </c>
      <c r="O272" s="80" t="inlineStr">
        <is>
          <t>P4-BE-06</t>
        </is>
      </c>
      <c r="P272" s="80" t="inlineStr">
        <is>
          <t>Each automatic move happens on its event and only when its whole condition holds; a sweep catches missed events; manual and automatic moves never both apply; each campaign shows its next step</t>
        </is>
      </c>
      <c r="Q272" s="82" t="inlineStr">
        <is>
          <t>BTG admin review item 20, 2026-10-03</t>
        </is>
      </c>
      <c r="R272" s="111" t="inlineStr">
        <is>
          <t>Raised 2026-10-03 from the BTG admin review: BTG keeps the decision; the busywork around it is automated. | Reviewed 2026-10-03: backend 2465/2467 on two runs (only next-edition-e2e 4-5); frontend 1096/1096; tsc and eslint clean. Staffing moves on its own only at the package athlete maximum with nothing outstanding; creating orders, offers and invitations takes the campaign lock.</t>
        </is>
      </c>
    </row>
    <row r="273">
      <c r="A273" s="104" t="n">
        <v>102.5</v>
      </c>
      <c r="B273" s="105" t="inlineStr">
        <is>
          <t>P5-BE-09</t>
        </is>
      </c>
      <c r="C273" s="81" t="n">
        <v>5</v>
      </c>
      <c r="D273" s="82" t="inlineStr">
        <is>
          <t>Campaign Execution</t>
        </is>
      </c>
      <c r="E273" s="139" t="inlineStr">
        <is>
          <t>BE</t>
        </is>
      </c>
      <c r="F273" s="120" t="inlineStr">
        <is>
          <t>Code</t>
        </is>
      </c>
      <c r="G273" s="80" t="inlineStr">
        <is>
          <t>Content checked before BTG reviews it; review reminders</t>
        </is>
      </c>
      <c r="H273" s="107" t="inlineStr">
        <is>
          <t>When an athlete submits a draft (now with its caption), the system checks a file is attached, the file type is allowed and the required disclosures such as #ad are in the caption. A failing draft goes straight back to the athlete with the reasons and never reaches BTG. Drafts waiting more than 48 hours in BTG or sponsor review trigger one reminder each. BTG still approves every draft.</t>
        </is>
      </c>
      <c r="I273" s="108" t="inlineStr">
        <is>
          <t>Done</t>
        </is>
      </c>
      <c r="J273" s="108" t="n">
        <v>2</v>
      </c>
      <c r="K273" s="109" t="n">
        <v>46298</v>
      </c>
      <c r="L273" s="109" t="n">
        <v>46298</v>
      </c>
      <c r="M273" s="110" t="inlineStr">
        <is>
          <t>rcfworks</t>
        </is>
      </c>
      <c r="N273" s="81" t="inlineStr">
        <is>
          <t>P4-FE-08</t>
        </is>
      </c>
      <c r="O273" s="80" t="inlineStr">
        <is>
          <t>P5-BE-01</t>
        </is>
      </c>
      <c r="P273" s="80" t="inlineStr">
        <is>
          <t>A failing draft returns to the athlete with reasons and never reaches BTG; a passing draft reaches BTG with its checks shown; each reminder is sent once after 48 hours</t>
        </is>
      </c>
      <c r="Q273" s="82" t="inlineStr">
        <is>
          <t>BTG admin review item 21, 2026-10-03</t>
        </is>
      </c>
      <c r="R273" s="111" t="inlineStr">
        <is>
          <t>Raised 2026-10-03 from the BTG admin review: BTG keeps the decision; the busywork around it is automated. | Reviewed 2026-10-03: backend 2465/2467 on two runs (only next-edition-e2e 4-5); frontend 1096/1096; tsc and eslint clean.</t>
        </is>
      </c>
    </row>
    <row r="274">
      <c r="A274" s="104" t="n">
        <v>128.6</v>
      </c>
      <c r="B274" s="105" t="inlineStr">
        <is>
          <t>P6-BE-09</t>
        </is>
      </c>
      <c r="C274" s="81" t="n">
        <v>6</v>
      </c>
      <c r="D274" s="82" t="inlineStr">
        <is>
          <t>Measurement &amp; Reward</t>
        </is>
      </c>
      <c r="E274" s="139" t="inlineStr">
        <is>
          <t>BE</t>
        </is>
      </c>
      <c r="F274" s="120" t="inlineStr">
        <is>
          <t>Code</t>
        </is>
      </c>
      <c r="G274" s="80" t="inlineStr">
        <is>
          <t>Rewards follow their campaign</t>
        </is>
      </c>
      <c r="H274" s="107" t="inlineStr">
        <is>
          <t>When BTG launches a campaign, its complete draft rewards go live; incomplete ones stay draft. When a campaign is cancelled, its live rewards pause. On completion rewards are left to their own expiry.</t>
        </is>
      </c>
      <c r="I274" s="108" t="inlineStr">
        <is>
          <t>Done</t>
        </is>
      </c>
      <c r="J274" s="108" t="n">
        <v>1</v>
      </c>
      <c r="K274" s="109" t="n">
        <v>46298</v>
      </c>
      <c r="L274" s="109" t="n">
        <v>46298</v>
      </c>
      <c r="M274" s="110" t="inlineStr">
        <is>
          <t>rcfworks</t>
        </is>
      </c>
      <c r="N274" s="81" t="inlineStr">
        <is>
          <t>P4-FE-08</t>
        </is>
      </c>
      <c r="O274" s="80" t="inlineStr">
        <is>
          <t>P6-BE-01, P4-BE-09</t>
        </is>
      </c>
      <c r="P274" s="80" t="inlineStr">
        <is>
          <t>Complete draft rewards go live on launch and incomplete ones stay draft; live rewards pause on cancel; completion leaves rewards to expire on their own</t>
        </is>
      </c>
      <c r="Q274" s="82" t="inlineStr">
        <is>
          <t>BTG admin review item 22, 2026-10-03</t>
        </is>
      </c>
      <c r="R274" s="111" t="inlineStr">
        <is>
          <t>Raised 2026-10-03 from the BTG admin review: BTG keeps the decision; the busywork around it is automated. | Reviewed 2026-10-03: backend 2465/2467 on two runs (only next-edition-e2e 4-5); frontend 1096/1096; tsc and eslint clean.</t>
        </is>
      </c>
    </row>
    <row r="275">
      <c r="A275" s="104" t="n">
        <v>97.5</v>
      </c>
      <c r="B275" s="105" t="inlineStr">
        <is>
          <t>P4-FE-08</t>
        </is>
      </c>
      <c r="C275" s="81" t="n">
        <v>4</v>
      </c>
      <c r="D275" s="82" t="inlineStr">
        <is>
          <t>Sponsor Demand &amp; Matching</t>
        </is>
      </c>
      <c r="E275" s="139" t="inlineStr">
        <is>
          <t>FE</t>
        </is>
      </c>
      <c r="F275" s="120" t="inlineStr">
        <is>
          <t>Code</t>
        </is>
      </c>
      <c r="G275" s="80" t="inlineStr">
        <is>
          <t>Managed-flow automation, on screen</t>
        </is>
      </c>
      <c r="H275" s="107" t="inlineStr">
        <is>
          <t>Small additions to existing screens: brief readiness checklist and ready filter; ranked shortlist with reasons and a pre-filled offer form; content checks, caption and waiting badges; campaign next step and automatic-move notes; reward 'goes live at launch'.</t>
        </is>
      </c>
      <c r="I275" s="108" t="inlineStr">
        <is>
          <t>Done</t>
        </is>
      </c>
      <c r="J275" s="108" t="n">
        <v>2</v>
      </c>
      <c r="K275" s="109" t="n">
        <v>46298</v>
      </c>
      <c r="L275" s="109" t="n">
        <v>46298</v>
      </c>
      <c r="M275" s="110" t="inlineStr">
        <is>
          <t>rcfworks</t>
        </is>
      </c>
      <c r="N275" s="81" t="n"/>
      <c r="O275" s="80" t="inlineStr">
        <is>
          <t>P4-BE-07, P4-BE-08, P4-BE-09, P5-BE-09, P6-BE-09</t>
        </is>
      </c>
      <c r="P275" s="80" t="inlineStr">
        <is>
          <t>Each screen shows what the system did or checked and what is left for BTG</t>
        </is>
      </c>
      <c r="Q275" s="82" t="inlineStr">
        <is>
          <t>BTG admin review items 18 to 22, 2026-10-03</t>
        </is>
      </c>
      <c r="R275" s="111" t="inlineStr">
        <is>
          <t>Raised 2026-10-03 from the BTG admin review: BTG keeps the decision; the busywork around it is automated. | Reviewed 2026-10-03: backend 2465/2467 on two runs (only next-edition-e2e 4-5); frontend 1096/1096; tsc and eslint clean.</t>
        </is>
      </c>
    </row>
    <row r="276">
      <c r="A276" s="104" t="n">
        <v>88.5</v>
      </c>
      <c r="B276" s="105" t="inlineStr">
        <is>
          <t>P4-BE-10</t>
        </is>
      </c>
      <c r="C276" s="81" t="n">
        <v>4</v>
      </c>
      <c r="D276" s="82" t="inlineStr">
        <is>
          <t>Sponsor Demand &amp; Matching</t>
        </is>
      </c>
      <c r="E276" s="139" t="inlineStr">
        <is>
          <t>BE</t>
        </is>
      </c>
      <c r="F276" s="120" t="inlineStr">
        <is>
          <t>Code</t>
        </is>
      </c>
      <c r="G276" s="80" t="inlineStr">
        <is>
          <t>An athlete without restrictions is never dropped from a shortlist</t>
        </is>
      </c>
      <c r="H276" s="107" t="inlineStr">
        <is>
          <t>restrictedCategories was nullable, and the conflict filter is NULL for NULL, so an athlete who never set restrictions vanished from every shortlist for a brief naming categories. Backfilled to an empty list, defaulted and made NOT NULL on Athlete and InventoryItem.</t>
        </is>
      </c>
      <c r="I276" s="108" t="inlineStr">
        <is>
          <t>Done</t>
        </is>
      </c>
      <c r="J276" s="108" t="n">
        <v>1</v>
      </c>
      <c r="K276" s="109" t="n">
        <v>46298</v>
      </c>
      <c r="L276" s="109" t="n">
        <v>46298</v>
      </c>
      <c r="M276" s="110" t="inlineStr">
        <is>
          <t>rcfworks</t>
        </is>
      </c>
      <c r="N276" s="81" t="n"/>
      <c r="O276" s="80" t="inlineStr">
        <is>
          <t>P4-BE-03</t>
        </is>
      </c>
      <c r="P276" s="80" t="inlineStr">
        <is>
          <t>An athlete with no restrictions appears on a shortlist for a brief with categories; the column can never be NULL</t>
        </is>
      </c>
      <c r="Q276" s="82" t="inlineStr">
        <is>
          <t>Found 2026-10-03 while building P4-BE-08</t>
        </is>
      </c>
      <c r="R276" s="111" t="inlineStr">
        <is>
          <t>Raised and closed 2026-10-03. Fix 4fccf98; asserted by tests/sql-rules-in-migrations.test.ts.</t>
        </is>
      </c>
    </row>
    <row r="277">
      <c r="A277" s="104" t="n">
        <v>90.40000000000001</v>
      </c>
      <c r="B277" s="105" t="inlineStr">
        <is>
          <t>P4-BE-11</t>
        </is>
      </c>
      <c r="C277" s="81" t="n">
        <v>4</v>
      </c>
      <c r="D277" s="82" t="inlineStr">
        <is>
          <t>Sponsor Demand &amp; Matching</t>
        </is>
      </c>
      <c r="E277" s="139" t="inlineStr">
        <is>
          <t>BE</t>
        </is>
      </c>
      <c r="F277" s="120" t="inlineStr">
        <is>
          <t>Code</t>
        </is>
      </c>
      <c r="G277" s="80" t="inlineStr">
        <is>
          <t>Sponsor briefs approved automatically</t>
        </is>
      </c>
      <c r="H277" s="107" t="inlineStr">
        <is>
          <t>A brief is qualified, approved and turned into a campaign automatically when the readiness checks pass, it has a package and the budget meets its price, enough athletes fit (package minimum), no category is sensitive and the sponsor is in good standing. Otherwise it is held for BTG with the reason; the sponsor sees only 'BTG is reviewing your request'.</t>
        </is>
      </c>
      <c r="I277" s="108" t="inlineStr">
        <is>
          <t>Done</t>
        </is>
      </c>
      <c r="J277" s="108" t="n">
        <v>2</v>
      </c>
      <c r="K277" s="109" t="n">
        <v>46298</v>
      </c>
      <c r="L277" s="109" t="n">
        <v>46298</v>
      </c>
      <c r="M277" s="110" t="inlineStr">
        <is>
          <t>rcfworks</t>
        </is>
      </c>
      <c r="N277" s="81" t="inlineStr">
        <is>
          <t>P4-BE-12, P4-FE-09</t>
        </is>
      </c>
      <c r="O277" s="80" t="inlineStr">
        <is>
          <t>P4-BE-07</t>
        </is>
      </c>
      <c r="P277" s="80" t="inlineStr">
        <is>
          <t>A brief passing every check becomes a campaign without a person; any failed check holds it for BTG with the reason, BTG emailed once; sensitive and custom briefs always reach BTG</t>
        </is>
      </c>
      <c r="Q277" s="82" t="inlineStr">
        <is>
          <t>BTG admin review item 18, 2026-10-03</t>
        </is>
      </c>
      <c r="R277"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sponsors no longer read BTG closeReason; a cross-tenant SUPER_ADMIN no longer creates campaigns in the wrong tenant.</t>
        </is>
      </c>
    </row>
    <row r="278">
      <c r="A278" s="104" t="n">
        <v>90.5</v>
      </c>
      <c r="B278" s="105" t="inlineStr">
        <is>
          <t>P4-BE-12</t>
        </is>
      </c>
      <c r="C278" s="81" t="n">
        <v>4</v>
      </c>
      <c r="D278" s="82" t="inlineStr">
        <is>
          <t>Sponsor Demand &amp; Matching</t>
        </is>
      </c>
      <c r="E278" s="139" t="inlineStr">
        <is>
          <t>BE</t>
        </is>
      </c>
      <c r="F278" s="120" t="inlineStr">
        <is>
          <t>Code</t>
        </is>
      </c>
      <c r="G278" s="80" t="inlineStr">
        <is>
          <t>Campaigns staff themselves</t>
        </is>
      </c>
      <c r="H278" s="107" t="inlineStr">
        <is>
          <t>Offers go automatically to the top-ranked athletes up to the package maximum, pre-filled and validated, 3-day answer window, within budget; a minor's offer goes to the guardian. A decline or expiry is replaced by the next athlete. Stops for BTG when the list or the budget runs out. BTG can switch automatic staffing off per campaign.</t>
        </is>
      </c>
      <c r="I278" s="108" t="inlineStr">
        <is>
          <t>Done</t>
        </is>
      </c>
      <c r="J278" s="108" t="n">
        <v>3</v>
      </c>
      <c r="K278" s="109" t="n">
        <v>46298</v>
      </c>
      <c r="L278" s="109" t="n">
        <v>46298</v>
      </c>
      <c r="M278" s="110" t="inlineStr">
        <is>
          <t>rcfworks</t>
        </is>
      </c>
      <c r="N278" s="81" t="inlineStr">
        <is>
          <t>P4-FE-09</t>
        </is>
      </c>
      <c r="O278" s="80" t="inlineStr">
        <is>
          <t>P4-BE-08, P4-BE-09, P4-BE-11</t>
        </is>
      </c>
      <c r="P278" s="80" t="inlineStr">
        <is>
          <t>Offers reach the package maximum without a person, never twice to one athlete, never to a conflicted or inactive athlete, never over budget; declines are replaced; stops reach BTG with the reason</t>
        </is>
      </c>
      <c r="Q278" s="82" t="inlineStr">
        <is>
          <t>BTG admin review item 19, 2026-10-03</t>
        </is>
      </c>
      <c r="R278"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On by default only for new campaigns (no backfill).</t>
        </is>
      </c>
    </row>
    <row r="279">
      <c r="A279" s="104" t="n">
        <v>90.59999999999999</v>
      </c>
      <c r="B279" s="105" t="inlineStr">
        <is>
          <t>P4-BE-13</t>
        </is>
      </c>
      <c r="C279" s="81" t="n">
        <v>4</v>
      </c>
      <c r="D279" s="82" t="inlineStr">
        <is>
          <t>Sponsor Demand &amp; Matching</t>
        </is>
      </c>
      <c r="E279" s="139" t="inlineStr">
        <is>
          <t>BE</t>
        </is>
      </c>
      <c r="F279" s="120" t="inlineStr">
        <is>
          <t>Code</t>
        </is>
      </c>
      <c r="G279" s="80" t="inlineStr">
        <is>
          <t>Campaigns launch on their start date</t>
        </is>
      </c>
      <c r="H279" s="107" t="inlineStr">
        <is>
          <t>A campaign in approval launches automatically on its start date (at once if the date has passed), after any sponsor approval step, through the existing launch checks. BTG can still launch by hand.</t>
        </is>
      </c>
      <c r="I279" s="108" t="inlineStr">
        <is>
          <t>Done</t>
        </is>
      </c>
      <c r="J279" s="108" t="n">
        <v>1</v>
      </c>
      <c r="K279" s="109" t="n">
        <v>46298</v>
      </c>
      <c r="L279" s="109" t="n">
        <v>46298</v>
      </c>
      <c r="M279" s="110" t="inlineStr">
        <is>
          <t>rcfworks</t>
        </is>
      </c>
      <c r="N279" s="81" t="inlineStr">
        <is>
          <t>P4-FE-09</t>
        </is>
      </c>
      <c r="O279" s="80" t="inlineStr">
        <is>
          <t>P4-BE-09</t>
        </is>
      </c>
      <c r="P279" s="80" t="inlineStr">
        <is>
          <t>A ready campaign launches on its start date and not before, with every existing launch check; cancelled campaigns never launch</t>
        </is>
      </c>
      <c r="Q279" s="82" t="inlineStr">
        <is>
          <t>BTG admin review item 20, 2026-10-03</t>
        </is>
      </c>
      <c r="R279"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APPROVAL has no sponsor step in the code; launch is BTG or system only (sponsor admins refused).</t>
        </is>
      </c>
    </row>
    <row r="280">
      <c r="A280" s="104" t="n">
        <v>102.6</v>
      </c>
      <c r="B280" s="105" t="inlineStr">
        <is>
          <t>P5-BE-10</t>
        </is>
      </c>
      <c r="C280" s="81" t="n">
        <v>5</v>
      </c>
      <c r="D280" s="82" t="inlineStr">
        <is>
          <t>Campaign Execution</t>
        </is>
      </c>
      <c r="E280" s="139" t="inlineStr">
        <is>
          <t>BE</t>
        </is>
      </c>
      <c r="F280" s="120" t="inlineStr">
        <is>
          <t>Code</t>
        </is>
      </c>
      <c r="G280" s="80" t="inlineStr">
        <is>
          <t>Trusted drafts skip BTG review</t>
        </is>
      </c>
      <c r="H280" s="107" t="inlineStr">
        <is>
          <t>A draft passing every automatic check goes straight to the sponsor when the athlete's last 3 BTG-reviewed drafts were approved without changes, the athlete is not a minor and no category is sensitive. A BTG revision resets the streak. The sponsor still reviews every draft; BTG can still intervene.</t>
        </is>
      </c>
      <c r="I280" s="108" t="inlineStr">
        <is>
          <t>Done</t>
        </is>
      </c>
      <c r="J280" s="108" t="n">
        <v>2</v>
      </c>
      <c r="K280" s="109" t="n">
        <v>46298</v>
      </c>
      <c r="L280" s="109" t="n">
        <v>46298</v>
      </c>
      <c r="M280" s="110" t="inlineStr">
        <is>
          <t>rcfworks</t>
        </is>
      </c>
      <c r="N280" s="81" t="inlineStr">
        <is>
          <t>P4-FE-09</t>
        </is>
      </c>
      <c r="O280" s="80" t="inlineStr">
        <is>
          <t>P5-BE-09</t>
        </is>
      </c>
      <c r="P280" s="80" t="inlineStr">
        <is>
          <t>Trusted adult athletes' passing drafts skip BTG; minors and sensitive categories never skip; a BTG revision resets trust; BTG can request changes on a skipped draft</t>
        </is>
      </c>
      <c r="Q280" s="82" t="inlineStr">
        <is>
          <t>BTG admin review item 21, 2026-10-03</t>
        </is>
      </c>
      <c r="R280"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 Also: per-athlete lock against a racing BTG revision; sponsors can no longer approve from BTG_REVIEW.</t>
        </is>
      </c>
    </row>
    <row r="281">
      <c r="A281" s="104" t="n">
        <v>97.59999999999999</v>
      </c>
      <c r="B281" s="105" t="inlineStr">
        <is>
          <t>P4-FE-09</t>
        </is>
      </c>
      <c r="C281" s="81" t="n">
        <v>4</v>
      </c>
      <c r="D281" s="82" t="inlineStr">
        <is>
          <t>Sponsor Demand &amp; Matching</t>
        </is>
      </c>
      <c r="E281" s="139" t="inlineStr">
        <is>
          <t>FE</t>
        </is>
      </c>
      <c r="F281" s="120" t="inlineStr">
        <is>
          <t>Code</t>
        </is>
      </c>
      <c r="G281" s="80" t="inlineStr">
        <is>
          <t>Automatic briefs, staffing, launch and trusted review, on screen</t>
        </is>
      </c>
      <c r="H281" s="107" t="inlineStr">
        <is>
          <t>Held-for-BTG brief desk with reasons; sponsor request status; staffing panel and automatic-staffing switch; launch date; skipped-review tab and trust indicator; athlete 'sent straight to the sponsor'.</t>
        </is>
      </c>
      <c r="I281" s="108" t="inlineStr">
        <is>
          <t>Done</t>
        </is>
      </c>
      <c r="J281" s="108" t="n">
        <v>2</v>
      </c>
      <c r="K281" s="109" t="n">
        <v>46298</v>
      </c>
      <c r="L281" s="109" t="n">
        <v>46298</v>
      </c>
      <c r="M281" s="110" t="inlineStr">
        <is>
          <t>rcfworks</t>
        </is>
      </c>
      <c r="N281" s="81" t="n"/>
      <c r="O281" s="80" t="inlineStr">
        <is>
          <t>P4-BE-11, P4-BE-12, P4-BE-13, P5-BE-10</t>
        </is>
      </c>
      <c r="P281" s="80" t="inlineStr">
        <is>
          <t>Each screen shows what the system did and what is left for BTG</t>
        </is>
      </c>
      <c r="Q281" s="82" t="inlineStr">
        <is>
          <t>BTG admin review items 18 to 21, 2026-10-03</t>
        </is>
      </c>
      <c r="R281" s="111" t="inlineStr">
        <is>
          <t>Raised 2026-10-03: Phase 2 overrides Phase 1's manual rules (programme owner) — automatic when safety checks pass, BTG gets the exceptions. | Reviewed 2026-10-03: backend 2566/2568 on two runs (only next-edition-e2e 4-5); frontend 1117/1117; tsc and eslint clean; joint test proves an auto-approved brief starts staffing.</t>
        </is>
      </c>
    </row>
    <row r="282">
      <c r="A282" s="104" t="n">
        <v>209.6</v>
      </c>
      <c r="B282" s="105" t="inlineStr">
        <is>
          <t>P9-BE-17</t>
        </is>
      </c>
      <c r="C282" s="81" t="n">
        <v>9</v>
      </c>
      <c r="D282" s="82" t="inlineStr">
        <is>
          <t>SponsorX NEXT</t>
        </is>
      </c>
      <c r="E282" s="139" t="inlineStr">
        <is>
          <t>BE</t>
        </is>
      </c>
      <c r="F282" s="120" t="inlineStr">
        <is>
          <t>Code</t>
        </is>
      </c>
      <c r="G282" s="80" t="inlineStr">
        <is>
          <t>Editions move through their stages by themselves</t>
        </is>
      </c>
      <c r="H282" s="107" t="inlineStr">
        <is>
          <t>Sales open on the opening date when priced slots exist; sales close on the closing date (the split is calculated then); the edition goes to production once all four production checks pass; it publishes digitally on the publish date. Printed, distributed and cancelled stay with BTG. An edition waiting on a check shows why.</t>
        </is>
      </c>
      <c r="I282" s="108" t="inlineStr">
        <is>
          <t>Done</t>
        </is>
      </c>
      <c r="J282" s="108" t="n">
        <v>2</v>
      </c>
      <c r="K282" s="109" t="n">
        <v>46298</v>
      </c>
      <c r="L282" s="109" t="n">
        <v>46298</v>
      </c>
      <c r="M282" s="110" t="inlineStr">
        <is>
          <t>rcfworks</t>
        </is>
      </c>
      <c r="N282" s="81" t="n"/>
      <c r="O282" s="80" t="inlineStr">
        <is>
          <t>P9-BE-02, P9-BE-16</t>
        </is>
      </c>
      <c r="P282" s="80" t="inlineStr">
        <is>
          <t>Each stage moves on its date or check and not before; a failing check leaves the edition with its reason; BTG's manual moves still work</t>
        </is>
      </c>
      <c r="Q282" s="82" t="inlineStr">
        <is>
          <t>BTG admin review item 23, 2026-10-03</t>
        </is>
      </c>
      <c r="R282"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3">
      <c r="A283" s="104" t="n">
        <v>209.7</v>
      </c>
      <c r="B283" s="105" t="inlineStr">
        <is>
          <t>P9-BE-18</t>
        </is>
      </c>
      <c r="C283" s="81" t="n">
        <v>9</v>
      </c>
      <c r="D283" s="82" t="inlineStr">
        <is>
          <t>SponsorX NEXT</t>
        </is>
      </c>
      <c r="E283" s="139" t="inlineStr">
        <is>
          <t>BE</t>
        </is>
      </c>
      <c r="F283" s="120" t="inlineStr">
        <is>
          <t>Code</t>
        </is>
      </c>
      <c r="G283" s="80" t="inlineStr">
        <is>
          <t>Ad slots priced from the rate card; ads sold automatically behind a student-audience check</t>
        </is>
      </c>
      <c r="H283" s="107" t="inlineStr">
        <is>
          <t>Slots take their price from the publication's rate card. A package's slots are sold automatically when the sponsor's business is allowed in a student publication (not alcohol, vaping, gambling or other not-for-students categories), no exclusive category clashes, and slots are available; otherwise Sales gets it with the reason. The category check now also applies to Sales' manual sale.</t>
        </is>
      </c>
      <c r="I283" s="108" t="inlineStr">
        <is>
          <t>Done</t>
        </is>
      </c>
      <c r="J283" s="108" t="n">
        <v>2</v>
      </c>
      <c r="K283" s="109" t="n">
        <v>46298</v>
      </c>
      <c r="L283" s="109" t="n">
        <v>46298</v>
      </c>
      <c r="M283" s="110" t="inlineStr">
        <is>
          <t>rcfworks</t>
        </is>
      </c>
      <c r="N283" s="81" t="n"/>
      <c r="O283" s="80" t="inlineStr">
        <is>
          <t>P9-BE-03</t>
        </is>
      </c>
      <c r="P283" s="80" t="inlineStr">
        <is>
          <t>A clean sale needs no person; a not-for-students, sensitive, unknown or clashing category is never sold and reaches Sales with the reason; prices come from the rate card</t>
        </is>
      </c>
      <c r="Q283" s="82" t="inlineStr">
        <is>
          <t>BTG admin review item 23, 2026-10-03</t>
        </is>
      </c>
      <c r="R283"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4">
      <c r="A284" s="104" t="n">
        <v>209.8</v>
      </c>
      <c r="B284" s="105" t="inlineStr">
        <is>
          <t>P9-BE-19</t>
        </is>
      </c>
      <c r="C284" s="81" t="n">
        <v>9</v>
      </c>
      <c r="D284" s="82" t="inlineStr">
        <is>
          <t>SponsorX NEXT</t>
        </is>
      </c>
      <c r="E284" s="139" t="inlineStr">
        <is>
          <t>BE</t>
        </is>
      </c>
      <c r="F284" s="120" t="inlineStr">
        <is>
          <t>Code</t>
        </is>
      </c>
      <c r="G284" s="80" t="inlineStr">
        <is>
          <t>Finance locks the revenue split; cancelling an edition queues its refunds</t>
        </is>
      </c>
      <c r="H284" s="107" t="inlineStr">
        <is>
          <t>Finance can lock an edition's split so it is never recalculated; BTG admin can unlock with a reason. Cancelling an edition releases its sold slots, cancels ad-only campaigns that bought only those slots, and puts any money received on Finance's Refunds to send list. Split shares stay placeholders (owner's decision).</t>
        </is>
      </c>
      <c r="I284" s="108" t="inlineStr">
        <is>
          <t>Done</t>
        </is>
      </c>
      <c r="J284" s="108" t="n">
        <v>1</v>
      </c>
      <c r="K284" s="109" t="n">
        <v>46298</v>
      </c>
      <c r="L284" s="109" t="n">
        <v>46298</v>
      </c>
      <c r="M284" s="110" t="inlineStr">
        <is>
          <t>rcfworks</t>
        </is>
      </c>
      <c r="N284" s="81" t="n"/>
      <c r="O284" s="80" t="inlineStr">
        <is>
          <t>P9-BE-06, 2S4-BE-13</t>
        </is>
      </c>
      <c r="P284" s="80" t="inlineStr">
        <is>
          <t>A locked split is never replaced; a cancelled edition releases its slots and creates one refund row per payment received</t>
        </is>
      </c>
      <c r="Q284" s="82" t="inlineStr">
        <is>
          <t>BTG admin review item 23, 2026-10-03</t>
        </is>
      </c>
      <c r="R284" s="111" t="inlineStr">
        <is>
          <t>Raised 2026-10-03: Phase 2 overrides Phase 1's manual rules (programme owner) — automatic when safety checks pass, a person gets the exceptions. | Reviewed 2026-10-03: backend 2658/2660 on two runs (only next-edition-e2e 4-5); frontend 1141/1141; tsc and eslint clean. Also: a Zoho payment after an edition cancel is refunded; refunded sales are reversed from the student total and points.</t>
        </is>
      </c>
    </row>
    <row r="285">
      <c r="A285" s="104" t="n">
        <v>209.81</v>
      </c>
      <c r="B285" s="105" t="inlineStr">
        <is>
          <t>P9-BE-20</t>
        </is>
      </c>
      <c r="C285" s="81" t="n">
        <v>9</v>
      </c>
      <c r="D285" s="82" t="inlineStr">
        <is>
          <t>SponsorX NEXT</t>
        </is>
      </c>
      <c r="E285" s="139" t="inlineStr">
        <is>
          <t>BE</t>
        </is>
      </c>
      <c r="F285" s="120" t="inlineStr">
        <is>
          <t>Code</t>
        </is>
      </c>
      <c r="G285" s="80" t="inlineStr">
        <is>
          <t>Students approved from the school roster; activated and given codes automatically</t>
        </is>
      </c>
      <c r="H285" s="107" t="inlineStr">
        <is>
          <t>An application is approved automatically when the name exactly matches one entry on the school's roster (graduation year too), no student with that name is already approved there, and an adult applies from the school's email domain; otherwise the advisor reviews it with the reason. A minor activates only once their guardian is verified; the sales code is issued on activation. An empty roster approves nobody.</t>
        </is>
      </c>
      <c r="I285" s="108" t="inlineStr">
        <is>
          <t>Done</t>
        </is>
      </c>
      <c r="J285" s="108" t="n">
        <v>2</v>
      </c>
      <c r="K285" s="109" t="n">
        <v>46298</v>
      </c>
      <c r="L285" s="109" t="n">
        <v>46298</v>
      </c>
      <c r="M285" s="110" t="inlineStr">
        <is>
          <t>rcfworks</t>
        </is>
      </c>
      <c r="N285" s="81" t="n"/>
      <c r="O285" s="80" t="inlineStr">
        <is>
          <t>P9-BE-05</t>
        </is>
      </c>
      <c r="P285" s="80" t="inlineStr">
        <is>
          <t>Exact roster matches are approved without a person; every other case reaches the advisor with its reason; a minor never activates without a verified guardian; codes are issued once</t>
        </is>
      </c>
      <c r="Q285" s="82" t="inlineStr">
        <is>
          <t>BTG admin review item 24, 2026-10-03</t>
        </is>
      </c>
      <c r="R285" s="111" t="inlineStr">
        <is>
          <t>Raised 2026-10-03: Phase 2 overrides Phase 1's manual rules (programme owner) — automatic when safety checks pass, a person gets the exceptions. | Reviewed 2026-10-03: backend 2658/2660 on two runs (only next-edition-e2e 4-5); frontend 1141/1141; tsc and eslint clean. Also: only ACTIVE students read school-wide; a roster upload re-reviews waiting applicants. No in-app guardian signature exists for students, so guardian verification stays with BTG.</t>
        </is>
      </c>
    </row>
    <row r="286">
      <c r="A286" s="104" t="n">
        <v>209.82</v>
      </c>
      <c r="B286" s="105" t="inlineStr">
        <is>
          <t>P9-BE-21</t>
        </is>
      </c>
      <c r="C286" s="81" t="n">
        <v>9</v>
      </c>
      <c r="D286" s="82" t="inlineStr">
        <is>
          <t>SponsorX NEXT</t>
        </is>
      </c>
      <c r="E286" s="139" t="inlineStr">
        <is>
          <t>BE</t>
        </is>
      </c>
      <c r="F286" s="120" t="inlineStr">
        <is>
          <t>Code</t>
        </is>
      </c>
      <c r="G286" s="80" t="inlineStr">
        <is>
          <t>Student prospects decided automatically</t>
        </is>
      </c>
      <c r="H286" s="107" t="inlineStr">
        <is>
          <t>A prospect is rejected automatically when another sponsor holds its category (with other categories suggested), accepted automatically when the category is allowed and nothing clashes, and otherwise held for Sales with the reason.</t>
        </is>
      </c>
      <c r="I286" s="108" t="inlineStr">
        <is>
          <t>Done</t>
        </is>
      </c>
      <c r="J286" s="108" t="n">
        <v>1</v>
      </c>
      <c r="K286" s="109" t="n">
        <v>46298</v>
      </c>
      <c r="L286" s="109" t="n">
        <v>46298</v>
      </c>
      <c r="M286" s="110" t="inlineStr">
        <is>
          <t>rcfworks</t>
        </is>
      </c>
      <c r="N286" s="81" t="n"/>
      <c r="O286" s="80" t="inlineStr">
        <is>
          <t>P9-BE-05</t>
        </is>
      </c>
      <c r="P286" s="80" t="inlineStr">
        <is>
          <t>Exclusive-category prospects are declined with suggestions; clean ones accepted; the rest reach Sales with the reason; a minor's decline goes to the guardian</t>
        </is>
      </c>
      <c r="Q286" s="82" t="inlineStr">
        <is>
          <t>BTG admin review item 24, 2026-10-03</t>
        </is>
      </c>
      <c r="R286"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7">
      <c r="A287" s="104" t="n">
        <v>209.83</v>
      </c>
      <c r="B287" s="105" t="inlineStr">
        <is>
          <t>P9-BE-22</t>
        </is>
      </c>
      <c r="C287" s="81" t="n">
        <v>9</v>
      </c>
      <c r="D287" s="82" t="inlineStr">
        <is>
          <t>SponsorX NEXT</t>
        </is>
      </c>
      <c r="E287" s="139" t="inlineStr">
        <is>
          <t>BE</t>
        </is>
      </c>
      <c r="F287" s="120" t="inlineStr">
        <is>
          <t>Code</t>
        </is>
      </c>
      <c r="G287" s="80" t="inlineStr">
        <is>
          <t>Ad artwork checked automatically; trusted sponsors skip BTG; the ad licence recorded on approval</t>
        </is>
      </c>
      <c r="H287" s="107" t="inlineStr">
        <is>
          <t>Uploaded artwork is checked automatically (file type, size, and dimensions if known); a failing upload goes back to the sponsor. A sponsor whose last 3 ads had no BTG changes skips BTG's review; any BTG change request puts them back under review. When the sponsor approves their ad, its licence is recorded, so sold ads no longer block production.</t>
        </is>
      </c>
      <c r="I287" s="108" t="inlineStr">
        <is>
          <t>Done</t>
        </is>
      </c>
      <c r="J287" s="108" t="n">
        <v>2</v>
      </c>
      <c r="K287" s="109" t="n">
        <v>46298</v>
      </c>
      <c r="L287" s="109" t="n">
        <v>46298</v>
      </c>
      <c r="M287" s="110" t="inlineStr">
        <is>
          <t>rcfworks</t>
        </is>
      </c>
      <c r="N287" s="81" t="n"/>
      <c r="O287" s="80" t="inlineStr">
        <is>
          <t>P9-BE-16</t>
        </is>
      </c>
      <c r="P287" s="80" t="inlineStr">
        <is>
          <t>Failing uploads never reach BTG; only sponsors with a clean record skip, and a BTG revision resets them; every approved ad has its licence once</t>
        </is>
      </c>
      <c r="Q287" s="82" t="inlineStr">
        <is>
          <t>BTG admin review item 24, 2026-10-03</t>
        </is>
      </c>
      <c r="R287" s="111" t="inlineStr">
        <is>
          <t>Raised 2026-10-03: Phase 2 overrides Phase 1's manual rules (programme owner) — automatic when safety checks pass, a person gets the exceptions. | Reviewed 2026-10-03: backend 2658/2660 on two runs (only next-edition-e2e 4-5); frontend 1141/1141; tsc and eslint clean. Also: athlete deliverable uploads now sign their content type (P5-BE-09 made true).</t>
        </is>
      </c>
    </row>
    <row r="288">
      <c r="A288" s="104" t="n">
        <v>209.84</v>
      </c>
      <c r="B288" s="105" t="inlineStr">
        <is>
          <t>P9-BE-23</t>
        </is>
      </c>
      <c r="C288" s="81" t="n">
        <v>9</v>
      </c>
      <c r="D288" s="82" t="inlineStr">
        <is>
          <t>SponsorX NEXT</t>
        </is>
      </c>
      <c r="E288" s="139" t="inlineStr">
        <is>
          <t>BE</t>
        </is>
      </c>
      <c r="F288" s="120" t="inlineStr">
        <is>
          <t>Code</t>
        </is>
      </c>
      <c r="G288" s="80" t="inlineStr">
        <is>
          <t>Content rights recorded automatically from valid consent</t>
        </is>
      </c>
      <c r="H288" s="107" t="inlineStr">
        <is>
          <t>When the student or athlete who made an edition asset has a valid consent on file, the right for that asset is recorded automatically, with the same checks as BTG's: a minor's consent needs a verified guardian, and commercial reuse only under a commercial agreement. Paper consent forms and third-party licences stay with BTG.</t>
        </is>
      </c>
      <c r="I288" s="108" t="inlineStr">
        <is>
          <t>Done</t>
        </is>
      </c>
      <c r="J288" s="108" t="n">
        <v>1</v>
      </c>
      <c r="K288" s="109" t="n">
        <v>46298</v>
      </c>
      <c r="L288" s="109" t="n">
        <v>46298</v>
      </c>
      <c r="M288" s="110" t="inlineStr">
        <is>
          <t>rcfworks</t>
        </is>
      </c>
      <c r="N288" s="81" t="n"/>
      <c r="O288" s="80" t="inlineStr">
        <is>
          <t>P9-BE-10, P9-BE-11</t>
        </is>
      </c>
      <c r="P288" s="80" t="inlineStr">
        <is>
          <t>Rights are recorded automatically only from valid consent, never for a minor without a verified guardian, never commercial without a commercial agreement</t>
        </is>
      </c>
      <c r="Q288" s="82" t="inlineStr">
        <is>
          <t>BTG admin review item 24, 2026-10-03</t>
        </is>
      </c>
      <c r="R288"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89">
      <c r="A289" s="104" t="n">
        <v>209.85</v>
      </c>
      <c r="B289" s="105" t="inlineStr">
        <is>
          <t>P9-FE-11</t>
        </is>
      </c>
      <c r="C289" s="81" t="n">
        <v>9</v>
      </c>
      <c r="D289" s="82" t="inlineStr">
        <is>
          <t>SponsorX NEXT</t>
        </is>
      </c>
      <c r="E289" s="139" t="inlineStr">
        <is>
          <t>FE</t>
        </is>
      </c>
      <c r="F289" s="120" t="inlineStr">
        <is>
          <t>Code</t>
        </is>
      </c>
      <c r="G289" s="80" t="inlineStr">
        <is>
          <t>NEXT automation, on screen</t>
        </is>
      </c>
      <c r="H289" s="107" t="inlineStr">
        <is>
          <t>Edition next step and automatic moves; held ad sales with reasons; rate-card prices; Finance's split lock; the advisor's queue with reasons and the school email domain; held prospects; artwork checks, the skipped-review tab and sponsor trust; rights recorded automatically.</t>
        </is>
      </c>
      <c r="I289" s="108" t="inlineStr">
        <is>
          <t>Done</t>
        </is>
      </c>
      <c r="J289" s="108" t="n">
        <v>2</v>
      </c>
      <c r="K289" s="109" t="n">
        <v>46298</v>
      </c>
      <c r="L289" s="109" t="n">
        <v>46298</v>
      </c>
      <c r="M289" s="110" t="inlineStr">
        <is>
          <t>rcfworks</t>
        </is>
      </c>
      <c r="N289" s="81" t="n"/>
      <c r="O289" s="80" t="inlineStr">
        <is>
          <t>P9-BE-17, P9-BE-18, P9-BE-19, P9-BE-20, P9-BE-21, P9-BE-22, P9-BE-23</t>
        </is>
      </c>
      <c r="P289" s="80" t="inlineStr">
        <is>
          <t>Each screen shows what the system did and what is left for a person</t>
        </is>
      </c>
      <c r="Q289" s="82" t="inlineStr">
        <is>
          <t>BTG admin review items 23 and 24, 2026-10-03</t>
        </is>
      </c>
      <c r="R289" s="111" t="inlineStr">
        <is>
          <t>Raised 2026-10-03: Phase 2 overrides Phase 1's manual rules (programme owner) — automatic when safety checks pass, a person gets the exceptions. | Reviewed 2026-10-03: backend 2658/2660 on two runs (only next-edition-e2e 4-5); frontend 1141/1141; tsc and eslint clean.</t>
        </is>
      </c>
    </row>
    <row r="290" s="75">
      <c r="A290" s="104" t="n">
        <v>32.97</v>
      </c>
      <c r="B290" s="105" t="inlineStr">
        <is>
          <t>P1-ART-14</t>
        </is>
      </c>
      <c r="C290" s="81" t="n">
        <v>1</v>
      </c>
      <c r="D290" s="82" t="inlineStr">
        <is>
          <t>UI Scaffold on Fixtures</t>
        </is>
      </c>
      <c r="E290" s="139" t="inlineStr">
        <is>
          <t>ART</t>
        </is>
      </c>
      <c r="F290" s="120" t="inlineStr">
        <is>
          <t>Code</t>
        </is>
      </c>
      <c r="G290" s="80" t="inlineStr">
        <is>
          <t>Admin Operations Board — "Mission Control" stage redesign</t>
        </is>
      </c>
      <c r="H290" s="107" t="inlineStr">
        <is>
          <t>Raised 2026-10-05 by the programme owner: give /admin the landing's wow factor. The Operations Board (P7-FE-06) is redrawn on a fixed-dark HUD stage in the landing's, /packages' and /login's language, bled to the edges of the portal's content column (sidebar and top bar unchanged). Ground: brand glows, a pointer-led light, the drifting floor grid, rising motes, a scan sweep, an outlined OPS word. Hero: a scrambled live eyebrow with the Postgres provenance pill, a masked headline ("23 things need / BTG's hand today."), and an action ring whose arcs are each queue's share. Queue cards in chamfered glass with count-ups, lit brackets and a pointer spotlight; live campaigns with glowing progress; Systems as status lights. Own dark loading skeleton via the (board) route group. No new figures: the same three live reads.</t>
        </is>
      </c>
      <c r="I290" s="108" t="inlineStr">
        <is>
          <t>Done</t>
        </is>
      </c>
      <c r="J290" s="108" t="n">
        <v>1</v>
      </c>
      <c r="K290" s="109" t="n">
        <v>46300</v>
      </c>
      <c r="L290" s="109" t="n">
        <v>46303</v>
      </c>
      <c r="M290" s="110" t="inlineStr">
        <is>
          <t>HeckerCreatives</t>
        </is>
      </c>
      <c r="N290" s="81" t="n">
        <v>0</v>
      </c>
      <c r="O290" s="80" t="inlineStr">
        <is>
          <t>P7-FE-06, P1-ART-13</t>
        </is>
      </c>
      <c r="P290" s="80" t="inlineStr">
        <is>
          <t>Same three live reads and role filtering as before (no new figure); fixed-dark in both themes; links to desks a role can't use are hidden; zero actions shows All clear; reduced motion shows the still stage; no horizontal overflow at 390px; boardHeadline and ringSegments unit-tested; build, frontend tests and lint green</t>
        </is>
      </c>
      <c r="Q290" s="82" t="inlineStr">
        <is>
          <t>§23; docs/superpowers/specs/2026-10-05-admin-ops-stage-design.md</t>
        </is>
      </c>
      <c r="R290" s="111" t="inlineStr">
        <is>
          <t>Raised 2026-10-05 on the owner's request (HeckerCreatives, via Claude). Components: ops-stage.tsx, ops-fx.tsx; page moved to app/(app)/admin/(board)/. Branch feature/P1-ART-14-admin-ops-stage. Moved to Done by the owner 2026-10-08.</t>
        </is>
      </c>
    </row>
    <row r="291" s="75">
      <c r="A291" s="104" t="n">
        <v>32.98</v>
      </c>
      <c r="B291" s="105" t="inlineStr">
        <is>
          <t>P1-ART-15</t>
        </is>
      </c>
      <c r="C291" s="81" t="n">
        <v>1</v>
      </c>
      <c r="D291" s="82" t="inlineStr">
        <is>
          <t>UI Scaffold on Fixtures</t>
        </is>
      </c>
      <c r="E291" s="139" t="inlineStr">
        <is>
          <t>ART</t>
        </is>
      </c>
      <c r="F291" s="120" t="inlineStr">
        <is>
          <t>Code</t>
        </is>
      </c>
      <c r="G291" s="80" t="inlineStr">
        <is>
          <t>New sign-ups — "Intake Stream" redesign, server-paged</t>
        </is>
      </c>
      <c r="H291" s="107" t="inlineStr">
        <is>
          <t>Raised 2026-10-05 by the programme owner: redesign /admin/new-signups with the landing's wow factor, its lists paged by the house rule. The desk (2S1-FE-07) is redrawn on the Mission Control stage (P1-ART-14) as ONE server-paged stream of every kind of sign-up (organisations, athletes, guardians, sponsors), newest first, instead of four sections that each read their whole table. Hero from a summary read; kind chips with totals, a Needs review toggle and search, instant and URL-driven; held rows marked; the house pager above and below (12 / 24 / 60). Sensitive profile edits get their own paged panel. Backend: GET /signups/stream (six Prisma sources under whereFor, merged exactly per page) and /signups/stream/summary.</t>
        </is>
      </c>
      <c r="I291" s="108" t="inlineStr">
        <is>
          <t>Done</t>
        </is>
      </c>
      <c r="J291" s="108" t="n">
        <v>2</v>
      </c>
      <c r="K291" s="109" t="n">
        <v>46300</v>
      </c>
      <c r="L291" s="109" t="n">
        <v>46303</v>
      </c>
      <c r="M291" s="110" t="inlineStr">
        <is>
          <t>HeckerCreatives</t>
        </is>
      </c>
      <c r="N291" s="81" t="n">
        <v>0</v>
      </c>
      <c r="O291" s="80" t="inlineStr">
        <is>
          <t>2S1-FE-07, P1-ART-14</t>
        </is>
      </c>
      <c r="P291" s="80" t="inlineStr">
        <is>
          <t>Every list server-paged (page, size, kind, Needs review and search in the database; figures from a summary); a page is exact across the four tables (tested); old ?tab= links still land; no role sees more than before; tenant isolation green; fixed-dark in both themes; no horizontal overflow at 390px; build, tests and lint green</t>
        </is>
      </c>
      <c r="Q291" s="82" t="inlineStr">
        <is>
          <t>2S1-FE-07; docs/superpowers/specs/2026-10-05-new-signups-intake-stream-design.md</t>
        </is>
      </c>
      <c r="R291" s="111" t="inlineStr">
        <is>
          <t>Raised 2026-10-05 on the owner's request (HeckerCreatives, via Claude). Backend domain/signups-stream.ts (+ -rules), tests/signups-stream.test.ts; frontend components/intake-stage.tsx, intake-fx.tsx; page moved to app/(app)/admin/new-signups/(stream)/. Branch feature/P1-ART-15-new-signups-stream (stacked on P1-ART-14). Moved to Done by the owner 2026-10-08.</t>
        </is>
      </c>
    </row>
    <row r="292" s="75">
      <c r="A292" s="104" t="n">
        <v>32.99</v>
      </c>
      <c r="B292" s="105" t="inlineStr">
        <is>
          <t>P1-ART-16</t>
        </is>
      </c>
      <c r="C292" s="81" t="n">
        <v>1</v>
      </c>
      <c r="D292" s="82" t="inlineStr">
        <is>
          <t>UI Scaffold on Fixtures</t>
        </is>
      </c>
      <c r="E292" s="139" t="inlineStr">
        <is>
          <t>ART</t>
        </is>
      </c>
      <c r="F292" s="120" t="inlineStr">
        <is>
          <t>Code</t>
        </is>
      </c>
      <c r="G292" s="80" t="inlineStr">
        <is>
          <t>Athlete applications — "Scouting Board" redesign</t>
        </is>
      </c>
      <c r="H292" s="107" t="inlineStr">
        <is>
          <t>Raised 2026-10-05 by the programme owner: redesign /admin/applications with the landing's wow factor in the current theme. Visual only — the desk's reads, server paging and review actions are unchanged. On the admin stage (P1-ART-14), full bleed and fixed-dark: a dashboard header (title, Postgres pill, four KPI tiles from /applications/summary — the owner rejected a hero mid-build), tabs as stage pills, the queue as glass player cards (score ring, safeguard chips, a 48-hour bar that turns orange past 48h, pointer tilt and spotlight), and the review drawer as a dark scouting report in both themes (glowing factor bars, restyled decision buttons, same text and labels).</t>
        </is>
      </c>
      <c r="I292" s="108" t="inlineStr">
        <is>
          <t>Done</t>
        </is>
      </c>
      <c r="J292" s="108" t="n">
        <v>1</v>
      </c>
      <c r="K292" s="109" t="n">
        <v>46300</v>
      </c>
      <c r="L292" s="109" t="n">
        <v>46303</v>
      </c>
      <c r="M292" s="110" t="inlineStr">
        <is>
          <t>HeckerCreatives</t>
        </is>
      </c>
      <c r="N292" s="81" t="n">
        <v>0</v>
      </c>
      <c r="O292" s="80" t="inlineStr">
        <is>
          <t>P3-FE-02, P1-ART-14</t>
        </is>
      </c>
      <c r="P292" s="80" t="inlineStr">
        <is>
          <t>Same reads, paging and review actions; a dashboard header, not a hero; cards keep the row button's accessible name and the exact Minor label (the P3 e2e loop's adult path passes through desk and drawer); the drawer is dark in both themes; no horizontal overflow at 390px; waitMeter unit-tested; build, tests and lint green</t>
        </is>
      </c>
      <c r="Q292" s="82" t="inlineStr">
        <is>
          <t>P3-FE-02; docs/superpowers/specs/2026-10-05-applications-scouting-board-design.md</t>
        </is>
      </c>
      <c r="R292" s="111" t="inlineStr">
        <is>
          <t>Raised 2026-10-05 on the owner's request (HeckerCreatives, via Claude). Components scout-stage.tsx, applications-desk.tsx (markup only), KpiTile in ops-stage.tsx; page moved to app/(app)/admin/applications/(queue)/. Branch feature/P1-ART-16-applications-scouting-board (stacked on P1-ART-15). Moved to Done by the owner 2026-10-08.</t>
        </is>
      </c>
    </row>
    <row r="293" s="75">
      <c r="A293" s="104" t="n">
        <v>32.995</v>
      </c>
      <c r="B293" s="105" t="inlineStr">
        <is>
          <t>P1-ART-17</t>
        </is>
      </c>
      <c r="C293" s="81" t="n">
        <v>1</v>
      </c>
      <c r="D293" s="82" t="inlineStr">
        <is>
          <t>UI Scaffold on Fixtures</t>
        </is>
      </c>
      <c r="E293" s="139" t="inlineStr">
        <is>
          <t>ART</t>
        </is>
      </c>
      <c r="F293" s="120" t="inlineStr">
        <is>
          <t>Code</t>
        </is>
      </c>
      <c r="G293" s="80" t="inlineStr">
        <is>
          <t>Sign-up rules — "Control Panel" redesign, built for scale</t>
        </is>
      </c>
      <c r="H293" s="107" t="inlineStr">
        <is>
          <t>Raised 2026-10-05 by the programme owner: redesign /admin/new-signups/rules in the same structure. On the admin stage as a dashboard (title, four tiles: places, athletes in an unknown place, places not 18, the minors rule). The minors rule is a designed switch; the place form has an age stepper and Remove with a confirm. Built for scale on the owner's question: a search across every country by code or name, a scrolling country rail, and one country at a time — its exceptions as big tiles, places that follow the default as chips (first 40, then Show all). Picking anything lights the form (glow, pulse, an Editing callout with numbered steps) — the owner asked twice for a visible cue.</t>
        </is>
      </c>
      <c r="I293" s="108" t="inlineStr">
        <is>
          <t>Done</t>
        </is>
      </c>
      <c r="J293" s="108" t="n">
        <v>1</v>
      </c>
      <c r="K293" s="109" t="n">
        <v>46300</v>
      </c>
      <c r="L293" s="109" t="n">
        <v>46303</v>
      </c>
      <c r="M293" s="110" t="inlineStr">
        <is>
          <t>HeckerCreatives</t>
        </is>
      </c>
      <c r="N293" s="81" t="n">
        <v>0</v>
      </c>
      <c r="O293" s="80" t="inlineStr">
        <is>
          <t>2S1-FE-07, P1-ART-14</t>
        </is>
      </c>
      <c r="P293" s="80" t="inlineStr">
        <is>
          <t>Same reads, server actions and admin-only API; a dashboard header; the page height does not grow with the number of countries or places; search by code or name; picking a place is visibly highlighted with next steps; no native checkbox / inputs left unstyled; no horizontal overflow at 390px; lib/age-table.ts unit-tested; build, tests, lint green</t>
        </is>
      </c>
      <c r="Q293" s="82" t="inlineStr">
        <is>
          <t>2S1-FE-07; docs/superpowers/specs/2026-10-05-signup-rules-control-panel-design.md</t>
        </is>
      </c>
      <c r="R293" s="111" t="inlineStr">
        <is>
          <t>Raised 2026-10-05 on the owner's request (HeckerCreatives, via Claude). Components rules-board.tsx, signup-rules-editor.tsx; lib age-table.ts, region-names.ts. Branch feature/P1-ART-17-signup-rules-control-panel (stacked on P1-ART-16). Moved to Done by the owner 2026-10-08.</t>
        </is>
      </c>
    </row>
    <row r="294" s="75">
      <c r="A294" s="104" t="n">
        <v>32.996</v>
      </c>
      <c r="B294" s="105" t="inlineStr">
        <is>
          <t>P1-ART-18</t>
        </is>
      </c>
      <c r="C294" s="81" t="n">
        <v>1</v>
      </c>
      <c r="D294" s="82" t="inlineStr">
        <is>
          <t>UI Scaffold on Fixtures</t>
        </is>
      </c>
      <c r="E294" s="139" t="inlineStr">
        <is>
          <t>ART</t>
        </is>
      </c>
      <c r="F294" s="120" t="inlineStr">
        <is>
          <t>Code</t>
        </is>
      </c>
      <c r="G294" s="80" t="inlineStr">
        <is>
          <t>Admin portal — every desk, drawer and dialog on the stage</t>
        </is>
      </c>
      <c r="H294" s="107" t="inlineStr">
        <is>
          <t>Raised 2026-10-07 by the programme owner: redesign the whole admin portal in the Mission Control language, components included. The stage moves into the admin shell (PortalShell `stage`): sidebar and top bar as night glass, every /admin page as content on the dark stage, and a body-level class so drawers, dialogs and menus portaled outside it are on the stage too. A shared CSS skin restyles the primitives every desk is built from (Card, Badge, SectionHeading, HeroBand, StatTile, Button, Tabs, BlockedNotice, page titles, tab strips, native fields, raw buttons, drawers, dialogs). /admin's hero becomes a dashboard header. Visual only.</t>
        </is>
      </c>
      <c r="I294" s="108" t="inlineStr">
        <is>
          <t>Done</t>
        </is>
      </c>
      <c r="J294" s="108" t="n">
        <v>2</v>
      </c>
      <c r="K294" s="109" t="n">
        <v>46302</v>
      </c>
      <c r="L294" s="109" t="n">
        <v>46303</v>
      </c>
      <c r="M294" s="110" t="inlineStr">
        <is>
          <t>HeckerCreatives</t>
        </is>
      </c>
      <c r="N294" s="81" t="n">
        <v>0</v>
      </c>
      <c r="O294" s="80" t="inlineStr">
        <is>
          <t>P1-ART-14, P1-ART-15, P1-ART-16, P1-ART-17</t>
        </is>
      </c>
      <c r="P294" s="80" t="inlineStr">
        <is>
          <t>Every /admin route renders on the stage (27 desks walked, no console errors, no horizontal overflow at 390px); drawers and dialogs are dark in both themes; no read, write or role rule changes; frontend tests, lint and build green</t>
        </is>
      </c>
      <c r="Q294" s="82" t="inlineStr">
        <is>
          <t>docs/superpowers/specs/2026-10-07-admin-portal-stage-design.md</t>
        </is>
      </c>
      <c r="R294" s="111" t="inlineStr">
        <is>
          <t>Raised 2026-10-07 on the owner's request (HeckerCreatives, via Claude). portal-shell.tsx `stage`, stage-portals.tsx, globals.css `.sx-ops` skin. Also adds optional CLERK_CLOCK_SKEW_MS (API + Next middleware) for a drifted dev clock. Branch feature/P1-ART-18-admin-portal-stage (stacked on P1-ART-17). Moved to Done by the owner 2026-10-08.</t>
        </is>
      </c>
    </row>
    <row r="295" s="75">
      <c r="A295" s="104" t="n">
        <v>32.997</v>
      </c>
      <c r="B295" s="105" t="inlineStr">
        <is>
          <t>P1-FE-31</t>
        </is>
      </c>
      <c r="C295" s="81" t="n">
        <v>1</v>
      </c>
      <c r="D295" s="82" t="inlineStr">
        <is>
          <t>UI Scaffold on Fixtures</t>
        </is>
      </c>
      <c r="E295" s="139" t="inlineStr">
        <is>
          <t>FE</t>
        </is>
      </c>
      <c r="F295" s="120" t="inlineStr">
        <is>
          <t>Code</t>
        </is>
      </c>
      <c r="G295" s="80" t="inlineStr">
        <is>
          <t>Admin desks — every list a server-paged table</t>
        </is>
      </c>
      <c r="H295" s="107" t="inlineStr">
        <is>
          <t>Raised 2026-10-07 by the programme owner: page the admin desks' remaining whole-list tables by the house rules, as tables only where that makes them easier on the eyes. Ten desks read a whole list (or the API's silent 100–500 cap), some counting tabs from the rows in view: audit log, briefs, sponsor requests, property verification, payouts, refunds, delivery issues, guardian handoffs, closed accounts, offers. Nine become one shared stage table (StageTable / PagedTable: a real &lt;table&gt;, the house pager above and below, stacked on a phone); briefs stays rows but is paged. The API gains the house pager on every one of those lists with counts over the whole scope; offers' tab rules and delivery issues' lists move to the server; /onboarding answers every tab's count in one read; the audit log gets a counted page; /briefs gains ?sport=, counts and a sports facet.</t>
        </is>
      </c>
      <c r="I295" s="108" t="inlineStr">
        <is>
          <t>Done</t>
        </is>
      </c>
      <c r="J295" s="108" t="n">
        <v>2</v>
      </c>
      <c r="K295" s="109" t="n">
        <v>46302</v>
      </c>
      <c r="L295" s="109" t="n">
        <v>46303</v>
      </c>
      <c r="M295" s="110" t="inlineStr">
        <is>
          <t>HeckerCreatives</t>
        </is>
      </c>
      <c r="N295" s="81" t="n">
        <v>0</v>
      </c>
      <c r="O295" s="80" t="inlineStr">
        <is>
          <t>P1-ART-18</t>
        </is>
      </c>
      <c r="P295" s="80" t="inlineStr">
        <is>
          <t>None of the ten desks reads a whole list; every count is the API's; each renders a table (or the briefs' rows) with the pager above and below, or an empty state; no console error, no horizontal overflow; backend static scope tests and one paged-shape test per endpoint green; frontend tests, lint, build green</t>
        </is>
      </c>
      <c r="Q295" s="82" t="inlineStr">
        <is>
          <t>docs/superpowers/specs/2026-10-07-admin-lists-paged-tables-design.md</t>
        </is>
      </c>
      <c r="R295" s="111" t="inlineStr">
        <is>
          <t>Raised 2026-10-07 on the owner's request (HeckerCreatives, via Claude). frontend/src/components/stage-table.tsx, backend/src/lib/paging.ts on ten more endpoints, e2e/admin-lists-paged.spec.ts. Branch feature/P1-FE-31-admin-lists-paged (stacked on P1-ART-18). Moved to Done by the owner 2026-10-08.</t>
        </is>
      </c>
    </row>
    <row r="296" s="75">
      <c r="A296" s="104" t="n">
        <v>32.998</v>
      </c>
      <c r="B296" s="105" t="inlineStr">
        <is>
          <t>P1-ART-19</t>
        </is>
      </c>
      <c r="C296" s="81" t="n">
        <v>1</v>
      </c>
      <c r="D296" s="82" t="inlineStr">
        <is>
          <t>UI Scaffold on Fixtures</t>
        </is>
      </c>
      <c r="E296" s="139" t="inlineStr">
        <is>
          <t>ART</t>
        </is>
      </c>
      <c r="F296" s="120" t="inlineStr">
        <is>
          <t>Code</t>
        </is>
      </c>
      <c r="G296" s="80" t="inlineStr">
        <is>
          <t>Commission desk — the split strip, one kind's rules as a table, add / revise in a dialog</t>
        </is>
      </c>
      <c r="H296" s="107" t="inlineStr">
        <is>
          <t>Raised 2026-10-07 by the programme owner: /admin/commission had too much space (six tall mostly-empty cards, an always-open form, the sample order under it all). Restructured as the commission desk: six tiles in the order money comes off a sale, each headlining the rate for everyone with one line under it; the picked kind's rules as one stage table (applies to, rate, priority, since, version; earlier versions unfold); the sample order beside it, sticky, with the split as a waterfall; add and revise in a dialog (named dropdowns, nothing typed that isn't a choice) that previews the unsaved rule against the sample order. Structure and visuals only: the API still decides which rule applies, versions and the split.</t>
        </is>
      </c>
      <c r="I296" s="108" t="inlineStr">
        <is>
          <t>Done</t>
        </is>
      </c>
      <c r="J296" s="108" t="n">
        <v>1</v>
      </c>
      <c r="K296" s="109" t="n">
        <v>46302</v>
      </c>
      <c r="L296" s="109" t="n">
        <v>46303</v>
      </c>
      <c r="M296" s="110" t="inlineStr">
        <is>
          <t>HeckerCreatives</t>
        </is>
      </c>
      <c r="N296" s="81" t="n">
        <v>0</v>
      </c>
      <c r="O296" s="80" t="inlineStr">
        <is>
          <t>P1-ART-18, P1-FE-31</t>
        </is>
      </c>
      <c r="P296" s="80" t="inlineStr">
        <is>
          <t>One screen at 1440 for a desk with rules; the strip headlines every kind's rate for everyone; add and revise open a dialog with a preview against the sample order; no console error, no horizontal overflow at 390; unit tests, lint, tsc and build green</t>
        </is>
      </c>
      <c r="Q296" s="82" t="inlineStr">
        <is>
          <t>docs/superpowers/specs/2026-10-07-commission-desk-design.md</t>
        </is>
      </c>
      <c r="R296" s="111" t="inlineStr">
        <is>
          <t>Raised 2026-10-07 on the owner's request (HeckerCreatives, via Claude). frontend/src/components/commission-editor.tsx, commission-preview.tsx, commission-rule-dialog.tsx; ComboBox exported from place-dialog.tsx; kindSummary in lib/commission-live.ts. Branch feature/P1-ART-19-commission-desk (stacked on P1-FE-31). Moved to Done by the owner 2026-10-08.</t>
        </is>
      </c>
    </row>
    <row r="297" s="75">
      <c r="A297" s="104" t="n">
        <v>32.999</v>
      </c>
      <c r="B297" s="105" t="inlineStr">
        <is>
          <t>P1-ART-20</t>
        </is>
      </c>
      <c r="C297" s="81" t="n">
        <v>1</v>
      </c>
      <c r="D297" s="82" t="inlineStr">
        <is>
          <t>UI Scaffold on Fixtures</t>
        </is>
      </c>
      <c r="E297" s="139" t="inlineStr">
        <is>
          <t>ART</t>
        </is>
      </c>
      <c r="F297" s="120" t="inlineStr">
        <is>
          <t>Code</t>
        </is>
      </c>
      <c r="G297" s="80" t="inlineStr">
        <is>
          <t>Marketplace desk — the queue strip, one queue's rows as a panel</t>
        </is>
      </c>
      <c r="H297" s="107" t="inlineStr">
        <is>
          <t>Raised 2026-10-07 by the programme owner: /admin/marketplace had six stat tiles and then six stacked cards each mostly 'nothing here' — the same number said twice, two screens to learn that four queues are empty. Restructured as the marketplace desk: a queue strip of five tiles (one per queue, in the order BTG works them, each with its count, one line of context and a tone for work waiting) that is the navigation, and one panel under it — the picked queue's rows as a stage table (applications, orders, failed payments, payout problems) or the listing desks' inline-action rows under their three tabs. Disputes become one line. ?queue= in the URL; the listing emails' ?listings=…#listing-… links still land on the right row. Reads unchanged in substance; two now use the house pager so the counts are the API's.</t>
        </is>
      </c>
      <c r="I297" s="108" t="inlineStr">
        <is>
          <t>Done</t>
        </is>
      </c>
      <c r="J297" s="108" t="n">
        <v>1</v>
      </c>
      <c r="K297" s="109" t="n">
        <v>46302</v>
      </c>
      <c r="L297" s="109" t="n">
        <v>46303</v>
      </c>
      <c r="M297" s="110" t="inlineStr">
        <is>
          <t>HeckerCreatives</t>
        </is>
      </c>
      <c r="N297" s="81" t="n">
        <v>0</v>
      </c>
      <c r="O297" s="80" t="inlineStr">
        <is>
          <t>P1-ART-18, P1-FE-31</t>
        </is>
      </c>
      <c r="P297" s="80" t="inlineStr">
        <is>
          <t>One screen at 1440; every tile's count is the API's; a tile switches the panel in place and writes the URL; the listing emails' links still work; no console error, no horizontal overflow at 390; unit tests, lint, tsc and build green</t>
        </is>
      </c>
      <c r="Q297" s="82" t="inlineStr">
        <is>
          <t>docs/superpowers/specs/2026-10-07-marketplace-desk-design.md</t>
        </is>
      </c>
      <c r="R297" s="111" t="inlineStr">
        <is>
          <t>Raised 2026-10-07 on the owner's request (HeckerCreatives, via Claude). frontend/src/components/marketplace-desk.tsx, QUEUES / queueKey / firstBusyQueue in lib/marketplace-ops-live.ts, e2e/admin-marketplace-desk.spec.ts. Branch feature/P1-ART-20-marketplace-desk (stacked on P1-ART-19). Moved to Done by the owner 2026-10-08.</t>
        </is>
      </c>
    </row>
    <row r="298" s="75">
      <c r="A298" s="104" t="n">
        <v>32.9995</v>
      </c>
      <c r="B298" s="105" t="inlineStr">
        <is>
          <t>P1-ART-21</t>
        </is>
      </c>
      <c r="C298" s="81" t="n">
        <v>1</v>
      </c>
      <c r="D298" s="82" t="inlineStr">
        <is>
          <t>UI Scaffold on Fixtures</t>
        </is>
      </c>
      <c r="E298" s="139" t="inlineStr">
        <is>
          <t>ART</t>
        </is>
      </c>
      <c r="F298" s="120" t="inlineStr">
        <is>
          <t>Code</t>
        </is>
      </c>
      <c r="G298" s="80" t="inlineStr">
        <is>
          <t>Admin sidebar — the desks in collapsible groups, sorted</t>
        </is>
      </c>
      <c r="H298" s="107" t="inlineStr">
        <is>
          <t>Raised 2026-10-07 by the programme owner: the admin sidebar's 29 links were too many, in build order, and needed collapsing and sorting. Seven groups in the order BTG works (Intake, Campaigns, Marketplace, Money, Accounts, NEXT, System), Dashboard on top, each group's desks A → Z; the per-role filter unchanged. A group header (caret, name, count) opens and closes its desks; the group holding the open page is open on arrival; the viewer's other choices are remembered per browser (useSyncExternalStore, no hydration mismatch). The phone drawer lists the groups with their desks two to a row. Mechanics in lib/nav-groups.ts (pure, unit-tested; NavItem.group); a nav with no groups renders flat, so the other portals are untouched.</t>
        </is>
      </c>
      <c r="I298" s="108" t="inlineStr">
        <is>
          <t>Done</t>
        </is>
      </c>
      <c r="J298" s="108" t="n">
        <v>0.5</v>
      </c>
      <c r="K298" s="109" t="n">
        <v>46302</v>
      </c>
      <c r="L298" s="109" t="n">
        <v>46303</v>
      </c>
      <c r="M298" s="110" t="inlineStr">
        <is>
          <t>HeckerCreatives</t>
        </is>
      </c>
      <c r="N298" s="81" t="n">
        <v>0</v>
      </c>
      <c r="O298" s="80" t="inlineStr">
        <is>
          <t>P1-ART-18</t>
        </is>
      </c>
      <c r="P298" s="80" t="inlineStr">
        <is>
          <t>The dashboard shows Dashboard and seven closed groups; a desk opens only its own group; a header toggles and the choice survives a reload; every desk still reachable by every role it's for; tests, lint, tsc and build green</t>
        </is>
      </c>
      <c r="Q298" s="82" t="inlineStr">
        <is>
          <t>docs/superpowers/specs/2026-10-07-admin-sidebar-groups-design.md</t>
        </is>
      </c>
      <c r="R298" s="111" t="inlineStr">
        <is>
          <t>Raised 2026-10-07 on the owner's request (HeckerCreatives, via Claude). frontend/src/lib/nav-groups.ts, components/portal-nav.tsx, components/mobile-nav.tsx, app/(app)/admin/layout.tsx, tests/nav-groups.test.ts, e2e/admin-sidebar-groups.spec.ts. Branch feature/P1-ART-21-admin-sidebar-groups (stacked on P1-ART-20). Moved to Done by the owner 2026-10-08.</t>
        </is>
      </c>
    </row>
    <row r="299">
      <c r="A299" s="104" t="n">
        <v>32.99975</v>
      </c>
      <c r="B299" s="105" t="inlineStr">
        <is>
          <t>P1-ART-22</t>
        </is>
      </c>
      <c r="C299" s="81" t="n">
        <v>1</v>
      </c>
      <c r="D299" s="82" t="inlineStr">
        <is>
          <t>UI Scaffold on Fixtures</t>
        </is>
      </c>
      <c r="E299" s="139" t="inlineStr">
        <is>
          <t>ART</t>
        </is>
      </c>
      <c r="F299" s="120" t="inlineStr">
        <is>
          <t>Code</t>
        </is>
      </c>
      <c r="G299" s="80" t="inlineStr">
        <is>
          <t>Athlete portal — the Arena: every page a dashboard, every list server-paged</t>
        </is>
      </c>
      <c r="H299" s="107" t="inlineStr">
        <is>
          <t>Raised 2026-10-11 by the programme owner: redo the whole athlete portal the way the admin portal was redone (P1-ART-14…21, P1-FE-31) — dashboard structure, every table server-paged by the house rules — but with its own identity, clearly not the admin's. The Arena: a theme-aware stage (Frost stays light), rounded plates with a slanted speed bar, italic jersey numerals, floodlights and track lanes on the ground, entrances that slide in from the left (components/arena-stage.tsx, arena-fx.tsx, the .sx-arena block in globals.css; PortalShell stage="arena"). Every athlete page: a small title with a provenance pill, KPI plates from the API's own counts, then the work — dashboard, offers, invitations, deliverables, earnings, inventory, listings, orders, payouts, team, guardian requests, profile, settings and the detail pages. Sidebar folded into Campaigns / Money / Shop / Account. API: ?page= on GET /inventory, /listings, /sales, /seller-approvals and the athlete's /offers tabs (open | closed), guardian/athlete counts on /guardian-handoffs, and two new reads GET /payouts/me/orders and /payouts/me/history; the unpaged answers are unchanged.</t>
        </is>
      </c>
      <c r="I299" s="108" t="inlineStr">
        <is>
          <t>Done</t>
        </is>
      </c>
      <c r="J299" s="108" t="n">
        <v>2</v>
      </c>
      <c r="K299" s="109" t="n">
        <v>46306</v>
      </c>
      <c r="L299" s="109" t="n">
        <v>46310</v>
      </c>
      <c r="M299" s="110" t="inlineStr">
        <is>
          <t>HeckerCreatives</t>
        </is>
      </c>
      <c r="N299" s="81" t="n"/>
      <c r="O299" s="80" t="inlineStr">
        <is>
          <t>P1-ART-21, P1-FE-31</t>
        </is>
      </c>
      <c r="P299" s="80" t="inlineStr">
        <is>
          <t>Every athlete list is server-paged (12/24/60, pager above and below, counts from the API, never the rows in view); each page has the dashboard anatomy (title + pill + KPI plates, no hero); the athlete portal reads as its own identity in dark and Frost; no horizontal overflow at 390px; tsc, eslint, frontend and backend suites green.</t>
        </is>
      </c>
      <c r="Q299" s="82" t="inlineStr">
        <is>
          <t>docs/superpowers/specs/2026-10-11-athlete-arena-design.md</t>
        </is>
      </c>
      <c r="R299" s="111" t="inlineStr">
        <is>
          <t>Team log Memory/2026-10-11/tasks-completed.md. Done 2026-10-15 (owner's call); P1-ART-22's QA fixes of 10-11 committed and pushed 2026-10-15.</t>
        </is>
      </c>
    </row>
    <row r="300">
      <c r="A300" s="104" t="n">
        <v>32.9999375</v>
      </c>
      <c r="B300" s="105" t="inlineStr">
        <is>
          <t>P1-ART-23</t>
        </is>
      </c>
      <c r="C300" s="81" t="n">
        <v>1</v>
      </c>
      <c r="D300" s="82" t="inlineStr">
        <is>
          <t>UI Scaffold on Fixtures</t>
        </is>
      </c>
      <c r="E300" s="139" t="inlineStr">
        <is>
          <t>ART</t>
        </is>
      </c>
      <c r="F300" s="120" t="inlineStr">
        <is>
          <t>Code</t>
        </is>
      </c>
      <c r="G300" s="80" t="inlineStr">
        <is>
          <t>Sponsor portal — the Stadium Board: every page a dashboard, every list server-paged</t>
        </is>
      </c>
      <c r="H300" s="107" t="inlineStr">
        <is>
          <t>Raised 2026-10-11 by the programme owner: redesign every sponsor page the way the admin (Mission Control) and athlete (the Arena) portals were redone — dashboard structure, statistics first, every list server-paged with the house pager — with its own look and in plain words a non-technical sponsor reads. The Stadium Board: fixed-dark LED-board stage in sponsor orange (panels with scan-lines, glowing numerals, a live ticker, power-on entrance), grouped sidebar (Campaigns, Marketplace, Account), a plain-words map for every status, '?' explainers. Dashboard: ticker, five stats with change vs the previous period, a trend chart (7/30/90 days/all), what waits on the sponsor, fan journey, cost per 1,000 checked views, top athletes and cities, paged campaigns. Every other page rebuilt on the same kit; new /sponsor/requests. Backend: GET /sponsor/overview (one scoped read, verified and unverified never blended), /marketplace-orders paged + summary, /marketplace/search paged after restrictions, /campaigns?review=true.</t>
        </is>
      </c>
      <c r="I300" s="108" t="inlineStr">
        <is>
          <t>Done</t>
        </is>
      </c>
      <c r="J300" s="108" t="n">
        <v>3</v>
      </c>
      <c r="K300" s="109" t="n">
        <v>46306</v>
      </c>
      <c r="L300" s="109" t="n">
        <v>46310</v>
      </c>
      <c r="M300" s="110" t="inlineStr">
        <is>
          <t>HeckerCreatives</t>
        </is>
      </c>
      <c r="N300" s="81" t="n"/>
      <c r="O300" s="80" t="inlineStr">
        <is>
          <t>P1-ART-22, P1-FE-31</t>
        </is>
      </c>
      <c r="P300" s="80" t="inlineStr">
        <is>
          <t>Every sponsor page has a small title, an Updated pill, tiles from summary/overview reads and then the work; every growing list is server-paged (12/24/60, pager above and below); no raw enum or jargon on screen; verified and self-reported reach never summed; sponsors and BTG only on the overview, money gated as /campaigns/summary; no horizontal overflow at 390; reduced motion respected; unit tests, lint, tsc and build green</t>
        </is>
      </c>
      <c r="Q300" s="82" t="inlineStr">
        <is>
          <t>docs/superpowers/specs/2026-10-11-sponsor-stadium-design.md</t>
        </is>
      </c>
      <c r="R300" s="111" t="inlineStr">
        <is>
          <t>Raised 2026-10-11 on the owner's request (HeckerCreatives, via Claude). Plan docs/superpowers/plans/2026-10-11-sponsor-stadium.md. Kit: components/stadium-*.tsx, date-range-picker.tsx, app/(app)/sponsor/stadium.css, lib/sponsor-words.ts. Branch feature/P1-ART-23-sponsor-stadium (stacked on P1-ART-22). Team log Memory/2026-10-12/sponsor-stadium.md. Done 2026-10-15 (owner's call); P1-ART-22's QA fixes of 10-11 committed and pushed 2026-10-15.</t>
        </is>
      </c>
    </row>
    <row r="301">
      <c r="A301" s="104" t="n">
        <v>32.99996875</v>
      </c>
      <c r="B301" s="105" t="inlineStr">
        <is>
          <t>P1-ART-24</t>
        </is>
      </c>
      <c r="C301" s="81" t="n">
        <v>1</v>
      </c>
      <c r="D301" s="82" t="inlineStr">
        <is>
          <t>UI Scaffold on Fixtures</t>
        </is>
      </c>
      <c r="E301" s="139" t="inlineStr">
        <is>
          <t>ART</t>
        </is>
      </c>
      <c r="F301" s="120" t="inlineStr">
        <is>
          <t>Code</t>
        </is>
      </c>
      <c r="G301" s="80" t="inlineStr">
        <is>
          <t>Mobile navigation — a floating dock and the LED menu, in each portal's own look</t>
        </is>
      </c>
      <c r="H301" s="107" t="inlineStr">
        <is>
          <t>Raised 2026-10-12 by the programme owner: 'add a wow factor + awwwaaard on mobile view navigation', for all three staged portals, choosing the dock + LED menu pattern. Below md, admin, athlete and sponsor get a floating one-thumb dock (four destinations + Menu, a lit puck on the current section, hides on scroll down, safe-area aware) in place of the top-bar hamburger, and a rebuilt full-screen menu: a Dashboard hero tile, each group's desks as icon tiles with the current one lit, 'soon' desks dimmed, the account card at the bottom. One structure, three looks: Mission Control (chamfers, brackets, rise, one scan sweep), the Arena (rounded plates, speed bar, slide-in), the Stadium Board (LED panels, scan-lines, power-on). Property, NEXT and advisor keep the old menu.</t>
        </is>
      </c>
      <c r="I301" s="108" t="inlineStr">
        <is>
          <t>Done</t>
        </is>
      </c>
      <c r="J301" s="108" t="n">
        <v>1</v>
      </c>
      <c r="K301" s="109" t="n">
        <v>46307</v>
      </c>
      <c r="L301" s="109" t="n">
        <v>46310</v>
      </c>
      <c r="M301" s="110" t="inlineStr">
        <is>
          <t>HeckerCreatives</t>
        </is>
      </c>
      <c r="N301" s="81" t="n"/>
      <c r="O301" s="80" t="inlineStr">
        <is>
          <t>P1-ART-22, P1-ART-23</t>
        </is>
      </c>
      <c r="P301" s="80" t="inlineStr">
        <is>
          <t>At 390 on each staged portal the dock is visible and nothing hides under it; menu opens and closes with focus trapped and returned; the current page is lit in dock and menu; reduced motion honoured; no horizontal overflow; other portals unchanged; unit tests, lint and tsc green</t>
        </is>
      </c>
      <c r="Q301" s="82" t="inlineStr">
        <is>
          <t>docs/superpowers/specs/2026-10-12-mobile-dock-design.md</t>
        </is>
      </c>
      <c r="R301" s="111" t="inlineStr">
        <is>
          <t>Raised 2026-10-12 on the owner's request (HeckerCreatives, via Claude). components/mobile-dock.tsx, lib/mobile-dock.ts, app/mobile-nav.css, components/mobile-nav.tsx. Branch feature/P1-ART-24-mobile-dock. Team log Memory/2026-10-12/mobile-dock.md. Done 2026-10-15 (owner's call); P1-ART-22's QA fixes of 10-11 committed and pushed 2026-10-15.</t>
        </is>
      </c>
    </row>
    <row r="302" s="75">
      <c r="A302" s="104" t="n">
        <v>33.49996875</v>
      </c>
      <c r="B302" s="105" t="inlineStr">
        <is>
          <t>P1-ART-25</t>
        </is>
      </c>
      <c r="C302" s="81" t="n">
        <v>1</v>
      </c>
      <c r="D302" s="82" t="inlineStr">
        <is>
          <t>UI Scaffold on Fixtures</t>
        </is>
      </c>
      <c r="E302" s="139" t="inlineStr">
        <is>
          <t>ART</t>
        </is>
      </c>
      <c r="F302" s="120" t="inlineStr">
        <is>
          <t>Code</t>
        </is>
      </c>
      <c r="G302" s="80" t="inlineStr">
        <is>
          <t>Finance: the Vault — Treasury home + money desks on their own look</t>
        </is>
      </c>
      <c r="H302" s="107" t="inlineStr">
        <is>
          <t>Finance's own home (Treasury, /admin/finance) and look (the Vault: bank green, brushed gold, guilloché, double-rule frames, serif numerals, dial) inside the admin portal; Finance-only users land on it; Payouts, Refunds, Payment events, Disputes, Commission restyled and server-paged; new GET /finance/overview (money in/out, owed, BTG kept, split, needs-you).</t>
        </is>
      </c>
      <c r="I302" s="108" t="inlineStr">
        <is>
          <t>Done</t>
        </is>
      </c>
      <c r="J302" s="108" t="n">
        <v>1</v>
      </c>
      <c r="K302" s="109" t="n">
        <v>46307</v>
      </c>
      <c r="L302" s="109" t="n">
        <v>46307</v>
      </c>
      <c r="M302" s="110" t="inlineStr">
        <is>
          <t>HeckerCreatives</t>
        </is>
      </c>
      <c r="N302" s="81" t="n">
        <v>0</v>
      </c>
      <c r="O302" s="80" t="inlineStr">
        <is>
          <t>P1-ART-21, P1-ART-24</t>
        </is>
      </c>
      <c r="P302" s="80" t="inlineStr">
        <is>
          <t>Finance-only users land on the Vault at /admin/finance; Payouts, Refunds, Payment events, Disputes and Commission render in Vault styling (bank green, brushed gold, guilloché, double-rule frames, engraved serif numerals, the dial) and are server-paged; GET /finance/overview answers money in/out, owed, BTG kept, split and needs-you from one scoped read; no admin chamfers/brackets or another portal's motifs appear on a Vault screen; reduced motion honoured; no horizontal overflow at 390; unit tests, lint, tsc and build green.</t>
        </is>
      </c>
      <c r="Q302" s="82" t="inlineStr">
        <is>
          <t>docs/superpowers/specs/2026-10-12-finance-vault-design.md</t>
        </is>
      </c>
      <c r="R302" s="111" t="inlineStr">
        <is>
          <t>Raised 2026-10-12 on the owner's request (HeckerCreatives, via Claude). Branch feature/P1-ART-25-finance-vault (stacked on feature/P1-ART-24-mobile-dock). New GET /finance/overview; Vault components under the .sx-vault look restyle Payouts, Refunds, Payment events, Disputes and Commission. Done 2026-10-15 (owner's call); P1-ART-22's QA fixes of 10-11 committed and pushed 2026-10-15.</t>
        </is>
      </c>
    </row>
    <row r="303" s="75">
      <c r="A303" s="104" t="n">
        <v>33.59996875</v>
      </c>
      <c r="B303" s="105" t="inlineStr">
        <is>
          <t>P1-ART-26</t>
        </is>
      </c>
      <c r="C303" s="81" t="n">
        <v>1</v>
      </c>
      <c r="D303" s="82" t="inlineStr">
        <is>
          <t>UI Scaffold on Fixtures</t>
        </is>
      </c>
      <c r="E303" s="139" t="inlineStr">
        <is>
          <t>ART</t>
        </is>
      </c>
      <c r="F303" s="120" t="inlineStr">
        <is>
          <t>Code</t>
        </is>
      </c>
      <c r="G303" s="80" t="inlineStr">
        <is>
          <t>One theme — remove the day/night toggle</t>
        </is>
      </c>
      <c r="H303" s="107" t="inlineStr">
        <is>
          <t>Raised 2026-10-14 by the programme owner: remove day/night mode from the whole web app; the default (dark) is the only theme. The sun/moon button leaves every portal header, a stored localStorage sx-theme=light is no longer applied, and the Arena's light-only styling goes. The Frost light tokens stay for paper only — the schools proposal prints on them (lib/print-light.ts, P1-FE-26).</t>
        </is>
      </c>
      <c r="I303" s="108" t="inlineStr">
        <is>
          <t>Done</t>
        </is>
      </c>
      <c r="J303" s="108" t="n">
        <v>0.5</v>
      </c>
      <c r="K303" s="109" t="n">
        <v>46309</v>
      </c>
      <c r="L303" s="109" t="n">
        <v>46309</v>
      </c>
      <c r="M303" s="110" t="inlineStr">
        <is>
          <t>HeckerCreatives</t>
        </is>
      </c>
      <c r="N303" s="81" t="n">
        <v>0</v>
      </c>
      <c r="O303" s="80" t="n"/>
      <c r="P303" s="80" t="inlineStr">
        <is>
          <t>No screen offers a theme switch; every screen renders dark even with an old stored 'light'; the schools proposal still prints light; tests, lint, tsc and build green</t>
        </is>
      </c>
      <c r="Q303" s="82" t="inlineStr">
        <is>
          <t>A2 (reverses P1-FE-02's on-screen light theme)</t>
        </is>
      </c>
      <c r="R303" s="111" t="inlineStr">
        <is>
          <t>Built 2026-10-14: theme-toggle.tsx deleted, portal-shell no longer renders it, root layout's pre-paint sx-theme script removed, [data-theme=light] Arena/dock/sheet rules removed from globals.css and mobile-nav.css; light tokens kept for print. QA 2026-10-14 on the production build with an old sx-theme=light pre-set in every browser: 232 page visits (8 roles — public, BTG admin, athlete, sponsor, Finance, property manager, advisor, student — desktop + mobile; 116 screens incl. detail pages): 0 theme buttons, 0 data-theme on &lt;html&gt;, --sx-bg dark on every page, 0 page errors, 0 5xx, 0 horizontal overflow. Schools proposal print still switches to light and back. Frontend 139 files / 1,528 tests, lint, tsc, next build green. Guardian shell not walked (no QA guardian login).</t>
        </is>
      </c>
    </row>
    <row r="304" s="75">
      <c r="A304" s="104" t="n">
        <v>33.69996875</v>
      </c>
      <c r="B304" s="105" t="inlineStr">
        <is>
          <t>P1-ART-27</t>
        </is>
      </c>
      <c r="C304" s="81" t="n">
        <v>1</v>
      </c>
      <c r="D304" s="82" t="inlineStr">
        <is>
          <t>UI Scaffold on Fixtures</t>
        </is>
      </c>
      <c r="E304" s="139" t="inlineStr">
        <is>
          <t>ART</t>
        </is>
      </c>
      <c r="F304" s="120" t="inlineStr">
        <is>
          <t>Code</t>
        </is>
      </c>
      <c r="G304" s="80" t="inlineStr">
        <is>
          <t>Public site — signed-in visitors get "&lt;Role&gt; Dashboard" instead of Login / Get Started</t>
        </is>
      </c>
      <c r="H304" s="107" t="inlineStr">
        <is>
          <t>Raised 2026-10-14 by the programme owner: on the landing page, someone already signed in (session not expired) sees their own dashboard button instead of Login and Get Started. Header, phone menu, hero and closing CTA; every public page shares the header. Portal from the Postgres roles (portalFor), named by lib/dashboard-link.ts; asked only when Clerk says the session is live, so the landing stays static.</t>
        </is>
      </c>
      <c r="I304" s="108" t="inlineStr">
        <is>
          <t>Done</t>
        </is>
      </c>
      <c r="J304" s="108" t="n">
        <v>0.5</v>
      </c>
      <c r="K304" s="109" t="n">
        <v>46309</v>
      </c>
      <c r="L304" s="109" t="n">
        <v>46309</v>
      </c>
      <c r="M304" s="110" t="inlineStr">
        <is>
          <t>HeckerCreatives</t>
        </is>
      </c>
      <c r="N304" s="81" t="n">
        <v>0</v>
      </c>
      <c r="O304" s="80" t="n"/>
      <c r="P304" s="80" t="inlineStr">
        <is>
          <t>Signed in with a live session: Login gone, Get Started reads '&lt;Role&gt; Dashboard' and opens that portal, in the header, phone menu, hero and closing CTA; signed out or session ended: unchanged; landing stays static; tests, lint, tsc and build green</t>
        </is>
      </c>
      <c r="Q304" s="82" t="inlineStr">
        <is>
          <t>§9.2 (post-sign-in routing)</t>
        </is>
      </c>
      <c r="R304" s="111" t="inlineStr">
        <is>
          <t>Built 2026-10-14: lib/dashboard-link.ts (portal -&gt; label, Guardian named for a guardian; tests/dashboard-link.test.ts, 3), server/my-dashboard.ts (server action: fetchActor + portalFor; anything short of a linked account -&gt; null), components/my-dashboard.tsx (useMyDashboard: Clerk useAuth decides live session, one call per page shared by all buttons; DashboardCta), HeaderActions + menu in site-nav.tsx, hero and closing CTAs. '/' still prerendered static. QA 2026-10-14 on the production build: 18/18 walks (desktop + mobile) — signed out unchanged; each of admin, athlete, sponsor, Finance, property, advisor, student sees '&lt;Role&gt; Dashboard' on header + hero + closing (3 links, all to their portal), Login gone, phone menu one full-width button, header click lands in the portal, /packages header too; a revoked Clerk session reverts to Login / Get Started. Screens after the loader at 1366/412/360 px reviewed by eye (no overflow, button clear of the logo). Frontend 140 files / 1,531 tests, eslint, tsc, next build green. Footer 'Sign In' link left as is.</t>
        </is>
      </c>
    </row>
    <row r="305">
      <c r="A305" s="104" t="n">
        <v>157.5</v>
      </c>
      <c r="B305" s="105" t="inlineStr">
        <is>
          <t>P8-BE-01</t>
        </is>
      </c>
      <c r="C305" s="81" t="n">
        <v>8</v>
      </c>
      <c r="D305" s="82" t="inlineStr">
        <is>
          <t>Integration, Hardening &amp; Launch</t>
        </is>
      </c>
      <c r="E305" s="139" t="inlineStr">
        <is>
          <t>BE</t>
        </is>
      </c>
      <c r="F305" s="120" t="inlineStr">
        <is>
          <t>Code</t>
        </is>
      </c>
      <c r="G305" s="80" t="inlineStr">
        <is>
          <t>A NIL job catalogue per tenant</t>
        </is>
      </c>
      <c r="H305" s="107" t="inlineStr">
        <is>
          <t>Raised by P8-QA-01's finding: a job's ID (SX-02) was unique across the whole database, so only one tenant could hold the SX catalogue.</t>
        </is>
      </c>
      <c r="I305" s="108" t="inlineStr">
        <is>
          <t>Code review</t>
        </is>
      </c>
      <c r="J305" s="108" t="n">
        <v>1</v>
      </c>
      <c r="K305" s="163" t="n">
        <v>46314</v>
      </c>
      <c r="L305" s="109" t="n"/>
      <c r="M305" s="110" t="inlineStr">
        <is>
          <t>rcfworks</t>
        </is>
      </c>
      <c r="N305" s="81" t="n">
        <v>0</v>
      </c>
      <c r="O305" s="80" t="inlineStr">
        <is>
          <t>P8-QA-01</t>
        </is>
      </c>
      <c r="P305" s="80" t="inlineStr">
        <is>
          <t>A second tenant can hold and price its own SX jobs, and no record can point at another tenant's job</t>
        </is>
      </c>
      <c r="Q305" s="82" t="inlineStr">
        <is>
          <t>§30</t>
        </is>
      </c>
      <c r="R305" s="111" t="inlineStr">
        <is>
          <t>2026-10-19 (rcfworks): NilJob keyed by (tenantId, id); AthleteRate/CampaignInvite/CampaignOrder/Offer reference it by (tenantId, jobId), so the database refuses a link to another tenant's job. Migration 20261019100000_nil_job_per_tenant pre-checks for cross-tenant links and stops with the list. Catalogue loader, campaign desk and invitation email read the record's own tenant's job; the pricing engine prefers it. tests/nil-job-per-tenant.test.ts; phase1-acceptance.test.ts now holds its own catalogue (ends its race over SX-04/SX-05).</t>
        </is>
      </c>
    </row>
  </sheetData>
  <autoFilter ref="A4:R305"/>
  <mergeCells count="2">
    <mergeCell ref="A2:R2"/>
    <mergeCell ref="A1:R1"/>
  </mergeCells>
  <conditionalFormatting sqref="I5:I30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305">
    <cfRule type="expression" rank="0" priority="7" equalAverage="0" aboveAverage="0" dxfId="32" text="" percent="0" bottom="0">
      <formula>$I5="Done"</formula>
    </cfRule>
  </conditionalFormatting>
  <conditionalFormatting sqref="N5:N305">
    <cfRule type="cellIs" rank="0" priority="8" equalAverage="0" operator="greaterThanOrEqual" aboveAverage="0" dxfId="33" text="" percent="0" bottom="0">
      <formula>50</formula>
    </cfRule>
  </conditionalFormatting>
  <dataValidations count="1">
    <dataValidation sqref="I5:I30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144"/>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66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Done</t>
        </is>
      </c>
      <c r="J5" s="108" t="n">
        <v>3</v>
      </c>
      <c r="K5" s="109" t="inlineStr">
        <is>
          <t>2026-09-28</t>
        </is>
      </c>
      <c r="L5" s="109" t="inlineStr">
        <is>
          <t>2026-09-28</t>
        </is>
      </c>
      <c r="M5" s="110" t="inlineStr">
        <is>
          <t>rcfworks</t>
        </is>
      </c>
      <c r="N5" s="81" t="n">
        <v>0</v>
      </c>
      <c r="O5" s="80" t="inlineStr">
        <is>
          <t>Phase 1 complete</t>
        </is>
      </c>
      <c r="P5" s="80" t="inlineStr">
        <is>
          <t>All Phase 2 state machines diagrammed and agreed, with the illegal transitions named explicitly</t>
        </is>
      </c>
      <c r="Q5" s="82" t="inlineStr">
        <is>
          <t>Spec §7, §12</t>
        </is>
      </c>
      <c r="R5" s="111" t="inlineStr">
        <is>
          <t>2026-09-28: SIMULATED — documentation/SponsorX-Phase2-State-Machines.md: onboarding, listing, reservation, order, payment, payout and dispute, each with legal moves and the illegal ones named, plus the interlocks (an open dispute holds every payout). Onboarding implemented exactly as written (2S1-BE-01/03); the rest are the working design for their tasks. For BTG to confirm. | 2026-09-28: Done at the user's instruction — acceptance met, CI green.</t>
        </is>
      </c>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Done</t>
        </is>
      </c>
      <c r="J6" s="108" t="n">
        <v>5</v>
      </c>
      <c r="K6" s="109" t="inlineStr">
        <is>
          <t>2026-09-28</t>
        </is>
      </c>
      <c r="L6" s="109" t="inlineStr">
        <is>
          <t>2026-09-28</t>
        </is>
      </c>
      <c r="M6" s="110" t="inlineStr">
        <is>
          <t>rcfworks</t>
        </is>
      </c>
      <c r="N6" s="85" t="n">
        <v>0</v>
      </c>
      <c r="O6" s="84" t="inlineStr">
        <is>
          <t>Phase 1 complete</t>
        </is>
      </c>
      <c r="P6" s="84" t="inlineStr">
        <is>
          <t>Ledger design reviewed and signed off; the sequential rule order is documented and a worked example reconciles to the cent</t>
        </is>
      </c>
      <c r="Q6" s="86" t="inlineStr">
        <is>
          <t>Spec §7.4</t>
        </is>
      </c>
      <c r="R6" s="111" t="inlineStr">
        <is>
          <t>2026-09-28: SIMULATED design written — documentation/SponsorX-Phase2-Ledger-Design.md: the sequential rule order (gross → discounts → platform → management → processing → property share → referral → reserve → available), rounding (half up; remainders so parts sum exactly), rule precedence, the double-entry accounts and journals, and a worked example that reconciles to the cent (posted and asserted by tests/phase2-ledger.test.ts). Rates are placeholders (commission rules, data not code). WAITING ON: the programme owner's review and sign-off, which is the rest of the acceptance. | 2026-09-28: SIGNED OFF by the programme owner — documentation/SponsorX-Phase2-Ledger-Design.md is the approved design (rule order, rounding, precedence, accounts and journals, worked example to the cent). The RATES remain placeholders for BTG to replace with real ones in /admin/commission (2S5-FE-01); that is data, not a design change.</t>
        </is>
      </c>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Done</t>
        </is>
      </c>
      <c r="J7" s="108" t="n">
        <v>3</v>
      </c>
      <c r="K7" s="109" t="n">
        <v>46301</v>
      </c>
      <c r="L7" s="109" t="n">
        <v>46301</v>
      </c>
      <c r="M7" s="110" t="inlineStr">
        <is>
          <t>rcfworks</t>
        </is>
      </c>
      <c r="N7" s="81" t="n">
        <v>0</v>
      </c>
      <c r="O7" s="80" t="inlineStr">
        <is>
          <t>2S0-PMO-02</t>
        </is>
      </c>
      <c r="P7" s="80" t="inlineStr">
        <is>
          <t>Provider selected, contract in place, sandbox credentials issued, and the adapter interface agreed so it stays swappable</t>
        </is>
      </c>
      <c r="Q7" s="82" t="inlineStr">
        <is>
          <t>Spec §10</t>
        </is>
      </c>
      <c r="R7" s="111" t="inlineStr">
        <is>
          <t>2026-09-28 WAITING ON: the programme owner's decision — choose the payment provider, put the contract in place and issue sandbox credentials. Its dependency, the ledger design (2S0-PMO-02), is signed off. This one decision unblocks checkout, webhooks, payout accounts, refunds and disputes, payouts and wallet passes. | Stripe chosen by the owner 2026-10-06. Connect set up as a marketplace (you collect payments and pay recipients) in the BTG sandbox; sandbox keys stored in Railway staging (STRIPE_SECRET_KEY on api, STRIPE_PUBLISHABLE_KEY on api and web), never in chat. Contract: the Stripe Services Agreement accepted on BTG account. Adapter interface: backend/src/lib/payment-provider.ts.</t>
        </is>
      </c>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Done</t>
        </is>
      </c>
      <c r="J8" s="108" t="n">
        <v>3</v>
      </c>
      <c r="K8" s="109" t="n">
        <v>46301</v>
      </c>
      <c r="L8" s="109" t="n">
        <v>46301</v>
      </c>
      <c r="M8" s="110" t="inlineStr">
        <is>
          <t>rcfworks</t>
        </is>
      </c>
      <c r="N8" s="85" t="n">
        <v>0</v>
      </c>
      <c r="O8" s="84" t="inlineStr">
        <is>
          <t>2S0-PMO-03</t>
        </is>
      </c>
      <c r="P8" s="84" t="inlineStr">
        <is>
          <t>Security review complete with findings closed or accepted in writing</t>
        </is>
      </c>
      <c r="Q8" s="86" t="inlineStr">
        <is>
          <t>Spec §3, §38</t>
        </is>
      </c>
      <c r="R8" s="111" t="inlineStr">
        <is>
          <t>2026-09-28 WAITING ON: the payment provider choice (2S0-PMO-03 — the programme owner's decision: provider, contract, sandbox credentials). | Unblocked 2026-10-06: its only dependency, 2S0-PMO-03, is Done. | Review in documentation/SponsorX-Payments-PII-Review-2026-10.md. Card data: pass (hosted Checkout; webhook payloads minimised; refused webhooks no longer store raw events, migration 20261006043000). Payout account data: pass (id + status only). Verification documents: pass (private bucket, audited 5-min links; bucket-separation boot guard). Logs: fixed (logError/redactForLog on every console.error; Stripe scrub masks emails). Owner decisions 2026-10-06: O1 (support files by link not email), O2 (attachment retention), O4 (Zoho bodies trimmed after 90 days), O5 (card numbers refused in notes) fixed; O3 and O6 accepted in writing. payments-pii.test (+ phase2-support, tenant-isolation). Backend 2910 tests.</t>
        </is>
      </c>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Done</t>
        </is>
      </c>
      <c r="J9" s="108" t="n">
        <v>5</v>
      </c>
      <c r="K9" s="109" t="n">
        <v>46294</v>
      </c>
      <c r="L9" s="109" t="n">
        <v>46296</v>
      </c>
      <c r="M9" s="110" t="inlineStr">
        <is>
          <t>rcfworks</t>
        </is>
      </c>
      <c r="N9" s="81" t="n">
        <v>0</v>
      </c>
      <c r="O9" s="80" t="inlineStr">
        <is>
          <t>2S0-PMO-01</t>
        </is>
      </c>
      <c r="P9" s="80" t="inlineStr">
        <is>
          <t>All 14 Phase 2 screens designed, with the onboarding wizard and checkout flows walked end to end</t>
        </is>
      </c>
      <c r="Q9" s="82" t="inlineStr">
        <is>
          <t>Spec §6</t>
        </is>
      </c>
      <c r="R9" s="111" t="inlineStr">
        <is>
          <t xml:space="preserve"> Designed 2026-09-29 by Claude Design: https://claude.ai/artifact/RNykbEaHgkiMppTXandrrB — all 14 screens, 144 artboards, onboarding and cart-to-checkout walked as flows.</t>
        </is>
      </c>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Done</t>
        </is>
      </c>
      <c r="J10" s="108" t="n">
        <v>1</v>
      </c>
      <c r="K10" s="109" t="n">
        <v>46302</v>
      </c>
      <c r="L10" s="109" t="n">
        <v>46302</v>
      </c>
      <c r="M10" s="110" t="inlineStr">
        <is>
          <t>rcfworks</t>
        </is>
      </c>
      <c r="N10" s="85" t="n">
        <v>0</v>
      </c>
      <c r="O10" s="84" t="inlineStr">
        <is>
          <t>Phase 1 complete</t>
        </is>
      </c>
      <c r="P10" s="84" t="inlineStr">
        <is>
          <t>Formal RPO/RTO targets agreed and the backup strategy adjusted to meet them</t>
        </is>
      </c>
      <c r="Q10" s="86" t="inlineStr">
        <is>
          <t>Spec §38</t>
        </is>
      </c>
      <c r="R10" s="111" t="inlineStr">
        <is>
          <t>2026-09-28 WAITING ON: Phase 1 completion. | 2026-10-07: owner agreed RPO &lt;= 1 hour, RTO &lt;= 4 hours. Current backups already meet them (PITR on both environments with continuous WAL archiving, last archive minutes old; daily/weekly backups, plus monthly in production), recorded in documentation/SponsorX-Database-Backup-Runbook.md. RTO proven by 2S8-OPS-01.</t>
        </is>
      </c>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Done</t>
        </is>
      </c>
      <c r="J11" s="108" t="n">
        <v>5</v>
      </c>
      <c r="K11" s="109" t="inlineStr">
        <is>
          <t>2026-09-28</t>
        </is>
      </c>
      <c r="L11" s="109" t="inlineStr">
        <is>
          <t>2026-09-28</t>
        </is>
      </c>
      <c r="M11" s="110" t="inlineStr">
        <is>
          <t>rcfworks</t>
        </is>
      </c>
      <c r="N11" s="81" t="n">
        <v>0</v>
      </c>
      <c r="O11" s="80" t="inlineStr">
        <is>
          <t>2S0-PMO-01</t>
        </is>
      </c>
      <c r="P11" s="80" t="inlineStr">
        <is>
          <t>An external organisation can complete and submit onboarding through the API without database intervention</t>
        </is>
      </c>
      <c r="Q11" s="82" t="inlineStr">
        <is>
          <t>Spec §7.1, §9</t>
        </is>
      </c>
      <c r="R11" s="111" t="inlineStr">
        <is>
          <t>2026-09-28: PropertyOnboarding + public wizard API by signed resume token (own HMAC purpose): POST /public/onboarding, GET/PATCH /public/onboarding/{token} (organisation · contacts · business · payout · agreements, each saved on its own), POST .../submit (refused with the missing-field list). Required fields vary by org type (TEAM/SCHOOL/EVENT/MEDIA/VIRTUAL strict schemas) and state (registration number in CA/NY/TX/FL/IL for commercial orgs — SIMULATED list). NO tax id / bank details: strict schemas refuse them; payout step records only an acknowledgement that the provider collects them. Test: an organisation completes and submits over HTTP alone (mutation-checked). | 2026-09-28: Done at the user's instruction — acceptance met, CI green.</t>
        </is>
      </c>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Done</t>
        </is>
      </c>
      <c r="J12" s="108" t="n">
        <v>3</v>
      </c>
      <c r="K12" s="109" t="inlineStr">
        <is>
          <t>2026-09-28</t>
        </is>
      </c>
      <c r="L12" s="109" t="inlineStr">
        <is>
          <t>2026-09-28</t>
        </is>
      </c>
      <c r="M12" s="110" t="inlineStr">
        <is>
          <t>rcfworks</t>
        </is>
      </c>
      <c r="N12" s="85" t="n">
        <v>0</v>
      </c>
      <c r="O12" s="84" t="inlineStr">
        <is>
          <t>2S1-BE-01</t>
        </is>
      </c>
      <c r="P12" s="84" t="inlineStr">
        <is>
          <t>Documents upload to the private bucket, are reviewable by an admin, and are never publicly reachable</t>
        </is>
      </c>
      <c r="Q12" s="86" t="inlineStr">
        <is>
          <t>Spec §9</t>
        </is>
      </c>
      <c r="R12" s="111" t="inlineStr">
        <is>
          <t>2026-09-28: POST /public/onboarding/{token}/documents hands the applicant a presigned PUT to the PRIVATE bucket for one key (onboarding/&lt;id&gt;/&lt;doc&gt;-&lt;safe name&gt;; PDF/JPEG/PNG, ≤20 MB, ≤12 per application, editable states only), audited as a private upload grant. …/documents/{id}/confirm attaches it only once a HEAD finds the object. BTG reads via GET /onboarding/{id}/documents — each link an audited 15-minute private download grant; sponsors 403, anonymous 401. The applicant never gets a read URL, not even of its own file; no public-bucket path exists in the module. Model OnboardingDocument, migration 20260928130000. Tests: tests/property-onboarding.test.ts (2S1-BE-02 block), mutation-checked.</t>
        </is>
      </c>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Done</t>
        </is>
      </c>
      <c r="J13" s="108" t="n">
        <v>3</v>
      </c>
      <c r="K13" s="109" t="inlineStr">
        <is>
          <t>2026-09-28</t>
        </is>
      </c>
      <c r="L13" s="109" t="inlineStr">
        <is>
          <t>2026-09-28</t>
        </is>
      </c>
      <c r="M13" s="110" t="inlineStr">
        <is>
          <t>rcfworks</t>
        </is>
      </c>
      <c r="N13" s="81" t="n">
        <v>0</v>
      </c>
      <c r="O13" s="80" t="inlineStr">
        <is>
          <t>2S1-BE-01</t>
        </is>
      </c>
      <c r="P13" s="80" t="inlineStr">
        <is>
          <t>A reviewer can action every decision type; PENDING_REVIEW to APPROVED grants listing access and is audited</t>
        </is>
      </c>
      <c r="Q13" s="82" t="inlineStr">
        <is>
          <t>Spec §7.1</t>
        </is>
      </c>
      <c r="R13" s="111" t="inlineStr">
        <is>
          <t>2026-09-28: GET /onboarding (verification queue), POST /onboarding/{id}/decision — APPROVE, REQUEST_CHANGES, REJECT, SUSPEND, REINSTATE (notes required for the refusals/pause), per the state-machine doc. PENDING_REVIEW → APPROVED creates the Property and grants listing access (Property.listingAccessAt), audited with reviewer and before/after; SUSPEND withdraws access, REINSTATE restores it on the same Property. BTG only (matrix §16 propertyOnboarding). Listing creation will check listingAccessAt when the listing engine lands (2S3-BE-01). | 2026-09-28: Done at the user's instruction — acceptance met, CI green.</t>
        </is>
      </c>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Done</t>
        </is>
      </c>
      <c r="J14" s="108" t="n">
        <v>5</v>
      </c>
      <c r="K14" s="109" t="inlineStr">
        <is>
          <t>2026-09-28</t>
        </is>
      </c>
      <c r="L14" s="109" t="inlineStr">
        <is>
          <t>2026-09-28</t>
        </is>
      </c>
      <c r="M14" s="110" t="inlineStr">
        <is>
          <t>rcfworks</t>
        </is>
      </c>
      <c r="N14" s="85" t="n">
        <v>0</v>
      </c>
      <c r="O14" s="84" t="inlineStr">
        <is>
          <t>2S1-BE-03</t>
        </is>
      </c>
      <c r="P14" s="84" t="inlineStr">
        <is>
          <t>An approved property's users see only their own tenant's data; cross-tenant tests pass</t>
        </is>
      </c>
      <c r="Q14" s="86" t="inlineStr">
        <is>
          <t>Spec §3, §12</t>
        </is>
      </c>
      <c r="R14" s="111" t="inlineStr">
        <is>
          <t>2026-09-28: the first APPROVE provisions a NEW tenant for the organisation — Tenant, its Property there (listing access), and a PROPERTY_MGR account for the primary contact linked to it (placeholder claimed on first sign-in via resolveActor), all in the decision's transaction, audited (tenant.provision in the new tenant; approval row records tenantId). An address that already has an account is refused 409 and nothing is provisioned. Onboarding record stays with BTG. Tests: property-onboarding.test.ts (two orgs → two tenants; each manager's /me and /properties/mine; no BTG queue/application/document access) and the full cross-tenant sweep (tests/tenant-isolation.test.ts), mutation-checked. RBAC matrix §16 note.</t>
        </is>
      </c>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Done</t>
        </is>
      </c>
      <c r="J15" s="108" t="n">
        <v>5</v>
      </c>
      <c r="K15" s="109" t="n">
        <v>46294</v>
      </c>
      <c r="L15" s="109" t="n">
        <v>46296</v>
      </c>
      <c r="M15" s="110" t="inlineStr">
        <is>
          <t>rcfworks</t>
        </is>
      </c>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Done</t>
        </is>
      </c>
      <c r="J16" s="108" t="n">
        <v>3</v>
      </c>
      <c r="K16" s="109" t="n">
        <v>46294</v>
      </c>
      <c r="L16" s="109" t="n">
        <v>46296</v>
      </c>
      <c r="M16" s="110" t="inlineStr">
        <is>
          <t>rcfworks</t>
        </is>
      </c>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Done</t>
        </is>
      </c>
      <c r="J17" s="108" t="n">
        <v>1</v>
      </c>
      <c r="K17" s="109" t="inlineStr">
        <is>
          <t>2026-09-28</t>
        </is>
      </c>
      <c r="L17" s="109" t="inlineStr">
        <is>
          <t>2026-09-28</t>
        </is>
      </c>
      <c r="M17" s="110" t="inlineStr">
        <is>
          <t>rcfworks</t>
        </is>
      </c>
      <c r="N17" s="81" t="n">
        <v>0</v>
      </c>
      <c r="O17" s="80" t="inlineStr">
        <is>
          <t>2S1-BE-03</t>
        </is>
      </c>
      <c r="P17" s="80" t="inlineStr">
        <is>
          <t>All five notifications send as queued jobs and retry on failure</t>
        </is>
      </c>
      <c r="Q17" s="82" t="inlineStr">
        <is>
          <t>Spec §10</t>
        </is>
      </c>
      <c r="R17" s="111" t="inlineStr">
        <is>
          <t>2026-09-28: five templates — onboarding.received / changesRequested / approved / rejected / suspended — queued via send() inside the submit/decision transaction (a rolled-back decision announces nothing), to the primary contact, reviewer notes quoted, resume link on changes requested, portal link on approval; idempotency key counts the moment, not the clock. Retry: worker/queue-policy.mts gives notify.email retryLimit 6, 30 s exponential backoff, applied create-then-update so existing queues adopt it. tests/email-retry.test.ts proves it on a real pg-boss: vendor refuses attempt 1, retry sends, exactly once. REINSTATE sends none (not one of the five).</t>
        </is>
      </c>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Done</t>
        </is>
      </c>
      <c r="J18" s="108" t="n">
        <v>5</v>
      </c>
      <c r="K18" s="109" t="inlineStr">
        <is>
          <t>2026-09-28</t>
        </is>
      </c>
      <c r="L18" s="109" t="inlineStr">
        <is>
          <t>2026-09-28</t>
        </is>
      </c>
      <c r="M18" s="110" t="inlineStr">
        <is>
          <t>rcfworks</t>
        </is>
      </c>
      <c r="N18" s="85" t="n">
        <v>0</v>
      </c>
      <c r="O18" s="84" t="inlineStr">
        <is>
          <t>2S1-BE-04</t>
        </is>
      </c>
      <c r="P18" s="84" t="inlineStr">
        <is>
          <t>An athlete can create, edit and price inventory items scoped to their own account</t>
        </is>
      </c>
      <c r="Q18" s="86" t="inlineStr">
        <is>
          <t>Spec §6 P2-04</t>
        </is>
      </c>
      <c r="R18" s="111" t="inlineStr">
        <is>
          <t>2026-09-28: InventoryItem (athlete- or team-owned, exactly one — DB CHECK): kind, catalogue job, price (whole cents ≥ $1), quantity, availability window, suited/restricted brand categories (never both), strict package rules; version bumps on reprice (audited). GET/POST /inventory, GET/PATCH /inventory/{id}. The owner is always the caller — no request names one (strict body). Another athlete: 403 on read and reprice; BTG reads (operated) but cannot write; an unapproved athlete cannot sell. Price/quantity refused while a listing is PUBLISHED. Tests: tests/phase2-marketplace.test.ts, mutation-checked; cross-tenant sweep extended.</t>
        </is>
      </c>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Done</t>
        </is>
      </c>
      <c r="J19" s="108" t="n">
        <v>3</v>
      </c>
      <c r="K19" s="109" t="inlineStr">
        <is>
          <t>2026-09-28</t>
        </is>
      </c>
      <c r="L19" s="109" t="inlineStr">
        <is>
          <t>2026-09-28</t>
        </is>
      </c>
      <c r="M19" s="110" t="inlineStr">
        <is>
          <t>rcfworks</t>
        </is>
      </c>
      <c r="N19" s="81" t="n">
        <v>0</v>
      </c>
      <c r="O19" s="80" t="inlineStr">
        <is>
          <t>2S2-BE-01</t>
        </is>
      </c>
      <c r="P19" s="80" t="inlineStr">
        <is>
          <t>A restricted category blocks listing purchase and campaign offer for the overlapping date range</t>
        </is>
      </c>
      <c r="Q19" s="82" t="inlineStr">
        <is>
          <t>Spec §9</t>
        </is>
      </c>
      <c r="R19" s="111" t="inlineStr">
        <is>
          <t>2026-09-28: BrandRestriction (athlete or team, category, type PROHIBITED/LEAGUE_RULE/SCHOOL_POLICY/EXCLUSIVITY, date range — open-ended when null; DB CHECKs); Sponsor.categories (set by BTG only; seed sponsor simulated AUTOMOTIVE). One shared check, restrictionConflicts — athlete's own, their team's (covers the roster), Phase 1 profile restrictedCategories as open-ended — asked by every purchase path (cart line), by the formal offer on draft and again on accept, and by the Phase 1 invitation (no road around it). Windows compared by whole UTC days. An accepted offer with exclusivityDays writes EXCLUSIVITY for the sponsor's categories; contractual — only SUPER_ADMIN removes it. GET/POST/DELETE /restrictions, PUT /sponsors/{id}/categories. Proven: a team league rule blocks the listing purchase in its dates and not outside; an athlete restriction blocks the offer (and invitation) for an overlapping campaign and not a later one; exclusivity blocks a rival. Tests: tests/phase2-purchase.test.ts, mutation-checked.</t>
        </is>
      </c>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Done</t>
        </is>
      </c>
      <c r="J20" s="108" t="n">
        <v>5</v>
      </c>
      <c r="K20" s="109" t="inlineStr">
        <is>
          <t>2026-09-28</t>
        </is>
      </c>
      <c r="L20" s="109" t="inlineStr">
        <is>
          <t>2026-09-28</t>
        </is>
      </c>
      <c r="M20" s="110" t="inlineStr">
        <is>
          <t>rcfworks</t>
        </is>
      </c>
      <c r="N20" s="85" t="n">
        <v>0</v>
      </c>
      <c r="O20" s="84" t="inlineStr">
        <is>
          <t>2S2-BE-01</t>
        </is>
      </c>
      <c r="P20" s="84" t="inlineStr">
        <is>
          <t>Accepting an offer freezes commercial terms and schedules deliverables; later rate-card edits do not alter it</t>
        </is>
      </c>
      <c r="Q20" s="86" t="inlineStr">
        <is>
          <t>Spec §7.3</t>
        </is>
      </c>
      <c r="R20" s="111" t="inlineStr">
        <is>
          <t>2026-09-28: Offer (brief, pay, sell price, scheduled deliverables, usage rights, exclusivity days, disclosures, expiry) on a campaign in BTG's tenant; must clear the margin floor and budget. Send hashes and fixes the terms; the athlete accepts the hash shown with agreement evidence (guardian gate via acceptAgreementIn), in ONE transaction: immutable terms snapshot, CampaignOrder created ACCEPTED at the offer's own figures, a NOT_STARTED Deliverable per line, PENDING earning. Postgres trigger offer_terms_immutable refuses any change to terms once SENT and to the snapshot/state once ACCEPTED. Proven: a new rate-card version and an inventory reprice after acceptance leave offer, snapshot and order unchanged. sellPrice withheld from the athlete. Offers stay in one tenant for now (outside-team offers come with 2S4). Tests: tests/phase2-marketplace.test.ts, mutation-checked.</t>
        </is>
      </c>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Done</t>
        </is>
      </c>
      <c r="J21" s="108" t="n">
        <v>3</v>
      </c>
      <c r="K21" s="109" t="inlineStr">
        <is>
          <t>2026-09-28</t>
        </is>
      </c>
      <c r="L21" s="109" t="inlineStr">
        <is>
          <t>2026-09-28</t>
        </is>
      </c>
      <c r="M21" s="110" t="inlineStr">
        <is>
          <t>rcfworks</t>
        </is>
      </c>
      <c r="N21" s="81" t="inlineStr">
        <is>
          <t>2S2-BE-05</t>
        </is>
      </c>
      <c r="O21" s="80" t="inlineStr">
        <is>
          <t>2S1-BE-04</t>
        </is>
      </c>
      <c r="P21" s="80" t="inlineStr">
        <is>
          <t>A team manager can see their roster and the inventory belonging to it, and nobody else's</t>
        </is>
      </c>
      <c r="Q21" s="82" t="inlineStr">
        <is>
          <t>Spec §6 P2-06</t>
        </is>
      </c>
      <c r="R21" s="111" t="inlineStr">
        <is>
          <t>2026-09-28: GET/POST /team/roster, PATCH /team/roster/{id}. The manager adds athletes into the team's own tenant (Athlete linked to the Property, APPROVED — the verified team vouches; minors still gated at acceptance) with an account claimed by email, and sets the team's revenue share (Athlete.teamShareBps, 0–10000, audited). The roster read returns each athlete with their inventory plus the team's own inventory. Another team's manager sees none of it (403 on every item and share); BTG reads as operator, an unrelated operator does not. New resource teamMember (not athlete write). Tests: tests/phase2-marketplace.test.ts, mutation-checked.</t>
        </is>
      </c>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Done</t>
        </is>
      </c>
      <c r="J22" s="108" t="n">
        <v>3</v>
      </c>
      <c r="K22" s="109" t="n">
        <v>46296</v>
      </c>
      <c r="L22" s="109" t="n">
        <v>46297</v>
      </c>
      <c r="M22" s="110" t="inlineStr">
        <is>
          <t>rcfworks</t>
        </is>
      </c>
      <c r="N22" s="85" t="n">
        <v>0</v>
      </c>
      <c r="O22" s="84" t="inlineStr">
        <is>
          <t>2S0-ART-01</t>
        </is>
      </c>
      <c r="P22" s="84" t="inlineStr">
        <is>
          <t>Portal home renders live data for the signed-in athlete only</t>
        </is>
      </c>
      <c r="Q22" s="86" t="inlineStr">
        <is>
          <t>Spec §6 P2-03</t>
        </is>
      </c>
      <c r="R22" s="111" t="inlineStr">
        <is>
          <t>Reviewed 2026-10-01: /athlete is live and scoped (P3-FE-06) but is the Phase 1 home — missing inventory performance, payout request status and upcoming campaigns. Unblocked; startable. | Reviewed 2026-10-02: /athlete Phase 2 home — inventory performance (GET /sales/summary), payout status (GET /payouts/me byState, which also fixed paidOutCents counting only 50 payouts), upcoming campaigns and sales; own scope only.</t>
        </is>
      </c>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Done</t>
        </is>
      </c>
      <c r="J23" s="108" t="n">
        <v>5</v>
      </c>
      <c r="K23" s="109" t="n">
        <v>46294</v>
      </c>
      <c r="L23" s="109" t="n">
        <v>46296</v>
      </c>
      <c r="M23" s="110" t="inlineStr">
        <is>
          <t>rcfworks</t>
        </is>
      </c>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Done</t>
        </is>
      </c>
      <c r="J24" s="108" t="n">
        <v>3</v>
      </c>
      <c r="K24" s="109" t="n">
        <v>46294</v>
      </c>
      <c r="L24" s="109" t="n">
        <v>46296</v>
      </c>
      <c r="M24" s="110" t="inlineStr">
        <is>
          <t>rcfworks</t>
        </is>
      </c>
      <c r="N24" s="85" t="n">
        <v>0</v>
      </c>
      <c r="O24" s="84" t="inlineStr">
        <is>
          <t>2S2-BE-03</t>
        </is>
      </c>
      <c r="P24" s="84" t="inlineStr">
        <is>
          <t>All three actions work; requesting a change routes back to the campaign manager</t>
        </is>
      </c>
      <c r="Q24" s="86" t="inlineStr">
        <is>
          <t>Spec §6 P2-05</t>
        </is>
      </c>
      <c r="R24" s="111" t="inlineStr">
        <is>
          <t>2026-09-29: no request-a-change route in the API — left out (Phase 2 follow-up). | Fixed 2026-10-01: 'Request a change' added — POST /offers/:id/respond REQUEST_CHANGE with a note; saved as OfferChangeRequest, audited, emailed to the offer's author and the tenant's campaign managers (BTG admins if none); the offer stays open to accept or decline. No BTG-side offers screen exists yet (data on GET /offers). Awaiting review. | Backend for BTG answering a change request added 2026-10-01 (3c953ff): keep with a reply (emailed) or revise into a new draft; drafts editable (PATCH /offers/:id, same checks as create); send re-checks terms and emails the athlete. BTG Offers desk screen being designed (Claude Design N12). | BTG Offers desk built 2026-10-01 at /admin/offers (list, offer, new, edit); keep with a reply or revise; the athlete rate floor enforced on create, edit and send, matching the form. Independently reviewed.</t>
        </is>
      </c>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Done</t>
        </is>
      </c>
      <c r="J25" s="108" t="n">
        <v>5</v>
      </c>
      <c r="K25" s="109" t="n">
        <v>46294</v>
      </c>
      <c r="L25" s="109" t="n">
        <v>46296</v>
      </c>
      <c r="M25" s="110" t="inlineStr">
        <is>
          <t>rcfworks</t>
        </is>
      </c>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Done</t>
        </is>
      </c>
      <c r="J26" s="108" t="n">
        <v>5</v>
      </c>
      <c r="K26" s="109" t="inlineStr">
        <is>
          <t>2026-09-28</t>
        </is>
      </c>
      <c r="L26" s="109" t="inlineStr">
        <is>
          <t>2026-09-28</t>
        </is>
      </c>
      <c r="M26" s="110" t="inlineStr">
        <is>
          <t>rcfworks</t>
        </is>
      </c>
      <c r="N26" s="85" t="n">
        <v>0</v>
      </c>
      <c r="O26" s="84" t="inlineStr">
        <is>
          <t>2S2-BE-01</t>
        </is>
      </c>
      <c r="P26" s="84" t="inlineStr">
        <is>
          <t>A verified property can create a listing but cannot publish it until governance rules are satisfied</t>
        </is>
      </c>
      <c r="Q26" s="86" t="inlineStr">
        <is>
          <t>Spec §9, §12</t>
        </is>
      </c>
      <c r="R26" s="111" t="inlineStr">
        <is>
          <t>2026-09-28: Listing with the state-machine doc's lifecycle (DRAFT → PENDING_APPROVAL → PUBLISHED ⇄ PAUSED → ARCHIVED; changes requested → DRAFT). Only a property whose onboarding is APPROVED with listing access can create one, on its own or a roster athlete's item (one live listing per item — partial unique index). Governance (property access, item active/priced/in stock/in window, title, description, schedule) is checked on submit, on BTG approval and on resume; no road from DRAFT to PUBLISHED; the property cannot approve itself. BTG approves through the new `operated` scope (Tenant.operatorTenantId, set at approval, backfilled) — an unrelated operator is refused. Suspension blocks new listings and resuming. Tests: tests/phase2-marketplace.test.ts, mutation-checked.</t>
        </is>
      </c>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Done</t>
        </is>
      </c>
      <c r="J27" s="108" t="n">
        <v>3</v>
      </c>
      <c r="K27" s="109" t="inlineStr">
        <is>
          <t>2026-09-28</t>
        </is>
      </c>
      <c r="L27" s="109" t="inlineStr">
        <is>
          <t>2026-09-28</t>
        </is>
      </c>
      <c r="M27" s="110" t="inlineStr">
        <is>
          <t>rcfworks</t>
        </is>
      </c>
      <c r="N27" s="81" t="n">
        <v>0</v>
      </c>
      <c r="O27" s="80" t="inlineStr">
        <is>
          <t>2S3-BE-01</t>
        </is>
      </c>
      <c r="P27" s="80" t="inlineStr">
        <is>
          <t>A package can be created, priced and purchased as a single line</t>
        </is>
      </c>
      <c r="Q27" s="82" t="inlineStr">
        <is>
          <t>Spec §9</t>
        </is>
      </c>
      <c r="R27" s="111" t="inlineStr">
        <is>
          <t>2026-09-28: PACKAGE inventory kind with BundleComponent rows (1–10 of the owner's own items — a team's: its own and its roster's; no nesting, no duplicates, ≥1 unit each; fixed once created; DB CHECKs). Priced as one; listed and bought as ONE cart line at the package price. The availability check covers the package and every part (quantity × units, dates, restrictions); every commitment writer (reservation, order, offer) expands through unitsTaken, so a package holds its parts. Proven: create/price/list/search/cart as a single line; the hold takes package 2, board ads 4, clinics 2; a part running out refuses the package. Tests: tests/phase2-orders.test.ts, mutation-checked.</t>
        </is>
      </c>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Done</t>
        </is>
      </c>
      <c r="J28" s="108" t="n">
        <v>5</v>
      </c>
      <c r="K28" s="109" t="inlineStr">
        <is>
          <t>2026-09-28</t>
        </is>
      </c>
      <c r="L28" s="109" t="inlineStr">
        <is>
          <t>2026-09-28</t>
        </is>
      </c>
      <c r="M28" s="110" t="inlineStr">
        <is>
          <t>rcfworks</t>
        </is>
      </c>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 | 2026-09-28: availability.ts — one check (checkInventoryItem / checkListing) returning coded reasons: DATE_OVERLAP (exclusive items vs live commitments, by whole days), QUANTITY_OVERRUN (stock minus live commitments, package max), PACKAGE_RULE (min), CATEGORY_CONFLICT (item's restricted categories + owner restrictions for the dates), SUB_FLOOR (below the owner's price), OUT_OF_WINDOW, NO_CATEGORY, NOT_LISTED. InventoryCommitment table: written by an accepted offer on an item (reservations/orders 2S4 will write here); released rows stop counting. Called by every purchase path that exists: cart add/update, offer draft/accept on an item. Static guard: only cart.ts writes cart lines, each after the check. Error bodies now carry reasons/conflicts/problems/missing. Tests: tests/phase2-purchase.test.ts (each reason through the API + pure), mutation-checked.</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Done</t>
        </is>
      </c>
      <c r="J29" s="108" t="n">
        <v>5</v>
      </c>
      <c r="K29" s="109" t="inlineStr">
        <is>
          <t>2026-09-28</t>
        </is>
      </c>
      <c r="L29" s="109" t="inlineStr">
        <is>
          <t>2026-09-28</t>
        </is>
      </c>
      <c r="M29" s="110" t="inlineStr">
        <is>
          <t>rcfworks</t>
        </is>
      </c>
      <c r="N29" s="81" t="n">
        <v>0</v>
      </c>
      <c r="O29" s="80" t="inlineStr">
        <is>
          <t>2S3-BE-01</t>
        </is>
      </c>
      <c r="P29" s="80" t="inlineStr">
        <is>
          <t>Search returns only inventory visible to the requesting sponsor and tenant</t>
        </is>
      </c>
      <c r="Q29" s="82" t="inlineStr">
        <is>
          <t>Spec §12</t>
        </is>
      </c>
      <c r="R29" s="111" t="inlineStr">
        <is>
          <t>2026-09-28: GET /marketplace/search (text, kind, category, sport, state, price, dates). New listing scope `catalog` for SPONSOR_ADMIN/ANALYST: PUBLISHED, PUBLIC, past publishAt, item active, property listing access standing, in the sponsor's own marketplace (its tenant + tenants it operates). Per sponsor, listings restricted against its categories today (item's own, owner restrictions in force) are hidden — two sponsors get different catalogues. BTG searches the tenants it operates through the same live filter; property managers and athletes are refused. Results carry athlete display name/sport/position only. Matrix §19; digest 4f835eba4e8465d1 (old grid unchanged with this batch removed). Tests: tests/phase2-purchase.test.ts, mutation-checked.</t>
        </is>
      </c>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Done</t>
        </is>
      </c>
      <c r="J30" s="108" t="n">
        <v>5</v>
      </c>
      <c r="K30" s="109" t="n">
        <v>46294</v>
      </c>
      <c r="L30" s="109" t="n">
        <v>46296</v>
      </c>
      <c r="M30" s="110" t="inlineStr">
        <is>
          <t>rcfworks</t>
        </is>
      </c>
      <c r="N30" s="85" t="n">
        <v>0</v>
      </c>
      <c r="O30" s="84" t="inlineStr">
        <is>
          <t>2S0-ART-01</t>
        </is>
      </c>
      <c r="P30" s="84" t="inlineStr">
        <is>
          <t>A property can build, preview and submit a listing for approval</t>
        </is>
      </c>
      <c r="Q30" s="86" t="inlineStr">
        <is>
          <t>Spec §6 P2-07</t>
        </is>
      </c>
      <c r="R30" s="111" t="inlineStr">
        <is>
          <t>Fixed 2026-10-01: preview added at /property/listings/[id]/preview (and /athlete/listings/[id]/preview) using the shop's own card. Awaiting review. | Reviewed 2026-10-01: build, preview (/property/listings/[id]/preview, the shop card) and submit all wired.</t>
        </is>
      </c>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Done</t>
        </is>
      </c>
      <c r="J31" s="108" t="n">
        <v>3</v>
      </c>
      <c r="K31" s="109" t="inlineStr">
        <is>
          <t>2026-09-28</t>
        </is>
      </c>
      <c r="L31" s="109" t="inlineStr">
        <is>
          <t>2026-09-28</t>
        </is>
      </c>
      <c r="M31" s="110" t="inlineStr">
        <is>
          <t>rcfworks</t>
        </is>
      </c>
      <c r="N31" s="81" t="n">
        <v>0</v>
      </c>
      <c r="O31" s="80" t="inlineStr">
        <is>
          <t>2S3-BE-04</t>
        </is>
      </c>
      <c r="P31" s="80" t="inlineStr">
        <is>
          <t>Cross-tenant marketplace search tests pass</t>
        </is>
      </c>
      <c r="Q31" s="82" t="inlineStr">
        <is>
          <t>Spec §12</t>
        </is>
      </c>
      <c r="R31" s="111" t="inlineStr">
        <is>
          <t>2026-09-28: tests/phase2-purchase.test.ts (2S3-SEC-01 block) across two operators' marketplaces: private, draft, paused, scheduled-future and suspended-property listings and the other marketplace's never appear in search, are refused on GET /listings/{id}, and cannot be put in a cart; another operator sees only its own; non-buyers refused. The tenant-isolation sweep now covers /marketplace/search, /restrictions, /cart and /cart/lines with tenant-A rows seeded (no success, no leak, tenant A unchanged). Mutation-checked (catalog without visibility, catalog across marketplaces).</t>
        </is>
      </c>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Done</t>
        </is>
      </c>
      <c r="J32" s="108" t="n">
        <v>3</v>
      </c>
      <c r="K32" s="109" t="inlineStr">
        <is>
          <t>2026-09-28</t>
        </is>
      </c>
      <c r="L32" s="109" t="inlineStr">
        <is>
          <t>2026-09-28</t>
        </is>
      </c>
      <c r="M32" s="110" t="inlineStr">
        <is>
          <t>rcfworks</t>
        </is>
      </c>
      <c r="N32" s="85" t="n">
        <v>0</v>
      </c>
      <c r="O32" s="84" t="inlineStr">
        <is>
          <t>2S3-BE-03</t>
        </is>
      </c>
      <c r="P32" s="84" t="inlineStr">
        <is>
          <t>Sponsor can add, remove and update cart lines; the cart expires cleanly</t>
        </is>
      </c>
      <c r="Q32" s="86" t="inlineStr">
        <is>
          <t>Spec §8, §9</t>
        </is>
      </c>
      <c r="R32" s="111" t="inlineStr">
        <is>
          <t>2026-09-28: Cart + CartLine (sponsor's tenant; one ACTIVE per sponsor — partial unique index; USD). GET/POST /cart, POST/PATCH/DELETE /cart/lines — each add/update runs the availability check at the listing's price and is audited; duplicates refused; totals computed. Analyst reads, cannot write; other sponsors 403. Every change slides expiry 24 h; a cart past expiry reads as gone, refuses changes and is closed; the hourly worker sweep (expireCarts, idempotent, touches only cart state) marks the rest EXPIRED; a fresh cart opens; nothing is held, so nothing is released (reservations are 2S4-BE-02). Tests: tests/phase2-purchase.test.ts, mutation-checked.</t>
        </is>
      </c>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Done</t>
        </is>
      </c>
      <c r="J33" s="108" t="n">
        <v>5</v>
      </c>
      <c r="K33" s="109" t="inlineStr">
        <is>
          <t>2026-09-28</t>
        </is>
      </c>
      <c r="L33" s="109" t="inlineStr">
        <is>
          <t>2026-09-28</t>
        </is>
      </c>
      <c r="M33" s="110" t="inlineStr">
        <is>
          <t>rcfworks</t>
        </is>
      </c>
      <c r="N33" s="81" t="n">
        <v>0</v>
      </c>
      <c r="O33" s="80" t="inlineStr">
        <is>
          <t>2S4-BE-01</t>
        </is>
      </c>
      <c r="P33" s="80" t="inlineStr">
        <is>
          <t>Reservations prevent overselling and expired reservations release inventory automatically</t>
        </is>
      </c>
      <c r="Q33" s="82" t="inlineStr">
        <is>
          <t>Spec §7.2, §12</t>
        </is>
      </c>
      <c r="R33" s="111" t="inlineStr">
        <is>
          <t>2026-09-28: Reservation (HELD → CONVERTED | EXPIRED | RELEASED, 15-minute hold, one HELD per cart). POST /cart/reserve holds every line all-or-nothing (each line checked, then its hold written, in one transaction); Postgres advisory locks per item (package parts included, fixed order) serialise concurrent holds — proven: two sponsors reserving the last unit at once → exactly one 201, one 409. A held cart is frozen. Holds stop counting the instant expiresAt passes (no sweep needed — proven: stock returns before any sweep, and another sponsor reserves it); the worker sweep (every minute, idempotent) marks EXPIRED and releases the rows; an expired hold cannot become an order; release returns stock at once. Tests: tests/phase2-orders.test.ts, mutation-checked (no locks, lapsed holds counting).</t>
        </is>
      </c>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Done</t>
        </is>
      </c>
      <c r="J34" s="108" t="n">
        <v>5</v>
      </c>
      <c r="K34" s="109" t="inlineStr">
        <is>
          <t>2026-09-28</t>
        </is>
      </c>
      <c r="L34" s="109" t="inlineStr">
        <is>
          <t>2026-09-28</t>
        </is>
      </c>
      <c r="M34" s="110" t="inlineStr">
        <is>
          <t>rcfworks</t>
        </is>
      </c>
      <c r="N34" s="85" t="n">
        <v>0</v>
      </c>
      <c r="O34" s="84" t="inlineStr">
        <is>
          <t>2S4-BE-02</t>
        </is>
      </c>
      <c r="P34" s="84" t="inlineStr">
        <is>
          <t>Order states enforce correctly; an unapproved order cannot contract inventory</t>
        </is>
      </c>
      <c r="Q34" s="86" t="inlineStr">
        <is>
          <t>Spec §7.2, §9</t>
        </is>
      </c>
      <c r="R34" s="111" t="inlineStr">
        <is>
          <t>2026-09-28: MarketplaceOrder + lines (sponsor's tenant; subtotal, fees — MARKETPLACE_BUYER_FEE_BPS, default 0 —, total, USD). State machine transcribed from the state-machines doc §4 (PENDING_APPROVAL → APPROVED → AWAITING_PAYMENT → PAID → IN_DELIVERY → FULFILLED → CLOSED; CANCELLED before PAID; REFUNDED from PAID/IN_DELIVERY/FULFILLED): PENDING_APPROVAL → AWAITING_PAYMENT, PAID → CANCELLED, APPROVED-by-transition and moves out of terminal states all refused. Placing converts the hold into a non-lapsing, NOT contracted order hold; contracting happens only at approval. Figures and lines immutable from APPROVED on (Postgres triggers). Cancel/refund release the stock. Staff (BTG_ADMIN, FINANCE) move payment/delivery states; the sponsor may only cancel before payment. Tests: tests/phase2-orders.test.ts, mutation-checked.</t>
        </is>
      </c>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Done</t>
        </is>
      </c>
      <c r="J35" s="108" t="n">
        <v>5</v>
      </c>
      <c r="K35" s="109" t="inlineStr">
        <is>
          <t>2026-09-28</t>
        </is>
      </c>
      <c r="L35" s="109" t="inlineStr">
        <is>
          <t>2026-09-28</t>
        </is>
      </c>
      <c r="M35" s="110" t="inlineStr">
        <is>
          <t>rcfworks</t>
        </is>
      </c>
      <c r="N35" s="81" t="n">
        <v>0</v>
      </c>
      <c r="O35" s="80" t="inlineStr">
        <is>
          <t>2S4-BE-03</t>
        </is>
      </c>
      <c r="P35" s="80" t="inlineStr">
        <is>
          <t>Commission snapshot is created at contract time and does not change when commission rules are later edited</t>
        </is>
      </c>
      <c r="Q35" s="82" t="inlineStr">
        <is>
          <t>Spec §7.4, §12</t>
        </is>
      </c>
      <c r="R35" s="111" t="inlineStr">
        <is>
          <t>2026-09-28: OrderLineFinancials — at contract (inside the approval's transaction) every line's full breakdown (gross, discount, net, platform, management, processing, property share, referral, reserve, available, team/athlete split) is frozen with the exact rule versions that produced it; DB CHECKs the sums, a trigger refuses any update. Nothing is booked before contract. Proven with the ledger design's worked example to the cent; a later rule revision leaves the snapshot byte-identical; the next order records version 2. GET /marketplace-orders/{id}/financials for BTG/Finance only (sponsor and property 403 — it is the margin). Tests: tests/phase2-ledger.test.ts, mutation-checked.</t>
        </is>
      </c>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Done</t>
        </is>
      </c>
      <c r="J36" s="108" t="n">
        <v>3</v>
      </c>
      <c r="K36" s="109" t="inlineStr">
        <is>
          <t>2026-09-28</t>
        </is>
      </c>
      <c r="L36" s="109" t="inlineStr">
        <is>
          <t>2026-09-28</t>
        </is>
      </c>
      <c r="M36" s="110" t="inlineStr">
        <is>
          <t>rcfworks</t>
        </is>
      </c>
      <c r="N36" s="85" t="inlineStr">
        <is>
          <t>2S4-BE-06</t>
        </is>
      </c>
      <c r="O36" s="84" t="inlineStr">
        <is>
          <t>2S4-BE-03</t>
        </is>
      </c>
      <c r="P36" s="84" t="inlineStr">
        <is>
          <t>An order requiring approval holds inventory without contracting it, and releases on rejection</t>
        </is>
      </c>
      <c r="Q36" s="86" t="inlineStr">
        <is>
          <t>Spec §7.2</t>
        </is>
      </c>
      <c r="R36" s="111" t="inlineStr">
        <is>
          <t>2026-09-28: approval policy (SIMULATED, threshold set by the programme owner): an order of $1,000 or more (MARKETPLACE_APPROVAL_THRESHOLD_CENTS = 100000), a sponsor's first marketplace order, or a listing with requiresApproval waits in PENDING_APPROVAL with its reasons, holding its stock uncontracted (proven: no other sponsor can buy it; nothing but the decision contracts it). BTG_ADMIN approves (stock contracted, contractedAt, Zoho queued) or rejects with a note (CANCELLED, stock released — proven available again). An order with no reason is approved by policy in the same transaction, recorded as decidedBy system with a null audit actor. Tests: tests/phase2-orders.test.ts, mutation-checked.</t>
        </is>
      </c>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Done</t>
        </is>
      </c>
      <c r="J37" s="108" t="n">
        <v>3</v>
      </c>
      <c r="K37" s="109" t="n">
        <v>46294</v>
      </c>
      <c r="L37" s="109" t="n">
        <v>46296</v>
      </c>
      <c r="M37" s="110" t="inlineStr">
        <is>
          <t>rcfworks</t>
        </is>
      </c>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Done</t>
        </is>
      </c>
      <c r="J38" s="108" t="n">
        <v>5</v>
      </c>
      <c r="K38" s="109" t="n">
        <v>46294</v>
      </c>
      <c r="L38" s="109" t="n">
        <v>46296</v>
      </c>
      <c r="M38" s="110" t="inlineStr">
        <is>
          <t>rcfworks</t>
        </is>
      </c>
      <c r="N38" s="85" t="n">
        <v>0</v>
      </c>
      <c r="O38" s="84" t="inlineStr">
        <is>
          <t>2S4-BE-03</t>
        </is>
      </c>
      <c r="P38" s="84" t="inlineStr">
        <is>
          <t>Sponsor can complete a purchase or reservation through the configured flow</t>
        </is>
      </c>
      <c r="Q38" s="86" t="inlineStr">
        <is>
          <t>Spec §6 P2-09</t>
        </is>
      </c>
      <c r="R38" s="111" t="inlineStr">
        <is>
          <t>2026-09-29: no contract step and no payment in the API — payment shown as not open until the provider is chosen. | Fixed 2026-10-01: checkout now has billing contact and order-terms acceptance (hash-checked server-side, audited, stored on the order, immutable). Terms text MARKETPLACE_ORDER v1 is a placeholder pending counsel. Card payment still uses the stand-in provider until Stripe (2S0-PMO-03). Awaiting review. | Reviewed 2026-10-01: checkout contract gate (billing contact, order terms hash-checked server-side). Card payment via the stand-in until Stripe (2S0-PMO-03); terms text pending counsel.</t>
        </is>
      </c>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Done</t>
        </is>
      </c>
      <c r="J39" s="108" t="n">
        <v>5</v>
      </c>
      <c r="K39" s="109" t="n">
        <v>46295</v>
      </c>
      <c r="L39" s="109" t="n">
        <v>46301</v>
      </c>
      <c r="M39" s="110" t="inlineStr">
        <is>
          <t>rcfworks</t>
        </is>
      </c>
      <c r="N39" s="81" t="inlineStr">
        <is>
          <t>2S5-FE-05</t>
        </is>
      </c>
      <c r="O39" s="80" t="inlineStr">
        <is>
          <t>2S0-PMO-03</t>
        </is>
      </c>
      <c r="P39" s="80" t="inlineStr">
        <is>
          <t>Sponsor can pay through the provider and the order reflects the result</t>
        </is>
      </c>
      <c r="Q39" s="82" t="inlineStr">
        <is>
          <t>Spec §8</t>
        </is>
      </c>
      <c r="R39" s="111" t="inlineStr">
        <is>
          <t>2026-09-28 WAITING ON: the payment provider choice (2S0-PMO-03 — the programme owner's decision: provider, contract, sandbox credentials).
2026-09-30: provider adapter + card-payment flow built and working against the staging stand-in (declines recorded, confirmation marks the order PAID, receipt email). Remaining: connect Stripe once 2S0-PMO-03 is decided. | 2026-10-06: Stripe build started (hosted Checkout, webhook verifier and event mapping). | Proven on staging 2026-10-06 against the Stripe sandbox: test sponsor ordered a listing ($1,000, order SX-BK6HZ86G), paid on checkout.stripe.com (declined card 0002 refused, then 4242 succeeded), SponsorX shows Paid; attempt SUCCEEDED with pi_3UNQsiKA9GZ8RRgK1bwYh0FH; payment event APPLIED within 2s; split exact. Webhooks registered (platform + thin) and PAYMENT_PROVIDER=stripe on staging only.</t>
        </is>
      </c>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Done</t>
        </is>
      </c>
      <c r="J40" s="108" t="n">
        <v>5</v>
      </c>
      <c r="K40" s="109" t="n">
        <v>46300</v>
      </c>
      <c r="L40" s="109" t="n">
        <v>46300</v>
      </c>
      <c r="M40" s="110" t="inlineStr">
        <is>
          <t>rcfworks</t>
        </is>
      </c>
      <c r="N40" s="85" t="n">
        <v>0</v>
      </c>
      <c r="O40" s="84" t="inlineStr">
        <is>
          <t>2S5-INT-01</t>
        </is>
      </c>
      <c r="P40" s="84" t="inlineStr">
        <is>
          <t>Payment webhooks are idempotent and correctly update order and payment state under duplicate and out-of-order delivery</t>
        </is>
      </c>
      <c r="Q40" s="86" t="inlineStr">
        <is>
          <t>Spec §3, §12</t>
        </is>
      </c>
      <c r="R40" s="111" t="inlineStr">
        <is>
          <t>2026-09-28 WAITING ON: the payment provider choice (2S0-PMO-03 — the programme owner's decision: provider, contract, sandbox credentials). | Started 2026-10-05 against the stand-in payment provider; Stripe plugs in later through 2S5-INT-01. | POST /webhooks/payments/{provider}: signature over the raw body (with _PREVIOUS), 5-minute replay window, PaymentEvent unique per provider event id, applied by the payments.event job; states only move forward, early events deferred, conflicts held for BTG. payment-webhooks.test. Built on the stand-in; the Stripe verifier and event mapping are left for 2S5-INT-01. 2026-10-05</t>
        </is>
      </c>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Done</t>
        </is>
      </c>
      <c r="J41" s="108" t="n">
        <v>5</v>
      </c>
      <c r="K41" s="109" t="n">
        <v>46295</v>
      </c>
      <c r="L41" s="109" t="n">
        <v>46301</v>
      </c>
      <c r="M41" s="110" t="inlineStr">
        <is>
          <t>rcfworks</t>
        </is>
      </c>
      <c r="N41" s="81" t="n">
        <v>0</v>
      </c>
      <c r="O41" s="80" t="inlineStr">
        <is>
          <t>2S5-INT-01</t>
        </is>
      </c>
      <c r="P41" s="80" t="inlineStr">
        <is>
          <t>A property can complete payout onboarding and SponsorX reflects its readiness status</t>
        </is>
      </c>
      <c r="Q41" s="82" t="inlineStr">
        <is>
          <t>Spec §8, §9</t>
        </is>
      </c>
      <c r="R41" s="111" t="inlineStr">
        <is>
          <t>2026-09-28 WAITING ON: the payment provider choice (2S0-PMO-03 — the programme owner's decision: provider, contract, sandbox credentials).
2026-09-30: payout-account flow built against the staging stand-in (not set up / needs information / ready; SponsorX keeps only the provider's id and status). Remaining: Stripe connected accounts once 2S0-PMO-03 is decided. | 2026-10-06: Stripe Connect Express onboarding build started. | Built and on staging; onboarding link and NEEDS_INFO status proven on staging. Final step (completing Stripe hosted onboarding to READY) needs a person: Stripe shows an hCaptcha to automated browsers. | Proven on staging 2026-10-06: the owner completed Stripe hosted onboarding for test team Stripe Test Hawks (acct_1UNQnWKA9GFzKcrb, test bank 6789); Stripe shows transfers and payouts active; SponsorX recorded READY automatically from the thin webhook at 07:54:46 UTC. Only eventually_due items remain (DOB, SSN last 4), which do not block payouts.</t>
        </is>
      </c>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Done</t>
        </is>
      </c>
      <c r="J42" s="108" t="n">
        <v>5</v>
      </c>
      <c r="K42" s="109" t="inlineStr">
        <is>
          <t>2026-09-28</t>
        </is>
      </c>
      <c r="L42" s="109" t="inlineStr">
        <is>
          <t>2026-09-28</t>
        </is>
      </c>
      <c r="M42" s="110" t="inlineStr">
        <is>
          <t>rcfworks</t>
        </is>
      </c>
      <c r="N42" s="85" t="n">
        <v>0</v>
      </c>
      <c r="O42" s="84" t="inlineStr">
        <is>
          <t>2S0-PMO-02</t>
        </is>
      </c>
      <c r="P42" s="84" t="inlineStr">
        <is>
          <t>Rules apply in priority order; editing a rule never alters a closed payout</t>
        </is>
      </c>
      <c r="Q42" s="86" t="inlineStr">
        <is>
          <t>Spec §7.4, §9</t>
        </is>
      </c>
      <c r="R42" s="111" t="inlineStr">
        <is>
          <t>2026-09-28: CommissionRule — kinds PLATFORM_FEE, MANAGEMENT_FEE, PROCESSING, REFERRAL, RESERVE, TEAM_SHARE; scopes GLOBAL / PROPERTY_KIND / PROPERTY / SPONSOR; bps + fixed; explicit priority; effective window. GET/POST /commission-rules, POST /commission-rules/{id}/revise (BTG_ADMIN, FINANCE). Proven: the highest-priority matching rule in effect applies (kind rule over global, sponsor rule over both, a future-dated rule only once its window opens); a revision is version n+1 from now with version n's window closed, and the earlier moment still resolves to n. Postgres refuses any other change to a rule row. 'Never alters a closed payout': rules are read in exactly one place — resolveRates at contract time (static guard pins it) — and the result is frozen and booked; proven that a revision leaves every snapshot, every ledger entry (full-row fingerprint) and the property dashboard identical, while the next order uses the new version. Payouts (2S5-BE-04/05) draw on those entries and never ask the rules. Rates are SIMULATED (ledger design §5). Tests: tests/phase2-ledger.test.ts, mutation-checked.</t>
        </is>
      </c>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Done</t>
        </is>
      </c>
      <c r="J43" s="108" t="n">
        <v>5</v>
      </c>
      <c r="K43" s="109" t="inlineStr">
        <is>
          <t>2026-09-28</t>
        </is>
      </c>
      <c r="L43" s="109" t="inlineStr">
        <is>
          <t>2026-09-28</t>
        </is>
      </c>
      <c r="M43" s="110" t="inlineStr">
        <is>
          <t>rcfworks</t>
        </is>
      </c>
      <c r="N43" s="81" t="n">
        <v>0</v>
      </c>
      <c r="O43" s="80" t="inlineStr">
        <is>
          <t>2S5-BE-01</t>
        </is>
      </c>
      <c r="P43" s="80" t="inlineStr">
        <is>
          <t>Property dashboard reconciles booked revenue, ledger balance, paid earnings and pending earnings exactly</t>
        </is>
      </c>
      <c r="Q43" s="82" t="inlineStr">
        <is>
          <t>Spec §7.4, §12</t>
        </is>
      </c>
      <c r="R43" s="111" t="inlineStr">
        <is>
          <t>2026-09-28: LedgerEntry — double-entry journals (debits = credits, refused otherwise), account / party / debit-or-credit / type / status; entries in the operator's books naming each party's tenant. BOOKING at contract (one journal per line + buyer fees), payables → AVAILABLE on PAID, RESERVE_RELEASE on CLOSED, REVERSAL (mirror of everything) on cancel/refund after contract; entries never rewritten, status only forward (trigger). GET /team/ledger — the property dashboard: booked, reversed, paid, ledger balance, pending (awaiting sponsor payment / available / reserved) — proven to reconcile exactly (booked − reversed − paid = balance = pending) at contract (151,093¢ as the design's example), after payment, after the reserve's release, and after a refund; another property sees none of it. Payouts post PAYOUT journals when 2S5-BE-05 lands (paid is 0 until then). Tests: tests/phase2-ledger.test.ts, mutation-checked.</t>
        </is>
      </c>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Done</t>
        </is>
      </c>
      <c r="J44" s="108" t="n">
        <v>3</v>
      </c>
      <c r="K44" s="109" t="n">
        <v>46300</v>
      </c>
      <c r="L44" s="109" t="n">
        <v>46300</v>
      </c>
      <c r="M44" s="110" t="inlineStr">
        <is>
          <t>rcfworks</t>
        </is>
      </c>
      <c r="N44" s="85" t="n">
        <v>0</v>
      </c>
      <c r="O44" s="84" t="inlineStr">
        <is>
          <t>2S5-INT-02</t>
        </is>
      </c>
      <c r="P44" s="84" t="inlineStr">
        <is>
          <t>A refund or dispute correctly reverses ledger entries and blocks the related payout</t>
        </is>
      </c>
      <c r="Q44" s="86" t="inlineStr">
        <is>
          <t>Spec §9</t>
        </is>
      </c>
      <c r="R44" s="111" t="inlineStr">
        <is>
          <t>2026-09-28 WAITING ON: the payment provider choice (2S0-PMO-03 — the programme owner's decision: provider, contract, sandbox credentials). | Started 2026-10-05 against the stand-in payment provider; Stripe plugs in later through 2S5-INT-01. | Provider refunds reverse the ledger and block payouts (partial or mid-send refunds held for BTG); disputes OPEN &gt; UNDER_REVIEW &gt; WON | LOST, never moved by the system: opening freezes the order, BTG resolves to the provider outcome, LOST reverses the books and records money owed back. payment-disputes.test. 2026-10-05</t>
        </is>
      </c>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Done</t>
        </is>
      </c>
      <c r="J45" s="108" t="n">
        <v>5</v>
      </c>
      <c r="K45" s="109" t="n">
        <v>46295</v>
      </c>
      <c r="L45" s="109" t="n">
        <v>46300</v>
      </c>
      <c r="M45" s="110" t="inlineStr">
        <is>
          <t>rcfworks</t>
        </is>
      </c>
      <c r="N45" s="81" t="inlineStr">
        <is>
          <t>2S5-FE-03</t>
        </is>
      </c>
      <c r="O45" s="80" t="inlineStr">
        <is>
          <t>2S5-BE-02</t>
        </is>
      </c>
      <c r="P45" s="80" t="inlineStr">
        <is>
          <t>Payout cannot be released if payment is unsettled, deliverables are incomplete, onboarding is incomplete, or a dispute is open</t>
        </is>
      </c>
      <c r="Q45" s="82" t="inlineStr">
        <is>
          <t>Spec §7.4, §12</t>
        </is>
      </c>
      <c r="R45" s="111" t="inlineStr">
        <is>
          <t>2026-09-28 WAITING ON: the payment provider (2S0-PMO-03). Its dependency (2S5-BE-02) is Done, but three of its four release checks need parts that come with the provider — payment settlement (2S5-INT-02), payout onboarding (2S5-INT-03) and disputes (2S5-BE-03).
2026-09-30: built — payout requests with the payment-settled, delivered, holding-period and payout-account-ready rules; refunds refused while a payout covers the order. Still open: the 'dispute open' clause waits for 2S5-BE-03 (no dispute model yet). | Reviewed 2026-10-01: every rule built and tested except the open-dispute check, which waits on 2S5-BE-03 (disputes) → 2S5-INT-02 → the payment provider (2S0-PMO-03). | Last clause added: an open dispute freezes the order in the payee balance, adds a fifth payout check (dispute) and stops approval and sending. Every clause has its own test in payout-eligibility.test. 2026-10-05</t>
        </is>
      </c>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Done</t>
        </is>
      </c>
      <c r="J46" s="108" t="n">
        <v>3</v>
      </c>
      <c r="K46" s="109" t="n">
        <v>46295</v>
      </c>
      <c r="L46" s="109" t="n">
        <v>46300</v>
      </c>
      <c r="M46" s="110" t="inlineStr">
        <is>
          <t>rcfworks</t>
        </is>
      </c>
      <c r="N46" s="85" t="inlineStr">
        <is>
          <t>2S5-FE-04</t>
        </is>
      </c>
      <c r="O46" s="84" t="inlineStr">
        <is>
          <t>2S5-BE-04</t>
        </is>
      </c>
      <c r="P46" s="84" t="inlineStr">
        <is>
          <t>An approved payout executes through the provider and its status is tracked to completion</t>
        </is>
      </c>
      <c r="Q46" s="86" t="inlineStr">
        <is>
          <t>Spec §8</t>
        </is>
      </c>
      <c r="R46" s="111" t="inlineStr">
        <is>
          <t>2026-09-28 WAITING ON: 2S5-BE-04, and so the payment provider (2S0-PMO-03) — a payout executes through the provider.
2026-09-30: built — BTG admin/Finance approve or send back; the worker sends through the provider adapter and the provider's confirmation marks it PAID, posts PAYOUT journals and emails the payee; failures retry. Runs end to end on the staging stand-in provider; completes when Stripe is connected (2S0-PMO-03). | Reviewed 2026-10-01: approval, send/confirm jobs, retry and journals built and tested on the stand-in; execution through the real provider waits on Stripe (2S0-PMO-03 / 2S5-INT-03). | Started 2026-10-05 against the stand-in payment provider; Stripe plugs in later through 2S5-INT-01. | payouts.send through sendPayoutToProvider with an idempotency key per attempt; payout.paid / failed / returned webhooks track it to completion; failures retried 1/6/24h then to BTG (payout.failedForBtg email); returned payouts reverse the journal. Approval follows the Phase 2 automation (automatic when checks pass). payout-execution.test. 2026-10-05</t>
        </is>
      </c>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Done</t>
        </is>
      </c>
      <c r="J47" s="108" t="n">
        <v>5</v>
      </c>
      <c r="K47" s="109" t="inlineStr">
        <is>
          <t>2026-09-28</t>
        </is>
      </c>
      <c r="L47" s="109" t="inlineStr">
        <is>
          <t>2026-09-28</t>
        </is>
      </c>
      <c r="M47" s="110" t="inlineStr">
        <is>
          <t>rcfworks</t>
        </is>
      </c>
      <c r="N47" s="81" t="n">
        <v>0</v>
      </c>
      <c r="O47" s="80" t="inlineStr">
        <is>
          <t>2S5-BE-01</t>
        </is>
      </c>
      <c r="P47" s="80" t="inlineStr">
        <is>
          <t>Rules can be created, versioned and previewed against a sample order</t>
        </is>
      </c>
      <c r="Q47" s="82" t="inlineStr">
        <is>
          <t>Spec §6 P2-10</t>
        </is>
      </c>
      <c r="R47" s="111" t="inlineStr">
        <is>
          <t>2026-09-28 (built at the programme owner's request; BTG ADMIN ONLY): /admin/commission — the rules in effect per kind in the order the API applies them (highest priority first, 'applies first' marked), each with its version history; add a rule (kind, who it applies to — everyone / a property type / one property / one sponsor —, rate %, fixed $ where allowed, priority, note); revise a rule (saved as version n+1 from now; approved orders keep theirs); preview a sample order (lines, property type, athlete items with the property's cut) under the rules in effect AND with the unsaved rule, side by side with the change — computed by POST /commission-rules/preview on the same resolver and arithmetic the contract uses, writing nothing. Admin-only: the page checks BTG_ADMIN/SUPER_ADMIN before fetching, the nav hides it from other staff, and the API now refuses Finance writes (Finance keeps read; matrix §21, digest 49b852630719d073). Tests: frontend tests/commission-live.test.ts (parsing, grouping, render, access), backend tests/phase2-ledger.test.ts (preview reproduces the design example; a draft outranks by priority; admin-only).</t>
        </is>
      </c>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Done</t>
        </is>
      </c>
      <c r="J48" s="108" t="n">
        <v>5</v>
      </c>
      <c r="K48" s="109" t="n">
        <v>46294</v>
      </c>
      <c r="L48" s="109" t="n">
        <v>46296</v>
      </c>
      <c r="M48" s="110" t="inlineStr">
        <is>
          <t>rcfworks</t>
        </is>
      </c>
      <c r="N48" s="85" t="n">
        <v>0</v>
      </c>
      <c r="O48" s="84" t="inlineStr">
        <is>
          <t>2S5-BE-02</t>
        </is>
      </c>
      <c r="P48" s="84" t="inlineStr">
        <is>
          <t>Dashboard reconciles to the ledger to the cent</t>
        </is>
      </c>
      <c r="Q48" s="86" t="inlineStr">
        <is>
          <t>Spec §6 P2-11</t>
        </is>
      </c>
      <c r="R48" s="111" t="inlineStr">
        <is>
          <t>2026-09-29: PAYOUT entries are never written yet, so payouts show as not started.</t>
        </is>
      </c>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Done</t>
        </is>
      </c>
      <c r="J49" s="108" t="n">
        <v>3</v>
      </c>
      <c r="K49" s="109" t="inlineStr">
        <is>
          <t>2026-09-28</t>
        </is>
      </c>
      <c r="L49" s="109" t="inlineStr">
        <is>
          <t>2026-09-28</t>
        </is>
      </c>
      <c r="M49" s="110" t="inlineStr">
        <is>
          <t>rcfworks</t>
        </is>
      </c>
      <c r="N49" s="81" t="n">
        <v>0</v>
      </c>
      <c r="O49" s="80" t="inlineStr">
        <is>
          <t>2S5-BE-02</t>
        </is>
      </c>
      <c r="P49" s="80" t="inlineStr">
        <is>
          <t>Immutable audit history exists for all financial and admin changes</t>
        </is>
      </c>
      <c r="Q49" s="82" t="inlineStr">
        <is>
          <t>Spec §3, §38</t>
        </is>
      </c>
      <c r="R49" s="111" t="inlineStr">
        <is>
          <t>2026-09-28: the audit log is append-only in Postgres (UPDATE always refused; DELETE refused except in a database explicitly marked as a test database — CI's two and the local test DB; never staging/production). tests/financial-audit-coverage.test.ts now covers the Phase 2 money modules (inventory pricing, offers, marketplace orders and approval, commission, ledger): every exported mutator audits directly or through an audited helper, and any domain module that writes a money model must be one of them. Proven: commission create/revise, order place/approve/paid/closed/refunded and every ledger posting (book, markPaid, releaseReserve, reverse) leave audit rows; an audit row cannot be updated or, outside a test database, deleted. Payout approval and dispute actions are covered by the same guard the moment their modules exist (2S5-BE-03/05). Mutation-checked.</t>
        </is>
      </c>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inlineStr">
        <is>
          <t>2026-09-28 WAITING ON: the payment provider choice (2S0-PMO-03 — the programme owner's decision: provider, contract, sandbox credentials).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Done</t>
        </is>
      </c>
      <c r="J53" s="108" t="n">
        <v>3</v>
      </c>
      <c r="K53" s="109" t="inlineStr">
        <is>
          <t>2026-09-28</t>
        </is>
      </c>
      <c r="L53" s="109" t="inlineStr">
        <is>
          <t>2026-09-28</t>
        </is>
      </c>
      <c r="M53" s="110" t="inlineStr">
        <is>
          <t>rcfworks</t>
        </is>
      </c>
      <c r="N53" s="81" t="n">
        <v>0</v>
      </c>
      <c r="O53" s="80" t="inlineStr">
        <is>
          <t>2S1-INT-01</t>
        </is>
      </c>
      <c r="P53" s="80" t="inlineStr">
        <is>
          <t>A user can mute a channel per event type and the worker honours it</t>
        </is>
      </c>
      <c r="Q53" s="82" t="inlineStr">
        <is>
          <t>Spec §9</t>
        </is>
      </c>
      <c r="R53" s="111" t="inlineStr">
        <is>
          <t>2026-09-28: NotificationPreference (user, event, channel → muted), migration 20260928140000. GET/PUT /me/notification-preferences — always the caller's own (a smuggled userId/tenantId sets nothing of anyone else's). Mutable: invitation.*, deliverable.*, student.prospectDeclined; decision notices (athlete/guardian/onboarding outcomes, fan voucher) cannot be muted. The worker honours it at send time in handleSendEmail (mutedFor: that event, that person — login or athlete-record address — that tenant), before claiming the send, so nothing is sent or recorded. EMAIL is the only channel the worker sends today; the key has room for SMS/push. New resource notificationPreference (every role own/own; matrix §17; digest 9335a770498a2530, old grid unchanged with it removed). Tests: tests/notification-preferences.test.ts, mutation-checked.</t>
        </is>
      </c>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inlineStr">
        <is>
          <t>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Done</t>
        </is>
      </c>
      <c r="J55" s="108" t="n">
        <v>5</v>
      </c>
      <c r="K55" s="109" t="inlineStr">
        <is>
          <t>2026-09-28</t>
        </is>
      </c>
      <c r="L55" s="109" t="inlineStr">
        <is>
          <t>2026-09-28</t>
        </is>
      </c>
      <c r="M55" s="110" t="inlineStr">
        <is>
          <t>rcfworks</t>
        </is>
      </c>
      <c r="N55" s="81" t="n">
        <v>0</v>
      </c>
      <c r="O55" s="80" t="inlineStr">
        <is>
          <t>2S5-BE-02</t>
        </is>
      </c>
      <c r="P55" s="80" t="inlineStr">
        <is>
          <t>Property analytics reconcile to the ledger and campaign records</t>
        </is>
      </c>
      <c r="Q55" s="82" t="inlineStr">
        <is>
          <t>Spec §6 P2-13</t>
        </is>
      </c>
      <c r="R55" s="111" t="inlineStr">
        <is>
          <t>2026-09-28: GET /team/analytics — revenue (booked/reversed/net, by month), campaign completion (contracted/completed/cancelled orders and rate), sell-through per item (contracted units vs stock), sponsor mix (booked by sponsor category), payout trends — each from one named source: the property's ledger entries or its order records. Proven to reconcile: revenue totals and monthly sums equal the dashboard, sponsor mix sums to booked, completion equals the order records, sell-through equals contracted commitments (refunded stock returned). Average CPM is returned null with its reason — marketplace inventory has no impression data yet, so a CPM would have no source. Another property sees nothing; sponsors 403. Tests: tests/phase2-ledger.test.ts.</t>
        </is>
      </c>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Done</t>
        </is>
      </c>
      <c r="J56" s="108" t="n">
        <v>5</v>
      </c>
      <c r="K56" s="109" t="n">
        <v>46294</v>
      </c>
      <c r="L56" s="109" t="n">
        <v>46296</v>
      </c>
      <c r="M56" s="110" t="inlineStr">
        <is>
          <t>rcfworks</t>
        </is>
      </c>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Done</t>
        </is>
      </c>
      <c r="J57" s="108" t="n">
        <v>5</v>
      </c>
      <c r="K57" s="109" t="n">
        <v>46294</v>
      </c>
      <c r="L57" s="109" t="n">
        <v>46303</v>
      </c>
      <c r="M57" s="110" t="inlineStr">
        <is>
          <t>HeckerCreatives</t>
        </is>
      </c>
      <c r="N57" s="81" t="n">
        <v>0</v>
      </c>
      <c r="O57" s="80" t="inlineStr">
        <is>
          <t>2S3-BE-01</t>
        </is>
      </c>
      <c r="P57" s="80" t="inlineStr">
        <is>
          <t>Every exception type surfaces in the console and can be actioned</t>
        </is>
      </c>
      <c r="Q57" s="82" t="inlineStr">
        <is>
          <t>Spec §6 P2-14</t>
        </is>
      </c>
      <c r="R57" s="111" t="inlineStr">
        <is>
          <t>2026-09-29: disputes / failed payments / payout exceptions have no backend — shown as not tracked yet. | Partly fixed 2026-10-01: failed payments (new GET /payments/failed) and payout problems (with Retry) now show in the console. Disputes still missing — they arrive with 2S5-BE-03 (Blocked). | Re-checked 2026-10-07: not met. Console lacks disputes, payment events held/failed, payouts awaiting approval (REQUESTED), refunds to send, delivery issues, frozen payouts; its Disputes card text is stale. Disputes and payment events need 2S5-FE-07/08 first. | 2026-10-08 re-checked on main_development: NOT MET. The backend serves every exception (/disputes, /payment-events, /refunds, /delivery-issues, /payouts), and each has its own desk, but the console (/admin/marketplace) still says 'Disputes aren't counted yet' (stale) and does not surface held/failed payment events, refunds to send, delivery issues, payouts awaiting approval or frozen payouts. Frontend work — for HeckerCreatives. | 2026-10-08 HANDED TO HeckerCreatives (the user's decision; frontend work). About half a day to a day, frontend only — the API already serves every count. On /admin/marketplace (components/marketplace-desk.tsx, the P1-ART-20 queue strip): (1) replace the stale 'Disputes aren't counted yet' line with a Disputes tile (GET /disputes counts by state; open disputes also mean frozen payout money, so the tile covers 'frozen payouts'), linking /admin/payments/disputes; (2) add tiles for payment events waiting on BTG (GET /payment-events waitingOnBtg → /admin/payments/events), refunds to send (GET /refunds counts.open → /admin/refunds), delivery issues (GET /delivery-issues tab counts → /admin/delivery-issues) and payouts awaiting approval (GET /payouts counts.REQUESTED → /admin/payouts); (3) update the desk's unit tests and e2e/admin-marketplace-desk.spec.ts. Done when every exception type shows in the console with its count and a link to the desk that actions it. | 2026-10-08 (HeckerCreatives, via Claude): the brief built — five link tiles under the queue strip (Disputes, Payment events, Refunds to send, Delivery issues, Payouts to approve), each the API's own count linking the desk that actions it; the stale disputes line gone. Verified: unit tests (linkTiles), eslint, tsc; e2e/admin-marketplace-desk.spec.ts cross-checks every tile against GET /disputes, /payment-events, /refunds, /delivery-issues, /payouts as the same admin and opens a desk from a tile; backend suites behind those endpoints green on a clean test DB. Done.</t>
        </is>
      </c>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Done</t>
        </is>
      </c>
      <c r="J58" s="108" t="n">
        <v>5</v>
      </c>
      <c r="K58" s="109" t="inlineStr">
        <is>
          <t>2026-09-28</t>
        </is>
      </c>
      <c r="L58" s="109" t="inlineStr">
        <is>
          <t>2026-09-28</t>
        </is>
      </c>
      <c r="M58" s="110" t="inlineStr">
        <is>
          <t>rcfworks</t>
        </is>
      </c>
      <c r="N58" s="85" t="n">
        <v>0</v>
      </c>
      <c r="O58" s="84" t="inlineStr">
        <is>
          <t>2S4-BE-03</t>
        </is>
      </c>
      <c r="P58" s="84" t="inlineStr">
        <is>
          <t>Zoho contains linked Account, Contact and Deal data for external marketplace transactions</t>
        </is>
      </c>
      <c r="Q58" s="86" t="inlineStr">
        <is>
          <t>Spec §10, §12</t>
        </is>
      </c>
      <c r="R58" s="111" t="inlineStr">
        <is>
          <t>2026-09-28: zoho.pushMarketplaceOrder, queued in the approval's transaction and on every later move: the sponsor's Account + primary Contact (existing pushes), each outside property as an Account of its own (Partner, SponsorX_ID property:&lt;id&gt;, stored in Property.zohoId — the S-9 mapping change, field-mapping §12.2) with its manager as a Contact under it (Property.zohoContactId), then the Deal (SponsorX_ID mkt-order:&lt;id&gt;) linked to the sponsor Account and Contact, naming each property Account in Description; Amount = total, Stage Closed Won from approval / Closed Lost on cancel or refund, Type by earlier orders only. Idempotent by SponsorX_ID; after the first push only Stage is sent. Never pushed before contracted. Worker job registered and gated by Zoho credentials like every CRM job. Tests: tests/phase2-orders.test.ts against the fake Zoho org (as every sync test); mutation-checked. Live sandbox check is a separate step once credentials are on the worker.</t>
        </is>
      </c>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Done</t>
        </is>
      </c>
      <c r="J59" s="108" t="n">
        <v>3</v>
      </c>
      <c r="K59" s="109" t="inlineStr">
        <is>
          <t>2026-09-28</t>
        </is>
      </c>
      <c r="L59" s="109" t="inlineStr">
        <is>
          <t>2026-09-28</t>
        </is>
      </c>
      <c r="M59" s="110" t="inlineStr">
        <is>
          <t>rcfworks</t>
        </is>
      </c>
      <c r="N59" s="81" t="n">
        <v>0</v>
      </c>
      <c r="O59" s="80" t="inlineStr">
        <is>
          <t>2S1-BE-04</t>
        </is>
      </c>
      <c r="P59" s="80" t="inlineStr">
        <is>
          <t>A tenant's branding is served to its portal and renders on its reports (the portal rendering itself is 2S7-FE-03)</t>
        </is>
      </c>
      <c r="Q59" s="82" t="inlineStr">
        <is>
          <t>Spec §9</t>
        </is>
      </c>
      <c r="R59" s="111" t="inlineStr">
        <is>
          <t>2026-09-28: TenantBranding (name, logo, colours, report footer, requested custom domain — validated, unique, not sponsorx.net; routing is later). GET /branding serves the caller's tenant to its portal (every role reads own tenant); PUT /branding for BTG_ADMIN (BTG) and an outside organisation's PROPERTY_MGR (their tenant only — a BTG-tenant property manager is refused); POST /branding/logo is a public-bucket PNG/JPEG grant under branding/&lt;tenant&gt;/. The rendered report embeds the logo (data URI — the render fetches nothing), colours and footer; screen 12's payload carries the branding. Acceptance re-scoped at the programme owner's instruction: the portal rendering itself is 2S7-FE-03. Tests: tests/phase2-marketplace.test.ts (real Chromium PDF), mutation-checked.</t>
        </is>
      </c>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Done</t>
        </is>
      </c>
      <c r="J60" s="108" t="n">
        <v>5</v>
      </c>
      <c r="K60" s="109" t="n">
        <v>46300</v>
      </c>
      <c r="L60" s="109" t="n">
        <v>46300</v>
      </c>
      <c r="M60" s="110" t="inlineStr">
        <is>
          <t>rcfworks</t>
        </is>
      </c>
      <c r="N60" s="85" t="n">
        <v>0</v>
      </c>
      <c r="O60" s="84" t="inlineStr">
        <is>
          <t>2S4-FE-02</t>
        </is>
      </c>
      <c r="P60" s="84" t="inlineStr">
        <is>
          <t>The full marketplace path runs green in CI</t>
        </is>
      </c>
      <c r="Q60" s="86" t="inlineStr">
        <is>
          <t>Spec §11</t>
        </is>
      </c>
      <c r="R60" s="111" t="inlineStr">
        <is>
          <t>Started 2026-10-05: its blocker 2S4-FE-02 is Done; scope includes making CI green (stale loop specs, the e2e 429, P9-QA-01 clauses 4-5). | e2e/marketplace-path.spec.ts walks team + athlete onboarding, roster, listing, purchase within the spending limit, the exact split, payment, delivery, automatic payout and reserve release to CLOSED with nobody approving. Stale loop-p3/p4/p5/p7 specs and next-edition-e2e clauses 4-5 updated for automation; the 429s were Clerk getUser on every request (now only at first link). CI fully green, run 37281259338. 2026-10-05 | Merged to main_development 2026-10-05 (PR #153).</t>
        </is>
      </c>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Done</t>
        </is>
      </c>
      <c r="J61" s="108" t="n">
        <v>5</v>
      </c>
      <c r="K61" s="109" t="n">
        <v>46300</v>
      </c>
      <c r="L61" s="109" t="n">
        <v>46300</v>
      </c>
      <c r="M61" s="110" t="inlineStr">
        <is>
          <t>rcfworks</t>
        </is>
      </c>
      <c r="N61" s="81" t="n">
        <v>0</v>
      </c>
      <c r="O61" s="80" t="inlineStr">
        <is>
          <t>2S5-INT-02</t>
        </is>
      </c>
      <c r="P61" s="80" t="inlineStr">
        <is>
          <t>Every failure mode is handled without financial inconsistency</t>
        </is>
      </c>
      <c r="Q61" s="82" t="inlineStr">
        <is>
          <t>Spec §11, §38</t>
        </is>
      </c>
      <c r="R61" s="111" t="inlineStr">
        <is>
          <t>Started 2026-10-05 against the stand-in payment provider; Stripe plugs in later through 2S5-INT-01. | payment-failures.test breaks duplicates, reordering, declined cards, expired reservations, failed payouts, provider outages (STANDIN_OUTAGE, timeouts), DB failure mid-event and reward outages, asserting the books balance after each. Wallet provider outages split to 2S6-QA-01 (no wallet adapter yet), owner decision 2026-10-05. 2026-10-05</t>
        </is>
      </c>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Done</t>
        </is>
      </c>
      <c r="J62" s="108" t="n">
        <v>5</v>
      </c>
      <c r="K62" s="109" t="n">
        <v>46296</v>
      </c>
      <c r="L62" s="109" t="n">
        <v>46297</v>
      </c>
      <c r="M62" s="110" t="inlineStr">
        <is>
          <t>rcfworks</t>
        </is>
      </c>
      <c r="N62" s="85" t="n">
        <v>0</v>
      </c>
      <c r="O62" s="84" t="inlineStr">
        <is>
          <t>2S5-BE-02</t>
        </is>
      </c>
      <c r="P62" s="84" t="inlineStr">
        <is>
          <t>Reconciliation passes within defined tolerance across a seeded full-cycle dataset</t>
        </is>
      </c>
      <c r="Q62" s="86" t="inlineStr">
        <is>
          <t>Spec §38</t>
        </is>
      </c>
      <c r="R62" s="111" t="inlineStr">
        <is>
          <t>Reviewed 2026-10-01: reconciliation is tested per feature (phase2-ledger, phase2-payouts) but there is no seeded full-cycle reconciliation (ledger vs payment attempts vs payouts, trial balance, tolerance). No vendor dependency. | Reviewed 2026-10-02: tests/phase2-reconciliation.test.ts — a full cycle through the API (card, Zoho invoice, manual pay, line and order refunds, payouts incl. a rejection, reserve release); trial balance, ledger vs payments vs payouts, per-payee identity; tolerance exactly 0 cents. Found no money bug.</t>
        </is>
      </c>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Done</t>
        </is>
      </c>
      <c r="J63" s="108" t="n">
        <v>5</v>
      </c>
      <c r="K63" s="109" t="inlineStr">
        <is>
          <t>2026-09-28</t>
        </is>
      </c>
      <c r="L63" s="109" t="inlineStr">
        <is>
          <t>2026-09-28</t>
        </is>
      </c>
      <c r="M63" s="110" t="inlineStr">
        <is>
          <t>rcfworks</t>
        </is>
      </c>
      <c r="N63" s="81" t="n">
        <v>0</v>
      </c>
      <c r="O63" s="80" t="inlineStr">
        <is>
          <t>2S1-BE-04</t>
        </is>
      </c>
      <c r="P63" s="80" t="inlineStr">
        <is>
          <t>Cross-tenant data access tests pass for sponsor, athlete/property and admin roles</t>
        </is>
      </c>
      <c r="Q63" s="82" t="inlineStr">
        <is>
          <t>Spec §12</t>
        </is>
      </c>
      <c r="R63" s="111" t="inlineStr">
        <is>
          <t>2026-09-28: tests/tenant-isolation.test.ts grown for outside parties. Tenant E is provisioned through the real approval path (2S1-BE-04) and its PROPERTY_MGR signs in via the email claim. Every tenant-bound route is attacked as tenant B's BTG_ADMIN, staff, SPONSOR_ADMIN, SPONSOR_ANALYST, ATHLETE, GUARDIAN, PROPERTY_MGR, STUDENT, ADVISOR and E's manager (no success, no tenant-A value, tenant A fingerprint unchanged); and in reverse, tenant A's admin, sponsor, athlete and all of B's roles against the outside tenant (every read, every write aimed at E's property: refused, no E value leaked, E fingerprint unchanged). Mutation-checked (a roster write that drops its tenant filter fails the sweep).</t>
        </is>
      </c>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Done</t>
        </is>
      </c>
      <c r="J64" s="108" t="n">
        <v>3</v>
      </c>
      <c r="K64" s="109" t="n">
        <v>46300</v>
      </c>
      <c r="L64" s="109" t="n">
        <v>46300</v>
      </c>
      <c r="M64" s="110" t="inlineStr">
        <is>
          <t>rcfworks</t>
        </is>
      </c>
      <c r="N64" s="85" t="n">
        <v>0</v>
      </c>
      <c r="O64" s="84" t="inlineStr">
        <is>
          <t>2S8-QA-01</t>
        </is>
      </c>
      <c r="P64" s="84" t="inlineStr">
        <is>
          <t>OWASP testing complete, dependency scan clean, secrets rotation in place</t>
        </is>
      </c>
      <c r="Q64" s="86" t="inlineStr">
        <is>
          <t>Spec §38</t>
        </is>
      </c>
      <c r="R64" s="111" t="inlineStr">
        <is>
          <t>2026-09-28 WAITING ON: Phase 2 QA (2S8-QA-01), which waits on the checkout frontend (2S4-FE-02) and so on the payment provider. | Started 2026-10-05; review runs once 2S8-QA-01 is green. | OWASP Top 10 review in documentation/SponsorX-Security-Review-2026-10.md, with fixes and tests (deliverable file keys, staging stand-in secret, contact-form copy, headers, Clerk sign-out, webhook raw body, rate-limit expiry). Production audit 0 (next 16.3.8); one dev-only allowlisted advisory, reviewBy 2027-01-05. Nightly CI security job + secret scan. _PREVIOUS rotation for five secrets + documentation/SponsorX-Secrets-Rotation.md. Open owner decisions listed in the review. 2026-10-05 | Merged to main_development 2026-10-05 (PR #153). Follow-ups raised as 2S8-SEC-03/04/05, 2S8-QA-07 and 2S8-PMO-02.</t>
        </is>
      </c>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Done</t>
        </is>
      </c>
      <c r="J65" s="108" t="n">
        <v>3</v>
      </c>
      <c r="K65" s="109" t="n">
        <v>46302</v>
      </c>
      <c r="L65" s="109" t="n">
        <v>46302</v>
      </c>
      <c r="M65" s="110" t="inlineStr">
        <is>
          <t>rcfworks</t>
        </is>
      </c>
      <c r="N65" s="81" t="n">
        <v>0</v>
      </c>
      <c r="O65" s="80" t="inlineStr">
        <is>
          <t>2S0-OPS-01</t>
        </is>
      </c>
      <c r="P65" s="80" t="inlineStr">
        <is>
          <t>Documented restore test passes and meets the agreed RPO/RTO</t>
        </is>
      </c>
      <c r="Q65" s="82" t="inlineStr">
        <is>
          <t>Spec §38</t>
        </is>
      </c>
      <c r="R65" s="111" t="inlineStr">
        <is>
          <t>2026-09-28 WAITING ON: Phase 1 completion. | 2026-10-07: staging PITR restore matched live exactly, usable in ~9.5 min (RPO/RTO met); rollback 41 s / roll-forward 51 s; alerting built (/health/full, /api/v1/public/health, health-monitor.yml every 15 min, Slack on change). Done after deploy + a delivered test alert. | 2026-10-07: deployed to staging and production (aae0ca2); /api/v1/public/health returns ok in both (db, redis, storage, backups archived &lt; 1 min). Test alert delivered to Slack (health-monitor run 37584104464); monitor now checks both environments every 15 min. Restore test passed within RPO/RTO; rollback exercised.</t>
        </is>
      </c>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Simulated outside users onboard on staging, transact, and get paid, before anything goes live — new people each run, signing up through the normal pages, never the tester facility (npm run uat:phase2). The first real outside team is checked at go-live: 2S8-PMO-03. Changed 2026-10-09 with the owner's authority.</t>
        </is>
      </c>
      <c r="I66" s="108" t="inlineStr">
        <is>
          <t>Done</t>
        </is>
      </c>
      <c r="J66" s="108" t="n">
        <v>5</v>
      </c>
      <c r="K66" s="109" t="n">
        <v>46302</v>
      </c>
      <c r="L66" s="109" t="n">
        <v>46304</v>
      </c>
      <c r="M66" s="110" t="inlineStr">
        <is>
          <t>rcfworks</t>
        </is>
      </c>
      <c r="N66" s="85" t="n">
        <v>0</v>
      </c>
      <c r="O66" s="84" t="inlineStr">
        <is>
          <t>2S8-QA-01</t>
        </is>
      </c>
      <c r="P66" s="84" t="inlineStr">
        <is>
          <t>All 14 Phase 2 acceptance criteria demonstrated, or explicitly deferred with the reason (#11 wallet, parked), and signed off; the simulated-user run passes on staging with its evidence recorded</t>
        </is>
      </c>
      <c r="Q66" s="86" t="inlineStr">
        <is>
          <t>Spec §12</t>
        </is>
      </c>
      <c r="R66" s="111" t="inlineStr">
        <is>
          <t>2026-09-28 WAITING ON: Phase 2 QA (2S8-QA-01), which waits on the checkout frontend (2S4-FE-02) and so on the payment provider. | 2026-10-07: sign-off record documentation/SponsorX-Phase2-Acceptance-Signoff.md — 12 of 14 criteria demonstrated, #13 Zoho partly (simulated Zoho only; no live marketplace order checked in the Zoho sandbox), #11 wallet not built. Still needed: real external users on staging (18-step UAT plan in the doc, ~1 week) and the owner sign-off. | 2026-10-09: simulated-user UAT PASSED on staging, all 17 steps (run 2610090617, order SX-OA44ZADS, Stripe transfers tr_1UOYJrKA9GZ8RRgKdFIIEdPe / tr_1UOYJtKA9GZ8RRgKV0Wi39bU, Zoho records read back from the sandbox). #13 Zoho now Demonstrated; #11 wallet deferred (Rodney, until further notice). Evidence: documentation/uat-evidence/phase2-2610090617/. WAITING ON: the sign-off record signed (the user, with Rodney's delegated authority). | 2026-10-09: Code review — PR #180 (its e2e check fails on /admin/audit, a P1-FE-31 frontend fault already failing on main_development since e0187f0, not this PR). Done when the sign-off is signed. | 2026-10-09: SIGNED OFF — Phase 2 accepted (13 demonstrated, #11 deferred), signed by rcfworks with Rodney's delegated authority. 2S8-PMO-03 stays Blocked on go-live.</t>
        </is>
      </c>
    </row>
    <row r="67" ht="23.85" customHeight="1" s="75">
      <c r="A67" s="112" t="n">
        <v>52.1</v>
      </c>
      <c r="B67" s="113" t="inlineStr">
        <is>
          <t>2S6-BE-03</t>
        </is>
      </c>
      <c r="C67" s="85" t="n">
        <v>6</v>
      </c>
      <c r="D67" s="86" t="inlineStr">
        <is>
          <t>Sprint 6 · Wallet rewards &amp; notifications</t>
        </is>
      </c>
      <c r="E67" s="112" t="inlineStr">
        <is>
          <t>BE</t>
        </is>
      </c>
      <c r="F67" s="130" t="inlineStr">
        <is>
          <t>Code</t>
        </is>
      </c>
      <c r="G67" s="84" t="inlineStr">
        <is>
          <t>"Sponsor may contact me about offers" consent option</t>
        </is>
      </c>
      <c r="H67" s="116" t="inlineStr">
        <is>
          <t>A second, separate, unticked checkbox on the fan claim page; only fans who tick it may be passed to the sponsor as a lead. Moved from Phase 1 on 2026-09-24.</t>
        </is>
      </c>
      <c r="I67" s="108" t="inlineStr">
        <is>
          <t>Done</t>
        </is>
      </c>
      <c r="J67" s="108" t="n">
        <v>3</v>
      </c>
      <c r="K67" s="109" t="inlineStr">
        <is>
          <t>2026-09-28</t>
        </is>
      </c>
      <c r="L67" s="109" t="inlineStr">
        <is>
          <t>2026-09-28</t>
        </is>
      </c>
      <c r="M67" s="110" t="inlineStr">
        <is>
          <t>rcfworks</t>
        </is>
      </c>
      <c r="N67" s="85" t="n"/>
      <c r="O67" s="84" t="inlineStr">
        <is>
          <t>P6-SEC-01, P6-SEC-03</t>
        </is>
      </c>
      <c r="P67" s="84" t="inlineStr">
        <is>
          <t>New consent purpose with its own dated text version; checkbox separate and unticked by default; only claims carrying it expose the address to the sponsor (RBAC §7.2/§10 amended), enforced in the query; unsubscribe withdraws it</t>
        </is>
      </c>
      <c r="Q67" s="86" t="inlineStr">
        <is>
          <t>§26</t>
        </is>
      </c>
      <c r="R67" s="111" t="inlineStr">
        <is>
          <t>2026-09-28: Consent purpose 'sponsor-contact' with its own dated text (CURRENT_SPONSOR_CONTACT_VERSION 2026-09-28, SPONSOR_CONTACT_TEXT), stored in its own RewardEvent columns; Postgres CHECK: only alongside an address held with the delivery consent. Fan page: a second, separate checkbox, never pre-ticked (web tests). Sponsors read addresses ONLY via GET /campaigns/{id}/leads, gated by the new §7.2 field rewardClaim.sponsorLead (matrix §7.2/§10 amended), and the consent is IN THE QUERY (SPONSOR_CONTACTABLE) — tests/fan-pii.test.ts now allows exactly two address-reading queries and fails any without it. One-tap unsubscribe withdraws it. tests/fan-sponsor-contact.test.ts (mutation-checked). | 2026-09-28: Done at the user's instruction — acceptance met, CI green.</t>
        </is>
      </c>
    </row>
    <row r="68" ht="23.85" customHeight="1" s="75">
      <c r="A68" s="112" t="n">
        <v>52.2</v>
      </c>
      <c r="B68" s="113" t="inlineStr">
        <is>
          <t>2S6-INT-03</t>
        </is>
      </c>
      <c r="C68" s="85" t="n">
        <v>6</v>
      </c>
      <c r="D68" s="86" t="inlineStr">
        <is>
          <t>Sprint 6 · Wallet rewards &amp; notifications</t>
        </is>
      </c>
      <c r="E68" s="112" t="inlineStr">
        <is>
          <t>INT</t>
        </is>
      </c>
      <c r="F68" s="130" t="inlineStr">
        <is>
          <t>Code</t>
        </is>
      </c>
      <c r="G68" s="84" t="inlineStr">
        <is>
          <t>Consent-gated lead push to Zoho (was P6-INT-01)</t>
        </is>
      </c>
      <c r="H68" s="116" t="inlineStr">
        <is>
          <t>Send fan leads to Zoho only where the fan ticked the sponsor-contact option.</t>
        </is>
      </c>
      <c r="I68" s="108" t="inlineStr">
        <is>
          <t>Done</t>
        </is>
      </c>
      <c r="J68" s="108" t="n">
        <v>3</v>
      </c>
      <c r="K68" s="109" t="inlineStr">
        <is>
          <t>2026-09-28</t>
        </is>
      </c>
      <c r="L68" s="109" t="inlineStr">
        <is>
          <t>2026-09-28</t>
        </is>
      </c>
      <c r="M68" s="110" t="inlineStr">
        <is>
          <t>rcfworks</t>
        </is>
      </c>
      <c r="N68" s="85" t="n"/>
      <c r="O68" s="84" t="inlineStr">
        <is>
          <t>2S6-BE-03, P8-INT-01</t>
        </is>
      </c>
      <c r="P68" s="84" t="inlineStr">
        <is>
          <t>Claims with sponsor-contact consent enqueue zoho.pushLead; claims without it, or withdrawn, never do — excluded at query level</t>
        </is>
      </c>
      <c r="Q68" s="86" t="inlineStr">
        <is>
          <t>§18</t>
        </is>
      </c>
      <c r="R68" s="111" t="inlineStr">
        <is>
          <t>2026-09-28: A claim with the sponsor-contact tick enqueues zoho.pushLead {fanEventId} in the claim's transaction; without it, nothing is queued. The worker (pushFanLead) re-reads the claim through SPONSOR_CONTACTABLE at push time, so a claim withdrawn after queueing is never fetched and nothing reaches Zoho. Lead upserted on SponsorX_ID fanlead:&lt;claim&gt;, idempotent; RewardEvent.zohoLeadId recorded. Tests with the worker's own handler into FakeZoho (mutation-checked). | 2026-09-28: Done at the user's instruction — acceptance met, CI green.</t>
        </is>
      </c>
    </row>
    <row r="69" s="75">
      <c r="A69" s="112" t="n">
        <v>57.1</v>
      </c>
      <c r="B69" s="113" t="inlineStr">
        <is>
          <t>2S7-BE-02</t>
        </is>
      </c>
      <c r="C69" s="85" t="n">
        <v>7</v>
      </c>
      <c r="D69" s="86" t="inlineStr">
        <is>
          <t>Sprint 7 · Analytics &amp; governance</t>
        </is>
      </c>
      <c r="E69" s="112" t="inlineStr">
        <is>
          <t>BE</t>
        </is>
      </c>
      <c r="F69" s="130" t="inlineStr">
        <is>
          <t>Code</t>
        </is>
      </c>
      <c r="G69" s="84" t="inlineStr">
        <is>
          <t>Report render worker job (was P7-BE-06)</t>
        </is>
      </c>
      <c r="H69" s="116" t="inlineStr">
        <is>
          <t>Server-rendered sponsor report file, produced unattended on the worker — for when a report must be generated without anyone opening a browser (e.g. scheduled delivery to a renewal signer who never logs in). Moved from Phase 1 on 2026-09-24.</t>
        </is>
      </c>
      <c r="I69" s="108" t="inlineStr">
        <is>
          <t>Done</t>
        </is>
      </c>
      <c r="J69" s="108" t="n">
        <v>3</v>
      </c>
      <c r="K69" s="109" t="inlineStr">
        <is>
          <t>2026-09-28</t>
        </is>
      </c>
      <c r="L69" s="109" t="inlineStr">
        <is>
          <t>2026-09-28</t>
        </is>
      </c>
      <c r="M69" s="110" t="inlineStr">
        <is>
          <t>rcfworks</t>
        </is>
      </c>
      <c r="N69" s="85" t="n"/>
      <c r="O69" s="84" t="inlineStr">
        <is>
          <t>P7-BE-05</t>
        </is>
      </c>
      <c r="P69" s="84" t="inlineStr">
        <is>
          <t>When a server-rendered report is required, Playwright renders it on the worker from the same data as screen 12, stores it in the private bucket, and keeps every provenance label; the browser print (report-pdf.ts) remains the interactive path</t>
        </is>
      </c>
      <c r="Q69" s="86" t="inlineStr">
        <is>
          <t>§9 screen 12, Addendum A10</t>
        </is>
      </c>
      <c r="R69" s="111" t="inlineStr">
        <is>
          <t>2026-09-28: report.render worker job — buildSponsorReport (the same function behind GET /campaigns/{id}/report, screen 12) → renderReportHtml (same sections, every provenance label in the screen's own words; SOURCE_LABEL checked against the web ui.tsx copy) → headless Chromium via playwright-core → PDF into the PRIVATE bucket (putPrivateObject) → ReportFile row. Required on campaign COMPLETED (queued in that transaction — the renewal hand-off) or on BTG's POST /campaigns/{id}/report/render; GET .../report/files gives audited presigned links. Browser print (report-pdf.ts) unchanged. Image: Alpine chromium + fonts, CHROMIUM_PATH; CI unit job installs Chromium. Real-Chromium test passes locally/CI; VERIFIED ON STAGING 2026-09-28: inside the deployed api container (Alpine, CHROMIUM_PATH=/usr/bin/chromium) renderPdf produced a valid PDF. HOSTING DECIDED by the programme owner 2026-09-28: API and worker stay in one Railway service for now, report.render one at a time (localConcurrency 1); recorded in backend/src/combined.mts with the revisit triggers. | 2026-09-28: Done at the user's instruction — acceptance met, CI green.</t>
        </is>
      </c>
    </row>
    <row r="70" s="75">
      <c r="A70" s="112" t="n">
        <v>57.2</v>
      </c>
      <c r="B70" s="113" t="inlineStr">
        <is>
          <t>2S7-FE-03</t>
        </is>
      </c>
      <c r="C70" s="85" t="n">
        <v>7</v>
      </c>
      <c r="D70" s="86" t="inlineStr">
        <is>
          <t>Sprint 7 · Analytics &amp; governance</t>
        </is>
      </c>
      <c r="E70" s="112" t="inlineStr">
        <is>
          <t>FE</t>
        </is>
      </c>
      <c r="F70" s="130" t="inlineStr">
        <is>
          <t>Code</t>
        </is>
      </c>
      <c r="G70" s="84" t="inlineStr">
        <is>
          <t>Render tenant branding in the property portal</t>
        </is>
      </c>
      <c r="H70" s="116" t="inlineStr">
        <is>
          <t>The property portal's frame shows the signed-in tenant's own logo and colours, read from the branding API (2S7-BE-01). Split out of 2S7-BE-01 on 2026-09-28 at the programme owner's instruction, so the backend task stays backend-only.</t>
        </is>
      </c>
      <c r="I70" s="108" t="inlineStr">
        <is>
          <t>Done</t>
        </is>
      </c>
      <c r="J70" s="108" t="n">
        <v>1</v>
      </c>
      <c r="K70" s="109" t="n">
        <v>46294</v>
      </c>
      <c r="L70" s="109" t="n">
        <v>46296</v>
      </c>
      <c r="M70" s="110" t="inlineStr">
        <is>
          <t>rcfworks</t>
        </is>
      </c>
      <c r="N70" s="85" t="n">
        <v>0</v>
      </c>
      <c r="O70" s="84" t="inlineStr">
        <is>
          <t>2S7-BE-01</t>
        </is>
      </c>
      <c r="P70" s="84" t="inlineStr">
        <is>
          <t>A tenant's logo and colours render in its property portal frame</t>
        </is>
      </c>
      <c r="Q70" s="86" t="inlineStr">
        <is>
          <t>Spec §9</t>
        </is>
      </c>
      <c r="R70" s="111" t="inlineStr">
        <is>
          <t>2026-09-28: raised by the programme owner — the portal half of 2S7-BE-01's acceptance, moved here. Unblocked 2026-09-28: 2S7-BE-01 Done — the portal reads GET /branding.</t>
        </is>
      </c>
    </row>
    <row r="71" ht="32.8" customHeight="1" s="75">
      <c r="A71" s="112" t="n">
        <v>27.5</v>
      </c>
      <c r="B71" s="113" t="inlineStr">
        <is>
          <t>2S3-BE-05</t>
        </is>
      </c>
      <c r="C71" s="85" t="n">
        <v>3</v>
      </c>
      <c r="D71" s="86" t="inlineStr">
        <is>
          <t>Sprint 3 · Listing engine</t>
        </is>
      </c>
      <c r="E71" s="121" t="inlineStr">
        <is>
          <t>BE</t>
        </is>
      </c>
      <c r="F71" s="122" t="inlineStr">
        <is>
          <t>Code</t>
        </is>
      </c>
      <c r="G71" s="84" t="inlineStr">
        <is>
          <t>Independent athletes list their own items</t>
        </is>
      </c>
      <c r="H71" s="116" t="inlineStr">
        <is>
          <t>Not every athlete has a team. Today only a property manager can put an item on sale, so an athlete with no team can create items that can never be sold. Let an approved athlete with no team be the seller of their own listing: they submit it, BTG approves it by the same rules as a team's, and with no team the athlete keeps the whole share. Search, cart, orders, the availability check and the ledger split all handle an athlete-owned listing; a roster athlete's items still go through their team.</t>
        </is>
      </c>
      <c r="I71" s="108" t="inlineStr">
        <is>
          <t>Done</t>
        </is>
      </c>
      <c r="J71" s="108" t="n">
        <v>5</v>
      </c>
      <c r="K71" s="109" t="inlineStr">
        <is>
          <t>2026-09-30</t>
        </is>
      </c>
      <c r="L71" s="109" t="n">
        <v>46296</v>
      </c>
      <c r="M71" s="110" t="inlineStr">
        <is>
          <t>rcfworks</t>
        </is>
      </c>
      <c r="N71" s="85" t="inlineStr">
        <is>
          <t>2S3-FE-02, 2S3-FE-03</t>
        </is>
      </c>
      <c r="O71" s="84" t="inlineStr">
        <is>
          <t>2S3-BE-01, 2S2-BE-01</t>
        </is>
      </c>
      <c r="P71" s="84" t="inlineStr">
        <is>
          <t>An approved athlete with no team can submit their own item, BTG can approve it, a sponsor can find, cart and order it, and the split pays the athlete as the only payee; a roster athlete still cannot list around their team; scope and tenant tests cover the new seller</t>
        </is>
      </c>
      <c r="Q71" s="86" t="inlineStr">
        <is>
          <t>Spec §9, §12</t>
        </is>
      </c>
      <c r="R71" s="111" t="inlineStr">
        <is>
          <t>Raised 2026-09-30 from the walkthrough (Option A agreed with the user). | 2026-09-30: BUILT. A listing and its order lines now have exactly one seller: a property, or an independent athlete (Listing/MarketplaceOrderLine.sellerAthleteId; DB check *_one_seller; migration 20260930150000). ATHLETE listing.write moved deny → own, the listings they sell themselves only (matrix §18; digest 9bfe4e2f8189268c). An approved athlete (APPROVED/ACTIVE) with no team creates, edits and submits; a roster athlete gets 409 "on a team — &lt;team&gt; lists your items". Seller rule re-checked on submit, BTG approval, resume, the catalogue scope, search and the availability check, so an athlete who joins a team stops selling. Search/cart/orders/Zoho name the athlete (`seller`). The split forces team share 0 for an athlete-sold line, even with a TEAM_SHARE rule; no PROPERTY ledger rows; payouts go to the athlete. tests/phase2-independent-listing.test.ts walks list → BTG approves → search → cart → order → split ($755.29 to the athlete, $0 to any team) → pay → payout, plus the refusals. The tenant-isolation sweep seeds an athlete-sold listing and order line. Frontend follow-up raised: 2S3-FE-03 (the shop assumes a property).</t>
        </is>
      </c>
    </row>
    <row r="72" ht="32.8" customHeight="1" s="75">
      <c r="A72" s="112" t="n">
        <v>28.5</v>
      </c>
      <c r="B72" s="113" t="inlineStr">
        <is>
          <t>2S3-FE-02</t>
        </is>
      </c>
      <c r="C72" s="85" t="n">
        <v>3</v>
      </c>
      <c r="D72" s="86" t="inlineStr">
        <is>
          <t>Sprint 3 · Listing engine</t>
        </is>
      </c>
      <c r="E72" s="121" t="inlineStr">
        <is>
          <t>FE</t>
        </is>
      </c>
      <c r="F72" s="122" t="inlineStr">
        <is>
          <t>Code</t>
        </is>
      </c>
      <c r="G72" s="84" t="inlineStr">
        <is>
          <t>Listing screen for independent athletes</t>
        </is>
      </c>
      <c r="H72" s="116" t="inlineStr">
        <is>
          <t>The athlete-side "put it on sale" step: from their inventory, an athlete with no team writes what the sponsor gets, sees the same checklist of what BTG checks, submits for approval, then follows the listing's state, pauses it or takes it down. An athlete on a team is told their team lists it.</t>
        </is>
      </c>
      <c r="I72" s="108" t="inlineStr">
        <is>
          <t>Done</t>
        </is>
      </c>
      <c r="J72" s="108" t="n">
        <v>3</v>
      </c>
      <c r="K72" s="109" t="n">
        <v>46296</v>
      </c>
      <c r="L72" s="109" t="n">
        <v>46302</v>
      </c>
      <c r="M72" s="110" t="inlineStr">
        <is>
          <t>rcfworks</t>
        </is>
      </c>
      <c r="N72" s="85" t="n"/>
      <c r="O72" s="84" t="inlineStr">
        <is>
          <t>2S3-BE-05</t>
        </is>
      </c>
      <c r="P72" s="84" t="inlineStr">
        <is>
          <t>An independent athlete can build, submit and follow a listing for approval from their own portal</t>
        </is>
      </c>
      <c r="Q72" s="86" t="inlineStr">
        <is>
          <t>Spec §6 P2-07</t>
        </is>
      </c>
      <c r="R72" s="111" t="inlineStr">
        <is>
          <t>Raised 2026-09-30 from the walkthrough (Option A agreed with the user). | 2026-09-30: the API is built (2S3-BE-05) — startable. | Built 2026-10-01 at /athlete/listings, wired to 2S3-BE-05 (create, edit, submit, pause, end); a roster athlete sees 'your team lists your items'. | Verified 2026-10-07 in the browser: an independent athlete (no team) builds items, lists them, sees one go live automatically and one held with its reason (restricted words) then live after BTG; pause/resume shown; audit rows present.</t>
        </is>
      </c>
    </row>
    <row r="73" ht="23.85" customHeight="1" s="75">
      <c r="A73" s="112" t="n">
        <v>46.3</v>
      </c>
      <c r="B73" s="113" t="inlineStr">
        <is>
          <t>2S5-FE-03</t>
        </is>
      </c>
      <c r="C73" s="85" t="n">
        <v>5</v>
      </c>
      <c r="D73" s="86" t="inlineStr">
        <is>
          <t>Sprint 5 · Payments, ledger &amp; payouts</t>
        </is>
      </c>
      <c r="E73" s="121" t="inlineStr">
        <is>
          <t>FE</t>
        </is>
      </c>
      <c r="F73" s="122" t="inlineStr">
        <is>
          <t>Code</t>
        </is>
      </c>
      <c r="G73" s="84" t="inlineStr">
        <is>
          <t>Athlete and team payout screens</t>
        </is>
      </c>
      <c r="H73" s="116" t="inlineStr">
        <is>
          <t>Payout account first: until ready, the page says a Stripe account is needed and links out to Stripe to set one up (and back if Stripe needs more); SponsorX never sees bank details. Then available / held / paid out, a Request payout button (disabled with the reason when a rule isn't met), and a payout history moving Requested → Approved by BTG → Sent → Paid, confirmed by the payment provider. Stripe stays invisible after set-up; the payee gets an email when paid.</t>
        </is>
      </c>
      <c r="I73" s="108" t="inlineStr">
        <is>
          <t>Done</t>
        </is>
      </c>
      <c r="J73" s="108" t="n">
        <v>4</v>
      </c>
      <c r="K73" s="109" t="n">
        <v>46295</v>
      </c>
      <c r="L73" s="109" t="n">
        <v>46302</v>
      </c>
      <c r="M73" s="110" t="inlineStr">
        <is>
          <t>rcfworks</t>
        </is>
      </c>
      <c r="N73" s="85" t="n"/>
      <c r="O73" s="84" t="inlineStr">
        <is>
          <t>2S5-BE-04, 2S0-ART-01</t>
        </is>
      </c>
      <c r="P73" s="84" t="inlineStr">
        <is>
          <t>An athlete can set up their payout account from SponsorX, request their available balance, and follow it to Paid; the team does the same from its Earnings page; the figures reconcile to the ledger</t>
        </is>
      </c>
      <c r="Q73" s="86" t="inlineStr">
        <is>
          <t>Spec §6 P2-11, §7.4</t>
        </is>
      </c>
      <c r="R73" s="111" t="inlineStr">
        <is>
          <t>Raised 2026-09-30 from the walkthrough (steps 5, 14, 15). Designs: Claude Design prompt given to the user 2026-09-30.
2026-09-30: team part built (payout-account panel with Stripe ↗, Request payout, history to Paid) and the athlete-home set-up banner. Riley's own 'My money' page waits for its Claude Design screens.
2026-09-30 (later): Riley's 'My money' built from Claude Design MyMoney — available / held / paid out, payout account with Stripe ↗, the before-you-can-request checklist with the set-up button, per-order shares, Request payout with the reserve note, history with Requested → Approved by BTG → Sent → Paid. Verified in the browser end to end on the stand-in provider. | Verified 2026-10-07: athlete and team each set up payouts, request, and follow to Paid on the stand-in; team page figures equal the ledger ($151.05 booked, $135.64 paid, $15.41 reserve; reconciles: true).</t>
        </is>
      </c>
    </row>
    <row r="74" ht="23.85" customHeight="1" s="75">
      <c r="A74" s="112" t="n">
        <v>46.6</v>
      </c>
      <c r="B74" s="113" t="inlineStr">
        <is>
          <t>2S5-FE-04</t>
        </is>
      </c>
      <c r="C74" s="85" t="n">
        <v>5</v>
      </c>
      <c r="D74" s="86" t="inlineStr">
        <is>
          <t>Sprint 5 · Payments, ledger &amp; payouts</t>
        </is>
      </c>
      <c r="E74" s="121" t="inlineStr">
        <is>
          <t>FE</t>
        </is>
      </c>
      <c r="F74" s="122" t="inlineStr">
        <is>
          <t>Code</t>
        </is>
      </c>
      <c r="G74" s="84" t="inlineStr">
        <is>
          <t>BTG payout approval screen</t>
        </is>
      </c>
      <c r="H74" s="116" t="inlineStr">
        <is>
          <t>BTG's queue of payout requests — waiting, sending, paid, problems — with payee, amount, orders, wait time and each payout rule's result. Detail shows the frozen split behind it; approve (hands it to the payment provider) or send back with a note, then follow it to Paid or to a problem BTG can act on.</t>
        </is>
      </c>
      <c r="I74" s="108" t="inlineStr">
        <is>
          <t>Done</t>
        </is>
      </c>
      <c r="J74" s="108" t="n">
        <v>3</v>
      </c>
      <c r="K74" s="109" t="n">
        <v>46295</v>
      </c>
      <c r="L74" s="109" t="n">
        <v>46302</v>
      </c>
      <c r="M74" s="110" t="inlineStr">
        <is>
          <t>rcfworks</t>
        </is>
      </c>
      <c r="N74" s="85" t="n"/>
      <c r="O74" s="84" t="inlineStr">
        <is>
          <t>2S5-BE-05</t>
        </is>
      </c>
      <c r="P74" s="84" t="inlineStr">
        <is>
          <t>BTG can approve or send back a payout request and see it confirmed paid by the payment provider, with every decision in the audit log</t>
        </is>
      </c>
      <c r="Q74" s="86" t="inlineStr">
        <is>
          <t>Spec §8</t>
        </is>
      </c>
      <c r="R74" s="111" t="inlineStr">
        <is>
          <t>Raised 2026-09-30 from the walkthrough (steps 14, 15).
2026-09-30: built from Claude Design Approvals — queue tabs (waiting / sending / paid / problems) with counts and each request's checks, detail with the payee's frozen split, the four checks, audit trail, Approve / Send back (note required), Retry on problems. Verified in the browser: approved → sent → Paid. | Verified 2026-10-07: a payout held for BTG is approved on /admin/payouts and reaches Paid; another is sent back with a required note (money returns, email queued); payout.approve / payout.reject and the rest are in the audit log.</t>
        </is>
      </c>
    </row>
    <row r="75" ht="23.85" customHeight="1" s="75">
      <c r="A75" s="112" t="n">
        <v>46.8</v>
      </c>
      <c r="B75" s="113" t="inlineStr">
        <is>
          <t>2S5-FE-05</t>
        </is>
      </c>
      <c r="C75" s="85" t="n">
        <v>5</v>
      </c>
      <c r="D75" s="86" t="inlineStr">
        <is>
          <t>Sprint 5 · Payments, ledger &amp; payouts</t>
        </is>
      </c>
      <c r="E75" s="121" t="inlineStr">
        <is>
          <t>FE</t>
        </is>
      </c>
      <c r="F75" s="122" t="inlineStr">
        <is>
          <t>Code</t>
        </is>
      </c>
      <c r="G75" s="84" t="inlineStr">
        <is>
          <t>Sponsor pays for an order (pay-by-card button)</t>
        </is>
      </c>
      <c r="H75" s="116" t="inlineStr">
        <is>
          <t>Once BTG approves an order, the sponsor's order page shows payment due and a primary button “Pay $… by card ↗” that takes them to Stripe's secure payment page — SponsorX never sees the card. Back from Stripe: confirming, then Paid (confirmed by the payment provider), or didn't go through with the button again. Rule: every step that involves Stripe has a CTA button on our page that takes the user there.</t>
        </is>
      </c>
      <c r="I75" s="108" t="inlineStr">
        <is>
          <t>Done</t>
        </is>
      </c>
      <c r="J75" s="108" t="n">
        <v>2</v>
      </c>
      <c r="K75" s="109" t="n">
        <v>46295</v>
      </c>
      <c r="L75" s="109" t="n">
        <v>46303</v>
      </c>
      <c r="M75" s="110" t="inlineStr">
        <is>
          <t>rcfworks</t>
        </is>
      </c>
      <c r="N75" s="85" t="n"/>
      <c r="O75" s="84" t="inlineStr">
        <is>
          <t>2S5-INT-01, 2S0-ART-01</t>
        </is>
      </c>
      <c r="P75" s="84" t="inlineStr">
        <is>
          <t>A sponsor can pay an approved order from its SponsorX page via Stripe and see it confirmed paid (or retry a failed payment); a sponsor email confirms the payment</t>
        </is>
      </c>
      <c r="Q75" s="86" t="inlineStr">
        <is>
          <t>Spec §8</t>
        </is>
      </c>
      <c r="R75" s="111" t="inlineStr">
        <is>
          <t>Raised 2026-09-30 from the walkthrough (step 11).
2026-09-30: built from Claude Design E1–E4 — Pay $… by card ↗, confirming, paid, try again on Stripe ↗; verified locally end to end on the stand-in provider. The button redirects to whatever the provider returns, so no screen change is needed when Stripe replaces the stand-in. | Verified 2026-10-07: pay by card, decline then retry, Paid, and the payment.received email queued for the sponsor. Open: on staging no receipt has been delivered (test sponsors use @example.com, which Resend rejects); needs one staging payment by a sponsor with a real address. Also found: the receipt goes to the signed-in user, not the billing contact the checkout copy names. | 2026-10-08 checked staging read-only: NOT MET. The only payment.received receipt ever queued on staging (2026-10-06) went to an @example.com address and failed; none has been delivered. Needs one staging payment by a sponsor with a real inbox (the dev Clerk instance is at its 100-user cap, so an existing sponsor login is needed). The billing-contact vs signed-in-user recipient question is still open. | 2026-10-08 FIXED (backend, order-mail.ts tellSponsorPaid): the receipt now goes to the billing contact confirmed at checkout, as the checkout copy promises; the sponsor user who placed/paid gets a copy when that is a different address (case-insensitive), one receipt when it is the same. Tests: phase2-order-automation (new same-address case, mutation-checked), payment-webhooks, phase2-payouts updated; full backend suite 3,008/3,008. Still Code review until deployed to staging and one test payment with a real billing email shows the receipt delivered. | 2026-10-08 DONE — every clause met. Pay by card, decline then retry, Paid: verified 2026-10-07 (and staging order SX-BK6HZ86G paid on Stripe 2026-10-06). A sponsor email confirms the payment: proven on staging after the receipt fix (release #176, deployed 6669472) by `npm run smoke:receipt` (backend/scripts/smoke-receipt.mjs) — order SX-KLNH17FX placed and paid, its payment.received receipt sent to the billing contact delivered+smoke-20261008041202@resend.dev and accepted by Resend (notify.email job completed). The sponsor's copy is queued to the test sponsor's @example.com address, which Resend refuses (expected on staging).</t>
        </is>
      </c>
    </row>
    <row r="76">
      <c r="A76" s="112" t="n">
        <v>28.7</v>
      </c>
      <c r="B76" s="113" t="inlineStr">
        <is>
          <t>2S3-FE-03</t>
        </is>
      </c>
      <c r="C76" s="85" t="n">
        <v>3</v>
      </c>
      <c r="D76" s="86" t="inlineStr">
        <is>
          <t>Sprint 3 · Listing engine</t>
        </is>
      </c>
      <c r="E76" s="121" t="inlineStr">
        <is>
          <t>FE</t>
        </is>
      </c>
      <c r="F76" s="122" t="inlineStr">
        <is>
          <t>Code</t>
        </is>
      </c>
      <c r="G76" s="84" t="inlineStr">
        <is>
          <t>Show an athlete as the seller in the shop, cart and BTG's queue</t>
        </is>
      </c>
      <c r="H76" s="116" t="inlineStr">
        <is>
          <t>Since 2S3-BE-05 a listing is sold by a team or by an athlete with no team. For an athlete's listing the API sends property: null (search), propertyName: null (cart, listings) and seller { type: ATHLETE, id, name }. The sponsor shop, its search, the cart line, checkout and BTG's marketplace listing queue must show the seller instead of assuming a property. Today the shop's seller line (propertyLine in lib/shop-live.ts) would fail on the first athlete-sold listing.</t>
        </is>
      </c>
      <c r="I76" s="108" t="inlineStr">
        <is>
          <t>Done</t>
        </is>
      </c>
      <c r="J76" s="108" t="n">
        <v>2</v>
      </c>
      <c r="K76" s="109" t="n">
        <v>46296</v>
      </c>
      <c r="L76" s="109" t="n">
        <v>46297</v>
      </c>
      <c r="M76" s="110" t="inlineStr">
        <is>
          <t>rcfworks</t>
        </is>
      </c>
      <c r="N76" s="85" t="n"/>
      <c r="O76" s="84" t="inlineStr">
        <is>
          <t>2S3-BE-05</t>
        </is>
      </c>
      <c r="P76" s="84" t="inlineStr">
        <is>
          <t>An athlete-sold listing shows the athlete as its seller in the shop, the cart, checkout and BTG's listing queue, with no screen assuming a property; a test renders each with property: null</t>
        </is>
      </c>
      <c r="Q76" s="86" t="inlineStr">
        <is>
          <t>Spec §6 P2-07; 2S3-BE-05</t>
        </is>
      </c>
      <c r="R76" s="111" t="inlineStr">
        <is>
          <t>Raised 2026-09-30 by 2S3-BE-05 (backend sessions don't edit frontend). | Reviewed 2026-10-01: the shop card shows an athlete seller; still missing in the cart line, checkout lines and BTG listing queue (they print propertyName, null for an athlete; lineSummary collapses athlete sellers). | Reviewed 2026-10-02: the athlete seller is named in the shop card, cart line, checkout, sponsor order page, BTG listing queue and BTG order page; seller count by id.</t>
        </is>
      </c>
    </row>
    <row r="77">
      <c r="A77" s="112" t="n">
        <v>12.5</v>
      </c>
      <c r="B77" s="113" t="inlineStr">
        <is>
          <t>2S1-BE-05</t>
        </is>
      </c>
      <c r="C77" s="85" t="n">
        <v>1</v>
      </c>
      <c r="D77" s="86" t="inlineStr">
        <is>
          <t>Sprint 1 · External property onboarding</t>
        </is>
      </c>
      <c r="E77" s="121" t="inlineStr">
        <is>
          <t>BE</t>
        </is>
      </c>
      <c r="F77" s="122" t="inlineStr">
        <is>
          <t>Code</t>
        </is>
      </c>
      <c r="G77" s="84" t="inlineStr">
        <is>
          <t>BTG approves a new sponsor and opens the account</t>
        </is>
      </c>
      <c r="H77" s="116" t="inlineStr">
        <is>
          <t>Today a sponsor's request from the public form becomes a Zoho lead and nothing more. BTG cannot approve it in SponsorX and nothing gives the sponsor a login. The request should land in a BTG review queue, with the business type stored as categories. BTG approves or declines with a note. Approving creates the sponsor, its primary contact and a SPONSOR_ADMIN login in one transaction, links the Zoho account without duplicating it, and emails a sign-in link through the worker. Declining emails the reason. Audited; Zoho stays off the request path.</t>
        </is>
      </c>
      <c r="I77" s="108" t="inlineStr">
        <is>
          <t>Done</t>
        </is>
      </c>
      <c r="J77" s="108" t="n">
        <v>4</v>
      </c>
      <c r="K77" s="109" t="inlineStr">
        <is>
          <t>2026-09-30</t>
        </is>
      </c>
      <c r="L77" s="109" t="n">
        <v>46296</v>
      </c>
      <c r="M77" s="110" t="inlineStr">
        <is>
          <t>rcfworks</t>
        </is>
      </c>
      <c r="N77" s="85" t="inlineStr">
        <is>
          <t>2S1-FE-03</t>
        </is>
      </c>
      <c r="O77" s="84" t="inlineStr">
        <is>
          <t>2S1-BE-04, P8-INT-06</t>
        </is>
      </c>
      <c r="P77" s="84" t="inlineStr">
        <is>
          <t>A sponsor's request appears in BTG's queue with its business type; approving it creates the sponsor, its contact and a login the requester can sign in with, and links the Zoho account without a duplicate; declining tells the requester why; only BTG admin and sales can decide; tenant and role tests cover it</t>
        </is>
      </c>
      <c r="Q77" s="86" t="inlineStr">
        <is>
          <t>Spec §3, §12, §18; walkthrough 2026-09-30</t>
        </is>
      </c>
      <c r="R77" s="111" t="inlineStr">
        <is>
          <t>Raised 2026-09-30 from the walkthrough (step 4b): no BTG approval of a sponsor exists in SponsorX. | 2026-09-30: BUILT. The public form's request (Inquiry) now also waits for BTG: state NEW/APPROVED/DECLINED, the business's own words (categoryText) and the decision (migration 20260930170000). GET /sponsor-requests (tabs, counts), GET /sponsor-requests/:id (brief answers, suggested categories, checks), POST /sponsor-requests/:id/decision. inquiry.approve granted to BTG_ADMIN and SALES own-tenant, and SUPER_ADMIN any (matrix §11; digest 77c16c7e171c8dc2). Approving is one transaction: the sponsor with BTG's categories, the primary contact and a SPONSOR_ADMIN login (claimed at first sign-in by email). It queues the sponsor.accountOpened email and zoho.pushSponsor (Account with SponsorX_ID, plus Contact). No duplicates: an email already in use is refused (409); a same-named sponsor must be linked (e.g. the one Zoho synced in) or confirmed new. Decline needs a note and emails it. A request is decided once. tests/phase2-sponsor-requests.test.ts: form → queue → approve → Dana signs in as Harbor Coffee's SPONSOR_ADMIN, plus the refusals. The tenant sweep and the Zoho test cover it.</t>
        </is>
      </c>
    </row>
    <row r="78">
      <c r="A78" s="112" t="n">
        <v>14.5</v>
      </c>
      <c r="B78" s="113" t="inlineStr">
        <is>
          <t>2S1-FE-03</t>
        </is>
      </c>
      <c r="C78" s="85" t="n">
        <v>1</v>
      </c>
      <c r="D78" s="86" t="inlineStr">
        <is>
          <t>Sprint 1 · External property onboarding</t>
        </is>
      </c>
      <c r="E78" s="121" t="inlineStr">
        <is>
          <t>FE</t>
        </is>
      </c>
      <c r="F78" s="122" t="inlineStr">
        <is>
          <t>Code</t>
        </is>
      </c>
      <c r="G78" s="84" t="inlineStr">
        <is>
          <t>BTG's sponsor-request review screen</t>
        </is>
      </c>
      <c r="H78" s="116" t="inlineStr">
        <is>
          <t>BTG's queue of new sponsor requests: who is asking, their business type, their message and when they asked. BTG approves, which opens the account and emails a sign-in link, or declines with a note the sponsor reads. The screen shows whether the Zoho lead is already converted, so the sponsor isn't created twice.</t>
        </is>
      </c>
      <c r="I78" s="108" t="inlineStr">
        <is>
          <t>Done</t>
        </is>
      </c>
      <c r="J78" s="108" t="n">
        <v>3</v>
      </c>
      <c r="K78" s="109" t="inlineStr">
        <is>
          <t>2026-09-30</t>
        </is>
      </c>
      <c r="L78" s="109" t="n">
        <v>46296</v>
      </c>
      <c r="M78" s="110" t="inlineStr">
        <is>
          <t>rcfworks</t>
        </is>
      </c>
      <c r="N78" s="85" t="n"/>
      <c r="O78" s="84" t="inlineStr">
        <is>
          <t>2S1-BE-05</t>
        </is>
      </c>
      <c r="P78" s="84" t="inlineStr">
        <is>
          <t>BTG can review a sponsor's request, approve it (the sponsor can then sign in) or decline it with a reason, from the admin portal</t>
        </is>
      </c>
      <c r="Q78" s="86" t="inlineStr">
        <is>
          <t>Spec §10; walkthrough 2026-09-30</t>
        </is>
      </c>
      <c r="R78" s="111" t="inlineStr">
        <is>
          <t>Raised 2026-09-30 from the walkthrough (step 4b). | 2026-09-30: API built (2S1-BE-05). Waiting on the Claude Design SR-* artboards. | 2026-09-30: BUILT from Claude Design SponsorRequests.dc.html (SR-1…SR-8). /admin/sponsor-requests (Waiting / Approved / Declined tabs with counts) and /admin/sponsor-requests/[id]: the business and contact, what they told us, business-type chips (suggested one pre-picked), checks, the link-or-new choice, approve confirm, decline note, and after the decision the account's progress. The progress (email sent, signed in, who decided, business type) is read from the API, never assumed; an email not yet sent shows as queued. Menu item and admin-access for SUPER_ADMIN, BTG_ADMIN and SALES. Checked in a browser end to end (approve and decline). tests/sponsor-requests-live.test.ts; build, lint and tsc clean. The API gained `progress` on GET /sponsor-requests/:id (backend test extended).</t>
        </is>
      </c>
    </row>
    <row r="79">
      <c r="A79" s="112" t="n">
        <v>19.5</v>
      </c>
      <c r="B79" s="113" t="inlineStr">
        <is>
          <t>2S2-BE-05</t>
        </is>
      </c>
      <c r="C79" s="85" t="n">
        <v>2</v>
      </c>
      <c r="D79" s="86" t="inlineStr">
        <is>
          <t>Sprint 2 · Athlete &amp; team portals</t>
        </is>
      </c>
      <c r="E79" s="121" t="inlineStr">
        <is>
          <t>BE</t>
        </is>
      </c>
      <c r="F79" s="122" t="inlineStr">
        <is>
          <t>Code</t>
        </is>
      </c>
      <c r="G79" s="84" t="inlineStr">
        <is>
          <t>A team invites an athlete already on SponsorX</t>
        </is>
      </c>
      <c r="H79" s="116" t="inlineStr">
        <is>
          <t>A team invites an existing approved athlete with a proposed share; the athlete accepts or declines (nobody is linked without agreeing). Accepting links them at that share and ends the athlete's own listings (the team re-lists). Either side can end the link; past orders keep their split. 'Add a new athlete' stays for players not yet on SponsorX.</t>
        </is>
      </c>
      <c r="I79" s="108" t="inlineStr">
        <is>
          <t>Done</t>
        </is>
      </c>
      <c r="J79" s="108" t="n">
        <v>4</v>
      </c>
      <c r="K79" s="109" t="n">
        <v>46296</v>
      </c>
      <c r="L79" s="109" t="n">
        <v>46296</v>
      </c>
      <c r="M79" s="110" t="inlineStr">
        <is>
          <t>rcfworks</t>
        </is>
      </c>
      <c r="N79" s="85" t="inlineStr">
        <is>
          <t>2S2-FE-05</t>
        </is>
      </c>
      <c r="O79" s="84" t="inlineStr">
        <is>
          <t>2S2-BE-04, 2S3-BE-05</t>
        </is>
      </c>
      <c r="P79" s="84" t="inlineStr">
        <is>
          <t>A team can invite an existing approved athlete with a proposed share; the athlete can accept or decline; accepting links them at that share and ends their own listings; either side can end the link without changing past orders; nobody is linked without accepting; tenant and role tests cover it</t>
        </is>
      </c>
      <c r="Q79" s="86" t="inlineStr">
        <is>
          <t>Spec; user-flow review 2026-10-01</t>
        </is>
      </c>
      <c r="R79" s="111" t="inlineStr">
        <is>
          <t>Raised 2026-10-01 from the user-flow review (recommendations agreed; confirmation window set to 24 hours by the user). | Built and reviewed 2026-10-01; reviewer gap fixed (a team can lower, never raise, an accepted share). Own listings stop selling while on a team and sell again on leaving — definition updated to match.</t>
        </is>
      </c>
    </row>
    <row r="80">
      <c r="A80" s="112" t="n">
        <v>23.5</v>
      </c>
      <c r="B80" s="113" t="inlineStr">
        <is>
          <t>2S2-FE-05</t>
        </is>
      </c>
      <c r="C80" s="85" t="n">
        <v>2</v>
      </c>
      <c r="D80" s="86" t="inlineStr">
        <is>
          <t>Sprint 2 · Athlete &amp; team portals</t>
        </is>
      </c>
      <c r="E80" s="121" t="inlineStr">
        <is>
          <t>FE</t>
        </is>
      </c>
      <c r="F80" s="122" t="inlineStr">
        <is>
          <t>Code</t>
        </is>
      </c>
      <c r="G80" s="84" t="inlineStr">
        <is>
          <t>Team invitations and leaving a team, on screen</t>
        </is>
      </c>
      <c r="H80" s="116" t="inlineStr">
        <is>
          <t>Roster: invite an existing athlete (search, share, send), pending invitations, remove from roster. Athlete portal: the invitation with team, share and what joining means, Accept / Decline, and Leave team.</t>
        </is>
      </c>
      <c r="I80" s="108" t="inlineStr">
        <is>
          <t>Done</t>
        </is>
      </c>
      <c r="J80" s="108" t="n">
        <v>3</v>
      </c>
      <c r="K80" s="109" t="n">
        <v>46296</v>
      </c>
      <c r="L80" s="109" t="n">
        <v>46296</v>
      </c>
      <c r="M80" s="110" t="inlineStr">
        <is>
          <t>rcfworks</t>
        </is>
      </c>
      <c r="N80" s="85" t="n"/>
      <c r="O80" s="84" t="inlineStr">
        <is>
          <t>2S2-BE-05, 2S0-ART-01</t>
        </is>
      </c>
      <c r="P80" s="84" t="inlineStr">
        <is>
          <t>A team can invite an existing athlete and see the invitation's state; the athlete can accept, decline or later leave from their portal; a team can remove an athlete</t>
        </is>
      </c>
      <c r="Q80" s="86" t="inlineStr">
        <is>
          <t>Spec; user-flow review 2026-10-01</t>
        </is>
      </c>
      <c r="R80" s="111" t="inlineStr">
        <is>
          <t>Raised 2026-10-01 from the user-flow review (recommendations agreed; confirmation window set to 24 hours by the user). | Screen built 2026-10-01 on sample data at /athlete/team. Wiring waits on 2S2-BE-05. | Wired 2026-10-01: /athlete/team (accept, decline, leave) and the roster invite/withdraw/remove.</t>
        </is>
      </c>
    </row>
    <row r="81">
      <c r="A81" s="112" t="n">
        <v>34.3</v>
      </c>
      <c r="B81" s="113" t="inlineStr">
        <is>
          <t>2S4-BE-06</t>
        </is>
      </c>
      <c r="C81" s="85" t="n">
        <v>4</v>
      </c>
      <c r="D81" s="86" t="inlineStr">
        <is>
          <t>Sprint 4 · Cart, reservations &amp; orders</t>
        </is>
      </c>
      <c r="E81" s="121" t="inlineStr">
        <is>
          <t>BE</t>
        </is>
      </c>
      <c r="F81" s="122" t="inlineStr">
        <is>
          <t>Code</t>
        </is>
      </c>
      <c r="G81" s="84" t="inlineStr">
        <is>
          <t>Sellers see and are told about their sales</t>
        </is>
      </c>
      <c r="H81" s="116" t="inlineStr">
        <is>
          <t>The team manager and the athlete (or the athlete alone) read the order lines they sell: number, sponsor business, item, quantity, dates, status, their own share only. Emailed when a sale is approved and paid (optional heads-up when placed). The sponsor contact is visible once paid.</t>
        </is>
      </c>
      <c r="I81" s="108" t="inlineStr">
        <is>
          <t>Done</t>
        </is>
      </c>
      <c r="J81" s="108" t="n">
        <v>3</v>
      </c>
      <c r="K81" s="109" t="n">
        <v>46296</v>
      </c>
      <c r="L81" s="109" t="n">
        <v>46296</v>
      </c>
      <c r="M81" s="110" t="inlineStr">
        <is>
          <t>rcfworks</t>
        </is>
      </c>
      <c r="N81" s="85" t="inlineStr">
        <is>
          <t>2S4-BE-07, 2S4-FE-03</t>
        </is>
      </c>
      <c r="O81" s="84" t="inlineStr">
        <is>
          <t>2S4-BE-03, 2S5-BE-02</t>
        </is>
      </c>
      <c r="P81" s="84" t="inlineStr">
        <is>
          <t>A seller can read only the order lines they sell, with their own share and no one else's; they are emailed when a sale is approved and paid; the sponsor contact appears only once paid; a seller can never read another seller's lines or another tenant's orders (tenant and role tests)</t>
        </is>
      </c>
      <c r="Q81" s="86" t="inlineStr">
        <is>
          <t>Spec; user-flow review 2026-10-01</t>
        </is>
      </c>
      <c r="R81" s="111" t="inlineStr">
        <is>
          <t>Raised 2026-10-01 from the user-flow review (recommendations agreed; confirmation window set to 24 hours by the user). | Built and independently reviewed 2026-10-01: GET /sales, own share only, sponsor contact once paid, emails per sale.</t>
        </is>
      </c>
    </row>
    <row r="82">
      <c r="A82" s="112" t="n">
        <v>34.6</v>
      </c>
      <c r="B82" s="113" t="inlineStr">
        <is>
          <t>2S4-BE-07</t>
        </is>
      </c>
      <c r="C82" s="85" t="n">
        <v>4</v>
      </c>
      <c r="D82" s="86" t="inlineStr">
        <is>
          <t>Sprint 4 · Cart, reservations &amp; orders</t>
        </is>
      </c>
      <c r="E82" s="121" t="inlineStr">
        <is>
          <t>BE</t>
        </is>
      </c>
      <c r="F82" s="122" t="inlineStr">
        <is>
          <t>Code</t>
        </is>
      </c>
      <c r="G82" s="84" t="inlineStr">
        <is>
          <t>The seller marks it delivered; the sponsor confirms within 24 hours</t>
        </is>
      </c>
      <c r="H82" s="116" t="inlineStr">
        <is>
          <t>Per order line: paid → In delivery automatically; the seller marks it delivered with a note (proof optional); the sponsor confirms or reports a problem, and silence for 24 HOURS confirms. Only confirmed lines are payable (after the holding period). A problem holds that line's payout until BTG confirms delivery or cancels and refunds.</t>
        </is>
      </c>
      <c r="I82" s="108" t="inlineStr">
        <is>
          <t>Done</t>
        </is>
      </c>
      <c r="J82" s="108" t="n">
        <v>5</v>
      </c>
      <c r="K82" s="109" t="n">
        <v>46296</v>
      </c>
      <c r="L82" s="109" t="n">
        <v>46296</v>
      </c>
      <c r="M82" s="110" t="inlineStr">
        <is>
          <t>rcfworks</t>
        </is>
      </c>
      <c r="N82" s="85" t="inlineStr">
        <is>
          <t>2S4-BE-08, 2S4-FE-04</t>
        </is>
      </c>
      <c r="O82" s="84" t="inlineStr">
        <is>
          <t>2S4-BE-06, 2S5-BE-04</t>
        </is>
      </c>
      <c r="P82" s="84" t="inlineStr">
        <is>
          <t>A seller can mark only their own lines delivered, with a note; the sponsor can confirm or report a problem, and silence for 24 hours confirms; only confirmed lines can be paid out; a reported problem holds that line's payout until BTG resolves it; the order is delivered when all its lines are</t>
        </is>
      </c>
      <c r="Q82" s="86" t="inlineStr">
        <is>
          <t>Spec; user-flow review 2026-10-01</t>
        </is>
      </c>
      <c r="R82" s="111" t="inlineStr">
        <is>
          <t>Raised 2026-10-01 from the user-flow review (recommendations agreed; confirmation window set to 24 hours by the user). | Built and reviewed 2026-10-01; reviewer gap fixed (a manual FULFILLED is refused over an unsettled line). 24h window server-side; silence confirms (worker); BTG resolves on the issues desk.</t>
        </is>
      </c>
    </row>
    <row r="83">
      <c r="A83" s="112" t="n">
        <v>34.8</v>
      </c>
      <c r="B83" s="113" t="inlineStr">
        <is>
          <t>2S4-BE-08</t>
        </is>
      </c>
      <c r="C83" s="85" t="n">
        <v>4</v>
      </c>
      <c r="D83" s="86" t="inlineStr">
        <is>
          <t>Sprint 4 · Cart, reservations &amp; orders</t>
        </is>
      </c>
      <c r="E83" s="121" t="inlineStr">
        <is>
          <t>BE</t>
        </is>
      </c>
      <c r="F83" s="122" t="inlineStr">
        <is>
          <t>Code</t>
        </is>
      </c>
      <c r="G83" s="84" t="inlineStr">
        <is>
          <t>Delivery reminders and automatic close</t>
        </is>
      </c>
      <c r="H83" s="116" t="inlineStr">
        <is>
          <t>A daily job: reminds a seller the day after a line's last date if it isn't marked delivered, and lists overdue lines for BTG; closes an order automatically 30 days after its last line is confirmed, releasing the reserve. BTG can still close early by hand.</t>
        </is>
      </c>
      <c r="I83" s="108" t="inlineStr">
        <is>
          <t>Done</t>
        </is>
      </c>
      <c r="J83" s="108" t="n">
        <v>2</v>
      </c>
      <c r="K83" s="109" t="n">
        <v>46296</v>
      </c>
      <c r="L83" s="109" t="n">
        <v>46296</v>
      </c>
      <c r="M83" s="110" t="inlineStr">
        <is>
          <t>rcfworks</t>
        </is>
      </c>
      <c r="N83" s="85" t="inlineStr">
        <is>
          <t>2S4-FE-04</t>
        </is>
      </c>
      <c r="O83" s="84" t="inlineStr">
        <is>
          <t>2S4-BE-07</t>
        </is>
      </c>
      <c r="P83" s="84" t="inlineStr">
        <is>
          <t>Overdue lines remind the seller once and appear in BTG's list; an order closes itself 30 days after its last line is confirmed and its reserve becomes payable; running the job twice changes nothing</t>
        </is>
      </c>
      <c r="Q83" s="86" t="inlineStr">
        <is>
          <t>Spec; user-flow review 2026-10-01</t>
        </is>
      </c>
      <c r="R83" s="111" t="inlineStr">
        <is>
          <t>Raised 2026-10-01 from the user-flow review (recommendations agreed; confirmation window set to 24 hours by the user). | Built and reviewed 2026-10-01: overdue reminders once, auto-close 30 days after confirmation, both idempotent.</t>
        </is>
      </c>
    </row>
    <row r="84">
      <c r="A84" s="112" t="n">
        <v>36.3</v>
      </c>
      <c r="B84" s="113" t="inlineStr">
        <is>
          <t>2S4-FE-03</t>
        </is>
      </c>
      <c r="C84" s="85" t="n">
        <v>4</v>
      </c>
      <c r="D84" s="86" t="inlineStr">
        <is>
          <t>Sprint 4 · Cart, reservations &amp; orders</t>
        </is>
      </c>
      <c r="E84" s="121" t="inlineStr">
        <is>
          <t>FE</t>
        </is>
      </c>
      <c r="F84" s="122" t="inlineStr">
        <is>
          <t>Code</t>
        </is>
      </c>
      <c r="G84" s="84" t="inlineStr">
        <is>
          <t>The seller's Orders page</t>
        </is>
      </c>
      <c r="H84" s="116" t="inlineStr">
        <is>
          <t>Orders page in the athlete and team portals: each sale with number, sponsor business, item, dates, status and the seller's own share; the sponsor contact once paid; each line's delivery state.</t>
        </is>
      </c>
      <c r="I84" s="108" t="inlineStr">
        <is>
          <t>Done</t>
        </is>
      </c>
      <c r="J84" s="108" t="n">
        <v>3</v>
      </c>
      <c r="K84" s="109" t="n">
        <v>46296</v>
      </c>
      <c r="L84" s="109" t="n">
        <v>46296</v>
      </c>
      <c r="M84" s="110" t="inlineStr">
        <is>
          <t>rcfworks</t>
        </is>
      </c>
      <c r="N84" s="85" t="n"/>
      <c r="O84" s="84" t="inlineStr">
        <is>
          <t>2S4-BE-06, 2S0-ART-01</t>
        </is>
      </c>
      <c r="P84" s="84" t="inlineStr">
        <is>
          <t>An athlete and a team each see their own sales with their own share, and the sponsor contact once paid</t>
        </is>
      </c>
      <c r="Q84" s="86" t="inlineStr">
        <is>
          <t>Spec; user-flow review 2026-10-01</t>
        </is>
      </c>
      <c r="R84" s="111" t="inlineStr">
        <is>
          <t>Raised 2026-10-01 from the user-flow review (recommendations agreed; confirmation window set to 24 hours by the user). | Screens built 2026-10-01 on sample data at /athlete/sales and /property/sales. Wiring waits on 2S4-BE-06 (sellers can't read marketplace orders yet). | Wired 2026-10-01: /athlete/sales and /property/sales.</t>
        </is>
      </c>
    </row>
    <row r="85">
      <c r="A85" s="112" t="n">
        <v>36.6</v>
      </c>
      <c r="B85" s="113" t="inlineStr">
        <is>
          <t>2S4-FE-04</t>
        </is>
      </c>
      <c r="C85" s="85" t="n">
        <v>4</v>
      </c>
      <c r="D85" s="86" t="inlineStr">
        <is>
          <t>Sprint 4 · Cart, reservations &amp; orders</t>
        </is>
      </c>
      <c r="E85" s="121" t="inlineStr">
        <is>
          <t>FE</t>
        </is>
      </c>
      <c r="F85" s="122" t="inlineStr">
        <is>
          <t>Code</t>
        </is>
      </c>
      <c r="G85" s="84" t="inlineStr">
        <is>
          <t>Delivery on screen: mark delivered, confirm, resolve</t>
        </is>
      </c>
      <c r="H85" s="116" t="inlineStr">
        <is>
          <t>Seller: Mark delivered with note and optional proof. Sponsor: 'Riley says this was delivered' with Confirm / Report a problem and the time left (24 hours). BTG: reported problems queue (confirm delivered / cancel and refund) and overdue list.</t>
        </is>
      </c>
      <c r="I85" s="108" t="inlineStr">
        <is>
          <t>Done</t>
        </is>
      </c>
      <c r="J85" s="108" t="n">
        <v>4</v>
      </c>
      <c r="K85" s="109" t="n">
        <v>46296</v>
      </c>
      <c r="L85" s="109" t="n">
        <v>46296</v>
      </c>
      <c r="M85" s="110" t="inlineStr">
        <is>
          <t>rcfworks</t>
        </is>
      </c>
      <c r="N85" s="85" t="n"/>
      <c r="O85" s="84" t="inlineStr">
        <is>
          <t>2S4-BE-07, 2S4-BE-08, 2S0-ART-01</t>
        </is>
      </c>
      <c r="P85" s="84" t="inlineStr">
        <is>
          <t>A seller can mark a line delivered; the sponsor can confirm it or report a problem within 24 hours; BTG can resolve a problem and see overdue lines</t>
        </is>
      </c>
      <c r="Q85" s="86" t="inlineStr">
        <is>
          <t>Spec; user-flow review 2026-10-01</t>
        </is>
      </c>
      <c r="R85" s="111" t="inlineStr">
        <is>
          <t>Raised 2026-10-01 from the user-flow review (recommendations agreed; confirmation window set to 24 hours by the user). | Screens built 2026-10-01 on sample data: the seller's Mark delivered dialog and BTG's /admin/delivery-issues. Wiring waits on 2S4-BE-07; the sponsor's confirm screen isn't built yet. | Wired 2026-10-01: seller Mark delivered, the sponsor confirm/report screen with the 24h countdown, BTG /admin/delivery-issues.</t>
        </is>
      </c>
    </row>
    <row r="86">
      <c r="A86" s="112" t="n">
        <v>12.6</v>
      </c>
      <c r="B86" s="113" t="inlineStr">
        <is>
          <t>2S1-BE-06</t>
        </is>
      </c>
      <c r="C86" s="85" t="n">
        <v>1</v>
      </c>
      <c r="D86" s="86" t="inlineStr">
        <is>
          <t>Sprint 1 · External property onboarding</t>
        </is>
      </c>
      <c r="E86" s="121" t="inlineStr">
        <is>
          <t>BE</t>
        </is>
      </c>
      <c r="F86" s="122" t="inlineStr">
        <is>
          <t>Code</t>
        </is>
      </c>
      <c r="G86" s="84" t="inlineStr">
        <is>
          <t>Organizations are approved automatically; BTG reviews afterwards</t>
        </is>
      </c>
      <c r="H86" s="116" t="inlineStr">
        <is>
          <t>Checklist ticks itself from the required documents per type and state; contact confirms their email; the name is unique platform-wide (ignoring case, spaces, punctuation, 'The', LLC/Inc) and enforced by the database. All ticked → approved and login created; otherwise BTG's queue with the reason shown. BTG admins emailed for every new organization with a profile link; Reject (reason emailed) withdraws login and listing access, ends listings, holds payouts; Reinstate possible.</t>
        </is>
      </c>
      <c r="I86" s="108" t="inlineStr">
        <is>
          <t>Done</t>
        </is>
      </c>
      <c r="J86" s="108" t="n">
        <v>5</v>
      </c>
      <c r="K86" s="109" t="n">
        <v>46296</v>
      </c>
      <c r="L86" s="109" t="n">
        <v>46296</v>
      </c>
      <c r="M86" s="110" t="inlineStr">
        <is>
          <t>rcfworks</t>
        </is>
      </c>
      <c r="N86" s="85" t="inlineStr">
        <is>
          <t>2S1-BE-07, 2S1-FE-04, 2S1-FE-05</t>
        </is>
      </c>
      <c r="O86" s="84" t="inlineStr">
        <is>
          <t>2S1-BE-03, 2S1-BE-04</t>
        </is>
      </c>
      <c r="P86" s="84" t="inlineStr">
        <is>
          <t>An organization with every required document, a confirmed contact email and a unique name is approved without BTG; a duplicate name (after normalising) is refused, even between two applications at once; anything incomplete goes to BTG's queue with the reason shown to the applicant; BTG admins are emailed for each new organization with a link to its profile; Reject withdraws access, ends listings, holds payouts and emails the reason; tenant and role tests cover it</t>
        </is>
      </c>
      <c r="Q86" s="86" t="inlineStr">
        <is>
          <t>Spec §3, §12; BTG admin review 2026-10-01</t>
        </is>
      </c>
      <c r="R86" s="111" t="inlineStr">
        <is>
          <t>Raised 2026-10-01 from the BTG admin review: one BTG reviewer at most, so the system approves and BTG checks afterwards (agreed with the user). | Built and independently reviewed 2026-10-01: automatic approval, DB-enforced unique name (manual approval checks it too), BTG emailed a profile link, Reject/Reinstate.</t>
        </is>
      </c>
    </row>
    <row r="87">
      <c r="A87" s="112" t="n">
        <v>12.7</v>
      </c>
      <c r="B87" s="113" t="inlineStr">
        <is>
          <t>2S1-BE-07</t>
        </is>
      </c>
      <c r="C87" s="85" t="n">
        <v>1</v>
      </c>
      <c r="D87" s="86" t="inlineStr">
        <is>
          <t>Sprint 1 · External property onboarding</t>
        </is>
      </c>
      <c r="E87" s="121" t="inlineStr">
        <is>
          <t>BE</t>
        </is>
      </c>
      <c r="F87" s="122" t="inlineStr">
        <is>
          <t>Code</t>
        </is>
      </c>
      <c r="G87" s="84" t="inlineStr">
        <is>
          <t>Organizations update their documents after approval</t>
        </is>
      </c>
      <c r="H87" s="116" t="inlineStr">
        <is>
          <t>An approved organization replaces or adds documents from its portal; each change re-runs the checklist, keeps the previous file, and emails BTG admins a profile link; a required document removed without replacement flags the organization (no automatic suspension).</t>
        </is>
      </c>
      <c r="I87" s="108" t="inlineStr">
        <is>
          <t>Done</t>
        </is>
      </c>
      <c r="J87" s="108" t="n">
        <v>2</v>
      </c>
      <c r="K87" s="109" t="n">
        <v>46296</v>
      </c>
      <c r="L87" s="109" t="n">
        <v>46296</v>
      </c>
      <c r="M87" s="110" t="inlineStr">
        <is>
          <t>rcfworks</t>
        </is>
      </c>
      <c r="N87" s="85" t="inlineStr">
        <is>
          <t>2S1-FE-04</t>
        </is>
      </c>
      <c r="O87" s="84" t="inlineStr">
        <is>
          <t>2S1-BE-02, 2S1-BE-06</t>
        </is>
      </c>
      <c r="P87" s="84" t="inlineStr">
        <is>
          <t>An approved organization can replace or add documents; each change re-runs the checklist, keeps the previous file and emails BTG admins a link; a missing required document flags the organization for BTG; only the organization's own manager can change its documents</t>
        </is>
      </c>
      <c r="Q87" s="86" t="inlineStr">
        <is>
          <t>Spec §3, §12; BTG admin review 2026-10-01</t>
        </is>
      </c>
      <c r="R87" s="111" t="inlineStr">
        <is>
          <t>Raised 2026-10-01 from the BTG admin review: one BTG reviewer at most, so the system approves and BTG checks afterwards (agreed with the user). | Built and reviewed 2026-10-01: /property/documents API; earlier files kept; BTG told; listings stay live.</t>
        </is>
      </c>
    </row>
    <row r="88">
      <c r="A88" s="112" t="n">
        <v>12.8</v>
      </c>
      <c r="B88" s="113" t="inlineStr">
        <is>
          <t>2S1-BE-08</t>
        </is>
      </c>
      <c r="C88" s="85" t="n">
        <v>1</v>
      </c>
      <c r="D88" s="86" t="inlineStr">
        <is>
          <t>Sprint 1 · External property onboarding</t>
        </is>
      </c>
      <c r="E88" s="121" t="inlineStr">
        <is>
          <t>BE</t>
        </is>
      </c>
      <c r="F88" s="122" t="inlineStr">
        <is>
          <t>Code</t>
        </is>
      </c>
      <c r="G88" s="84" t="inlineStr">
        <is>
          <t>AGENCY as an organization type</t>
        </is>
      </c>
      <c r="H88" s="116" t="inlineStr">
        <is>
          <t>Add AGENCY (athlete management / talent agency). Documents: business registration in every state, contact identity, proof it represents its athletes. Roster and agreed share like a team; works in onboarding, property records, commission rules by property kind, search and filters.</t>
        </is>
      </c>
      <c r="I88" s="108" t="inlineStr">
        <is>
          <t>Done</t>
        </is>
      </c>
      <c r="J88" s="108" t="n">
        <v>2</v>
      </c>
      <c r="K88" s="109" t="n">
        <v>46296</v>
      </c>
      <c r="L88" s="109" t="n">
        <v>46296</v>
      </c>
      <c r="M88" s="110" t="inlineStr">
        <is>
          <t>rcfworks</t>
        </is>
      </c>
      <c r="N88" s="85" t="inlineStr">
        <is>
          <t>2S1-FE-04</t>
        </is>
      </c>
      <c r="O88" s="84" t="inlineStr">
        <is>
          <t>2S1-BE-01</t>
        </is>
      </c>
      <c r="P88" s="84" t="inlineStr">
        <is>
          <t>An agency can apply, is held to its own document list, can hold a roster and an agreed share, and can be targeted by commission rules like any other organization type</t>
        </is>
      </c>
      <c r="Q88" s="86" t="inlineStr">
        <is>
          <t>Spec §3, §12; BTG admin review 2026-10-01</t>
        </is>
      </c>
      <c r="R88" s="111" t="inlineStr">
        <is>
          <t>Raised 2026-10-01 from the BTG admin review: one BTG reviewer at most, so the system approves and BTG checks afterwards (agreed with the user). | Built and reviewed 2026-10-01. Representation agreement included as AGENCY proof — not yet confirmed by the owner.</t>
        </is>
      </c>
    </row>
    <row r="89">
      <c r="A89" s="112" t="n">
        <v>14.6</v>
      </c>
      <c r="B89" s="113" t="inlineStr">
        <is>
          <t>2S1-FE-04</t>
        </is>
      </c>
      <c r="C89" s="85" t="n">
        <v>1</v>
      </c>
      <c r="D89" s="86" t="inlineStr">
        <is>
          <t>Sprint 1 · External property onboarding</t>
        </is>
      </c>
      <c r="E89" s="121" t="inlineStr">
        <is>
          <t>FE</t>
        </is>
      </c>
      <c r="F89" s="122" t="inlineStr">
        <is>
          <t>Code</t>
        </is>
      </c>
      <c r="G89" s="84" t="inlineStr">
        <is>
          <t>The applicant's checklist and the documents page</t>
        </is>
      </c>
      <c r="H89" s="116" t="inlineStr">
        <is>
          <t>Wizard: live checklist of required documents, email confirmation step, 'name already registered' message, AGENCY type. Property portal: Documents page to replace or add files, with status and history.</t>
        </is>
      </c>
      <c r="I89" s="108" t="inlineStr">
        <is>
          <t>Done</t>
        </is>
      </c>
      <c r="J89" s="108" t="n">
        <v>3</v>
      </c>
      <c r="K89" s="109" t="n">
        <v>46296</v>
      </c>
      <c r="L89" s="109" t="n">
        <v>46296</v>
      </c>
      <c r="M89" s="110" t="inlineStr">
        <is>
          <t>rcfworks</t>
        </is>
      </c>
      <c r="N89" s="85" t="n"/>
      <c r="O89" s="84" t="inlineStr">
        <is>
          <t>2S1-BE-06, 2S1-BE-07, 2S1-BE-08, 2S0-ART-01</t>
        </is>
      </c>
      <c r="P89" s="84" t="inlineStr">
        <is>
          <t>An applicant sees exactly what is still missing and is approved when nothing is; an approved organization can replace or add its documents from its portal</t>
        </is>
      </c>
      <c r="Q89" s="86" t="inlineStr">
        <is>
          <t>Spec §3, §12; BTG admin review 2026-10-01</t>
        </is>
      </c>
      <c r="R89" s="111" t="inlineStr">
        <is>
          <t>Raised 2026-10-01 from the BTG admin review: one BTG reviewer at most, so the system approves and BTG checks afterwards (agreed with the user). | Screens built 2026-10-01 on sample data: /property/documents. Wiring waits on 2S1-BE-07 (a property reads and replaces its own documents). | Wired 2026-10-01: wizard checklist, /onboarding/confirm, /property/documents live.</t>
        </is>
      </c>
    </row>
    <row r="90">
      <c r="A90" s="112" t="n">
        <v>14.7</v>
      </c>
      <c r="B90" s="113" t="inlineStr">
        <is>
          <t>2S1-FE-05</t>
        </is>
      </c>
      <c r="C90" s="85" t="n">
        <v>1</v>
      </c>
      <c r="D90" s="86" t="inlineStr">
        <is>
          <t>Sprint 1 · External property onboarding</t>
        </is>
      </c>
      <c r="E90" s="121" t="inlineStr">
        <is>
          <t>FE</t>
        </is>
      </c>
      <c r="F90" s="122" t="inlineStr">
        <is>
          <t>Code</t>
        </is>
      </c>
      <c r="G90" s="84" t="inlineStr">
        <is>
          <t>BTG's organization profile page with Reject</t>
        </is>
      </c>
      <c r="H90" s="116" t="inlineStr">
        <is>
          <t>The page the BTG email links to: details, documents, the checklist as approved, activity; Reject (required reason, emailed) and Reinstate; an 'Automatically approved' list for spot checks.</t>
        </is>
      </c>
      <c r="I90" s="108" t="inlineStr">
        <is>
          <t>Done</t>
        </is>
      </c>
      <c r="J90" s="108" t="n">
        <v>2</v>
      </c>
      <c r="K90" s="109" t="n">
        <v>46296</v>
      </c>
      <c r="L90" s="109" t="n">
        <v>46296</v>
      </c>
      <c r="M90" s="110" t="inlineStr">
        <is>
          <t>rcfworks</t>
        </is>
      </c>
      <c r="N90" s="85" t="n"/>
      <c r="O90" s="84" t="inlineStr">
        <is>
          <t>2S1-BE-06, 2S1-BE-07, 2S0-ART-01</t>
        </is>
      </c>
      <c r="P90" s="84" t="inlineStr">
        <is>
          <t>From the emailed link, a BTG admin can review an automatically approved organization and reject it with a reason, or reinstate it; recent automatic approvals are listed for spot checks</t>
        </is>
      </c>
      <c r="Q90" s="86" t="inlineStr">
        <is>
          <t>Spec §3, §12; BTG admin review 2026-10-01</t>
        </is>
      </c>
      <c r="R90" s="111" t="inlineStr">
        <is>
          <t>Raised 2026-10-01 from the BTG admin review: one BTG reviewer at most, so the system approves and BTG checks afterwards (agreed with the user). | Built 2026-10-01 into /admin/onboarding/[id]: profile, 5-minute document links, activity, Reject/Reinstate; Approved automatically and Flagged tabs.</t>
        </is>
      </c>
    </row>
    <row r="91">
      <c r="A91" s="112" t="n">
        <v>12.85</v>
      </c>
      <c r="B91" s="113" t="inlineStr">
        <is>
          <t>2S1-BE-09</t>
        </is>
      </c>
      <c r="C91" s="85" t="n">
        <v>1</v>
      </c>
      <c r="D91" s="86" t="inlineStr">
        <is>
          <t>Sprint 1 · External property onboarding</t>
        </is>
      </c>
      <c r="E91" s="121" t="inlineStr">
        <is>
          <t>BE</t>
        </is>
      </c>
      <c r="F91" s="122" t="inlineStr">
        <is>
          <t>Code</t>
        </is>
      </c>
      <c r="G91" s="84" t="inlineStr">
        <is>
          <t>Adult athletes are approved automatically</t>
        </is>
      </c>
      <c r="H91" s="116" t="inlineStr">
        <is>
          <t>Complete application (date of birth required), government ID, email confirmed, no likely duplicate (email, or name + date of birth) → approved; duplicates to BTG's queue. BTG emailed with a New sign-ups link; Reject/Reinstate. IDs in the private bucket, BTG-only 5-minute audited views.</t>
        </is>
      </c>
      <c r="I91" s="108" t="inlineStr">
        <is>
          <t>Done</t>
        </is>
      </c>
      <c r="J91" s="108" t="n">
        <v>4</v>
      </c>
      <c r="K91" s="109" t="n">
        <v>46296</v>
      </c>
      <c r="L91" s="109" t="n">
        <v>46296</v>
      </c>
      <c r="M91" s="110" t="inlineStr">
        <is>
          <t>rcfworks</t>
        </is>
      </c>
      <c r="N91" s="85" t="inlineStr">
        <is>
          <t>2S1-BE-10, 2S1-FE-06, 2S1-FE-07</t>
        </is>
      </c>
      <c r="O91" s="84" t="inlineStr">
        <is>
          <t>2S1-BE-06, P3-BE-15</t>
        </is>
      </c>
      <c r="P91" s="84" t="inlineStr">
        <is>
          <t>An adult with a complete application, a government ID and a confirmed email who is not a likely duplicate is approved and can sign in without BTG; a likely duplicate goes to BTG's queue; BTG admins are emailed for each; Reject withdraws access, ends listings, holds payouts and emails the reason; ID files are viewable only by BTG admins through short-lived, audited links</t>
        </is>
      </c>
      <c r="Q91" s="86" t="inlineStr">
        <is>
          <t>Spec §4, §26, §37; BTG admin review 2026-10-01</t>
        </is>
      </c>
      <c r="R91" s="111" t="inlineStr">
        <is>
          <t>Raised 2026-10-01 from the BTG admin review (one BTG reviewer, so automate and check afterwards). Decisions: age of majority by state/country; minors use a school ID; guardian acts for minors; 30-day file retention; 90-day coming-of-age allowance. | Built and independently reviewed 2026-10-01: adults approved automatically (ID, email, DOB, duplicate check), BTG emailed, Reject/Reinstate, 5-minute audited ID links.</t>
        </is>
      </c>
    </row>
    <row r="92">
      <c r="A92" s="112" t="n">
        <v>12.86</v>
      </c>
      <c r="B92" s="113" t="inlineStr">
        <is>
          <t>2S1-BE-10</t>
        </is>
      </c>
      <c r="C92" s="85" t="n">
        <v>1</v>
      </c>
      <c r="D92" s="86" t="inlineStr">
        <is>
          <t>Sprint 1 · External property onboarding</t>
        </is>
      </c>
      <c r="E92" s="121" t="inlineStr">
        <is>
          <t>BE</t>
        </is>
      </c>
      <c r="F92" s="122" t="inlineStr">
        <is>
          <t>Code</t>
        </is>
      </c>
      <c r="G92" s="84" t="inlineStr">
        <is>
          <t>Minors: the guardian's page, documents and automatic approval</t>
        </is>
      </c>
      <c r="H92" s="116" t="inlineStr">
        <is>
          <t>Guardian's own page: details, government ID, proof of guardianship, guardian agreement; guardian and minor both confirm email; minor uploads a school ID. Then both approved automatically. One guardian, several athletes. Rejecting a guardian rejects all their athletes, not the reverse. Staff-confirmation setting for a later legal answer.</t>
        </is>
      </c>
      <c r="I92" s="108" t="inlineStr">
        <is>
          <t>Done</t>
        </is>
      </c>
      <c r="J92" s="108" t="n">
        <v>5</v>
      </c>
      <c r="K92" s="109" t="n">
        <v>46296</v>
      </c>
      <c r="L92" s="109" t="n">
        <v>46296</v>
      </c>
      <c r="M92" s="110" t="inlineStr">
        <is>
          <t>rcfworks</t>
        </is>
      </c>
      <c r="N92" s="85" t="inlineStr">
        <is>
          <t>2S1-BE-11, 2S1-BE-12, 2S1-FE-06, 2S1-FE-07</t>
        </is>
      </c>
      <c r="O92" s="84" t="inlineStr">
        <is>
          <t>2S1-BE-09, P3-BE-15</t>
        </is>
      </c>
      <c r="P92" s="84" t="inlineStr">
        <is>
          <t>A minor and their guardian are approved without BTG once both emails are confirmed, the guardian's ID and proof of guardianship and the minor's ID are uploaded and the guardian agreement is accepted; a guardian can have several athletes; rejecting a guardian rejects all their athletes, and rejecting an athlete does not reject the guardian; the staff-confirmation setting holds minors for BTG when switched on</t>
        </is>
      </c>
      <c r="Q92" s="86" t="inlineStr">
        <is>
          <t>Spec §4, §26, §37; BTG admin review 2026-10-01</t>
        </is>
      </c>
      <c r="R92"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review fixes: proof of guardianship per child (AccountDocument.wardId), and a guardian verified through one child waits for each other child own proof and agreement (tests/phase2-sibling-guardian).</t>
        </is>
      </c>
    </row>
    <row r="93">
      <c r="A93" s="112" t="n">
        <v>12.87</v>
      </c>
      <c r="B93" s="113" t="inlineStr">
        <is>
          <t>2S1-BE-11</t>
        </is>
      </c>
      <c r="C93" s="85" t="n">
        <v>1</v>
      </c>
      <c r="D93" s="86" t="inlineStr">
        <is>
          <t>Sprint 1 · External property onboarding</t>
        </is>
      </c>
      <c r="E93" s="121" t="inlineStr">
        <is>
          <t>BE</t>
        </is>
      </c>
      <c r="F93" s="122" t="inlineStr">
        <is>
          <t>Code</t>
        </is>
      </c>
      <c r="G93" s="84" t="inlineStr">
        <is>
          <t>The guardian acts for the minor</t>
        </is>
      </c>
      <c r="H93" s="116" t="inlineStr">
        <is>
          <t>For a minor every agreement and money action comes from the guardian's account (offers, orders, listings, payout account in the guardian's name, payout requests); the minor's login views and uploads content, and each upload emails the guardian.</t>
        </is>
      </c>
      <c r="I93" s="108" t="inlineStr">
        <is>
          <t>Done</t>
        </is>
      </c>
      <c r="J93" s="108" t="n">
        <v>5</v>
      </c>
      <c r="K93" s="109" t="n">
        <v>46296</v>
      </c>
      <c r="L93" s="109" t="n">
        <v>46296</v>
      </c>
      <c r="M93" s="110" t="inlineStr">
        <is>
          <t>rcfworks</t>
        </is>
      </c>
      <c r="N93" s="85" t="inlineStr">
        <is>
          <t>2S1-FE-08</t>
        </is>
      </c>
      <c r="O93" s="84" t="inlineStr">
        <is>
          <t>2S1-BE-10, 2S5-BE-04</t>
        </is>
      </c>
      <c r="P93" s="84" t="inlineStr">
        <is>
          <t>For a minor, only the guardian can accept, list, set up payouts or request a payout, and the minor's login is refused for each (tested route by route); the minor can upload content and the guardian is emailed for every upload; an adult's account is unaffected</t>
        </is>
      </c>
      <c r="Q93" s="86" t="inlineStr">
        <is>
          <t>Spec §4, §26, §37; BTG admin review 2026-10-01</t>
        </is>
      </c>
      <c r="R93"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the guardian acts for the ward (x-sponsorx-ward); the minor own login is refused every agreement and money write; guardian emailed on each upload.</t>
        </is>
      </c>
    </row>
    <row r="94">
      <c r="A94" s="112" t="n">
        <v>12.88</v>
      </c>
      <c r="B94" s="113" t="inlineStr">
        <is>
          <t>2S1-BE-12</t>
        </is>
      </c>
      <c r="C94" s="85" t="n">
        <v>1</v>
      </c>
      <c r="D94" s="86" t="inlineStr">
        <is>
          <t>Sprint 1 · External property onboarding</t>
        </is>
      </c>
      <c r="E94" s="121" t="inlineStr">
        <is>
          <t>BE</t>
        </is>
      </c>
      <c r="F94" s="122" t="inlineStr">
        <is>
          <t>Code</t>
        </is>
      </c>
      <c r="G94" s="84" t="inlineStr">
        <is>
          <t>Age of majority by state and country, and coming of age</t>
        </is>
      </c>
      <c r="H94" s="116" t="inlineStr">
        <is>
          <t>Editable table (most states 18; AL, NE 19; MS 21; countries added); unknown place counts as 18 and is flagged; re-checked on a move. Coming of age: 90-day allowance. During it, neither athlete nor guardian can add items or start new transactions; existing orders and campaigns continue. Persistent reminder on both portals; reminder emails at the start and 30, 14, 7 and 1 days before the end. Government ID uploaded → control moves to the athlete. Not done in 90 days → both accounts terminated (only the guardian's link ends if they have other minors), under the 30-day retention and reactivation rules; in-flight items go to BTG and earned money stays owed.</t>
        </is>
      </c>
      <c r="I94" s="108" t="inlineStr">
        <is>
          <t>Done</t>
        </is>
      </c>
      <c r="J94" s="108" t="n">
        <v>4</v>
      </c>
      <c r="K94" s="109" t="n">
        <v>46296</v>
      </c>
      <c r="L94" s="109" t="n">
        <v>46296</v>
      </c>
      <c r="M94" s="110" t="inlineStr">
        <is>
          <t>rcfworks</t>
        </is>
      </c>
      <c r="N94" s="85" t="inlineStr">
        <is>
          <t>2S1-FE-08</t>
        </is>
      </c>
      <c r="O94" s="84" t="inlineStr">
        <is>
          <t>2S1-BE-10</t>
        </is>
      </c>
      <c r="P94" s="84" t="inlineStr">
        <is>
          <t>Adulthood follows the athlete's state or country, from the date of birth, using the editable table; an unknown place counts as 18 and is flagged; during the 90-day allowance neither the athlete nor the guardian can add items or start a new transaction while existing orders and campaigns continue, a reminder persists on both portals, and reminder emails go out at the start and 30, 14, 7 and 1 days before the end; uploading a government ID moves control from the guardian to the athlete; if it isn't done in 90 days both accounts are terminated (only the guardian's link ends when they have other minors), under the 30-day retention and reactivation rules</t>
        </is>
      </c>
      <c r="Q94" s="86" t="inlineStr">
        <is>
          <t>Spec §4, §26, §37; BTG admin review 2026-10-01</t>
        </is>
      </c>
      <c r="R94" s="111" t="inlineStr">
        <is>
          <t>Raised 2026-10-01 from the BTG admin review (one BTG reviewer, so automate and check afterwards). Decisions: age of majority by state/country; minors use a school ID; guardian acts for minors; 30-day file retention; 90-day coming-of-age allowance. | 2026-10-01: user set the 90-day rules: no new items or transactions during it, existing orders and campaigns continue, reminder emails before expiry, terminate both accounts if unmet. | Built and reviewed 2026-10-01: editable age-of-majority table (unknown = 18, flagged), coming of age: 90 days, reminders 90/30/14/7/1, pause, termination (link only when other minors).</t>
        </is>
      </c>
    </row>
    <row r="95">
      <c r="A95" s="112" t="n">
        <v>12.89</v>
      </c>
      <c r="B95" s="113" t="inlineStr">
        <is>
          <t>2S1-BE-13</t>
        </is>
      </c>
      <c r="C95" s="85" t="n">
        <v>1</v>
      </c>
      <c r="D95" s="86" t="inlineStr">
        <is>
          <t>Sprint 1 · External property onboarding</t>
        </is>
      </c>
      <c r="E95" s="121" t="inlineStr">
        <is>
          <t>BE</t>
        </is>
      </c>
      <c r="F95" s="122" t="inlineStr">
        <is>
          <t>Code</t>
        </is>
      </c>
      <c r="G95" s="84" t="inlineStr">
        <is>
          <t>Closing an account, 30-day retention and coming back</t>
        </is>
      </c>
      <c r="H95" s="116" t="inlineStr">
        <is>
          <t>Athletes, guardians and organizations can close their account; ID and verification files kept 30 days then deleted permanently (audited). Self-closed accounts reactivate within 30 days from a reactivation page, with files restored and checks re-run; rejected accounts can only request it, and BTG decides.</t>
        </is>
      </c>
      <c r="I95" s="108" t="inlineStr">
        <is>
          <t>Done</t>
        </is>
      </c>
      <c r="J95" s="108" t="n">
        <v>3</v>
      </c>
      <c r="K95" s="109" t="n">
        <v>46296</v>
      </c>
      <c r="L95" s="109" t="n">
        <v>46296</v>
      </c>
      <c r="M95" s="110" t="inlineStr">
        <is>
          <t>rcfworks</t>
        </is>
      </c>
      <c r="N95" s="85" t="inlineStr">
        <is>
          <t>2S1-FE-08</t>
        </is>
      </c>
      <c r="O95" s="84" t="inlineStr">
        <is>
          <t>2S1-BE-09, 2S1-BE-06</t>
        </is>
      </c>
      <c r="P95" s="84" t="inlineStr">
        <is>
          <t>Closing an account keeps its files for 30 days and then deletes them permanently, with an audit record; returning within 30 days through the reactivation page restores the account and its files (self-closed) or asks BTG (rejected); after 30 days the files are gone and a new sign-up is needed</t>
        </is>
      </c>
      <c r="Q95" s="86" t="inlineStr">
        <is>
          <t>Spec §4, §26, §37; BTG admin review 2026-10-01</t>
        </is>
      </c>
      <c r="R95" s="111" t="inlineStr">
        <is>
          <t>Raised 2026-10-01 from the BTG admin review (one BTG reviewer, so automate and check afterwards). Decisions: age of majority by state/country; minors use a school ID; guardian acts for minors; 30-day file retention; 90-day coming-of-age allowance. | Built and reviewed 2026-10-01; every Reject path records a closure (30-day purge, ask BTG); closed sellers cannot sell.</t>
        </is>
      </c>
    </row>
    <row r="96">
      <c r="A96" s="112" t="n">
        <v>14.75</v>
      </c>
      <c r="B96" s="113" t="inlineStr">
        <is>
          <t>2S1-FE-06</t>
        </is>
      </c>
      <c r="C96" s="85" t="n">
        <v>1</v>
      </c>
      <c r="D96" s="86" t="inlineStr">
        <is>
          <t>Sprint 1 · External property onboarding</t>
        </is>
      </c>
      <c r="E96" s="121" t="inlineStr">
        <is>
          <t>FE</t>
        </is>
      </c>
      <c r="F96" s="122" t="inlineStr">
        <is>
          <t>Code</t>
        </is>
      </c>
      <c r="G96" s="84" t="inlineStr">
        <is>
          <t>Athlete and guardian sign-up screens</t>
        </is>
      </c>
      <c r="H96" s="116" t="inlineStr">
        <is>
          <t>Application: government ID (adult) or school ID (minor), email confirmation, guardian's details. Guardian's page: details, government ID, proof of guardianship, guardian agreement. Each shows what is still needed.</t>
        </is>
      </c>
      <c r="I96" s="108" t="inlineStr">
        <is>
          <t>Done</t>
        </is>
      </c>
      <c r="J96" s="108" t="n">
        <v>4</v>
      </c>
      <c r="K96" s="109" t="n">
        <v>46296</v>
      </c>
      <c r="L96" s="109" t="n">
        <v>46296</v>
      </c>
      <c r="M96" s="110" t="inlineStr">
        <is>
          <t>rcfworks</t>
        </is>
      </c>
      <c r="N96" s="85" t="n"/>
      <c r="O96" s="84" t="inlineStr">
        <is>
          <t>2S1-BE-09, 2S1-BE-10, 2S0-ART-01</t>
        </is>
      </c>
      <c r="P96" s="84" t="inlineStr">
        <is>
          <t>An adult and a minor with their guardian can each complete sign-up, see what is still missing, and are approved when nothing is</t>
        </is>
      </c>
      <c r="Q96" s="86" t="inlineStr">
        <is>
          <t>Spec §4, §26, §37; BTG admin review 2026-10-01</t>
        </is>
      </c>
      <c r="R96" s="111" t="inlineStr">
        <is>
          <t>Raised 2026-10-01 from the BTG admin review (one BTG reviewer, so automate and check afterwards). Decisions: age of majority by state/country; minors use a school ID; guardian acts for minors; 30-day file retention; 90-day coming-of-age allowance. | Guardian set-up screen built 2026-10-01 on sample data at /guardian/setup. Wiring waits on 2S1-BE-09/-10; the adult athlete sign-up changes aren't built yet. | Wired 2026-10-01: /join checklist and ID upload, /join/confirm, /guardian/setup live.</t>
        </is>
      </c>
    </row>
    <row r="97">
      <c r="A97" s="112" t="n">
        <v>14.8</v>
      </c>
      <c r="B97" s="113" t="inlineStr">
        <is>
          <t>2S1-FE-07</t>
        </is>
      </c>
      <c r="C97" s="85" t="n">
        <v>1</v>
      </c>
      <c r="D97" s="86" t="inlineStr">
        <is>
          <t>Sprint 1 · External property onboarding</t>
        </is>
      </c>
      <c r="E97" s="121" t="inlineStr">
        <is>
          <t>FE</t>
        </is>
      </c>
      <c r="F97" s="122" t="inlineStr">
        <is>
          <t>Code</t>
        </is>
      </c>
      <c r="G97" s="84" t="inlineStr">
        <is>
          <t>BTG's New sign-ups page</t>
        </is>
      </c>
      <c r="H97" s="116" t="inlineStr">
        <is>
          <t>One page for every automatic approval (organizations, athletes, guardians) that the emails link to: documents through the 5-minute viewer, Reject (required reason) and Reinstate, the guardian-athlete link shown on reject, plus duplicates and flagged items.</t>
        </is>
      </c>
      <c r="I97" s="108" t="inlineStr">
        <is>
          <t>Done</t>
        </is>
      </c>
      <c r="J97" s="108" t="n">
        <v>3</v>
      </c>
      <c r="K97" s="109" t="n">
        <v>46296</v>
      </c>
      <c r="L97" s="109" t="n">
        <v>46296</v>
      </c>
      <c r="M97" s="110" t="inlineStr">
        <is>
          <t>rcfworks</t>
        </is>
      </c>
      <c r="N97" s="85" t="n"/>
      <c r="O97" s="84" t="inlineStr">
        <is>
          <t>2S1-BE-09, 2S1-BE-10, 2S1-FE-05</t>
        </is>
      </c>
      <c r="P97" s="84" t="inlineStr">
        <is>
          <t>From the emailed link, BTG can see every new organization, athlete and guardian with their documents, and reject or reinstate each, with a guardian's rejection shown to include their athletes</t>
        </is>
      </c>
      <c r="Q97" s="86" t="inlineStr">
        <is>
          <t>Spec §4, §26, §37; BTG admin review 2026-10-01</t>
        </is>
      </c>
      <c r="R97" s="111" t="inlineStr">
        <is>
          <t>Raised 2026-10-01 from the BTG admin review (one BTG reviewer, so automate and check afterwards). Decisions: age of majority by state/country; minors use a school ID; guardian acts for minors; 30-day file retention; 90-day coming-of-age allowance. | Screens built 2026-10-01 at /admin/new-signups: the sponsor section is live (2S1-BE-17); organizations, athletes and guardians are sample data until 2S1-BE-06/-09/-10. | Wired 2026-10-01: New sign-ups live for organizations, athletes, guardians and sponsors, with profiles, 5-minute document links, Approve/Reject/Reinstate.</t>
        </is>
      </c>
    </row>
    <row r="98">
      <c r="A98" s="112" t="n">
        <v>14.85</v>
      </c>
      <c r="B98" s="113" t="inlineStr">
        <is>
          <t>2S1-FE-08</t>
        </is>
      </c>
      <c r="C98" s="85" t="n">
        <v>1</v>
      </c>
      <c r="D98" s="86" t="inlineStr">
        <is>
          <t>Sprint 1 · External property onboarding</t>
        </is>
      </c>
      <c r="E98" s="121" t="inlineStr">
        <is>
          <t>FE</t>
        </is>
      </c>
      <c r="F98" s="122" t="inlineStr">
        <is>
          <t>Code</t>
        </is>
      </c>
      <c r="G98" s="84" t="inlineStr">
        <is>
          <t>The guardian's controls, the coming-of-age reminder, and closing or reactivating an account</t>
        </is>
      </c>
      <c r="H98" s="116" t="inlineStr">
        <is>
          <t>Guardian's portal acts for the minor; minor's portal shows those actions as the guardian's; persistent 90-day coming-of-age reminder with countdown and ID upload; Close account and the reactivation page. Paused actions (adding items, new transactions) shown as unavailable with the reason during the 90 days.</t>
        </is>
      </c>
      <c r="I98" s="108" t="inlineStr">
        <is>
          <t>Done</t>
        </is>
      </c>
      <c r="J98" s="108" t="n">
        <v>4</v>
      </c>
      <c r="K98" s="109" t="n">
        <v>46296</v>
      </c>
      <c r="L98" s="109" t="n">
        <v>46296</v>
      </c>
      <c r="M98" s="110" t="inlineStr">
        <is>
          <t>rcfworks</t>
        </is>
      </c>
      <c r="N98" s="85" t="n"/>
      <c r="O98" s="84" t="inlineStr">
        <is>
          <t>2S1-BE-11, 2S1-BE-12, 2S1-BE-13, 2S0-ART-01</t>
        </is>
      </c>
      <c r="P98" s="84" t="inlineStr">
        <is>
          <t>A guardian can do every agreement and money action for their minor from their own portal; the coming-of-age reminder persists until done; an account can be closed and reactivated within 30 days</t>
        </is>
      </c>
      <c r="Q98" s="86" t="inlineStr">
        <is>
          <t>Spec §4, §26, §37; BTG admin review 2026-10-01</t>
        </is>
      </c>
      <c r="R98" s="111" t="inlineStr">
        <is>
          <t>Raised 2026-10-01 from the BTG admin review (one BTG reviewer, so automate and check afterwards). Decisions: age of majority by state/country; minors use a school ID; guardian acts for minors; 30-day file retention; 90-day coming-of-age allowance. | Screens built 2026-10-01: /athlete/settings and /property/settings (sign-in and payout account live), close, reactivate and coming-of-age on sample data until 2S1-BE-13 and 2S1-BE-12. The reactivate page needs a public route with 2S1-BE-13. Guardian controls not yet built. | Wired 2026-10-01: guardian ward switcher and controls, the coming-of-age reminder on /athlete and Settings, close account and the public /reactivate page.</t>
        </is>
      </c>
    </row>
    <row r="99">
      <c r="A99" s="112" t="n">
        <v>12.9</v>
      </c>
      <c r="B99" s="113" t="inlineStr">
        <is>
          <t>2S1-BE-14</t>
        </is>
      </c>
      <c r="C99" s="85" t="n">
        <v>1</v>
      </c>
      <c r="D99" s="86" t="inlineStr">
        <is>
          <t>Sprint 1 · External property onboarding</t>
        </is>
      </c>
      <c r="E99" s="121" t="inlineStr">
        <is>
          <t>BE</t>
        </is>
      </c>
      <c r="F99" s="122" t="inlineStr">
        <is>
          <t>Code</t>
        </is>
      </c>
      <c r="G99" s="84" t="inlineStr">
        <is>
          <t>Profile edits publish straight away; sensitive edits re-run the checks</t>
        </is>
      </c>
      <c r="H99" s="116" t="inlineStr">
        <is>
          <t>Replaces P3-BE-16's BTG review. Ordinary edits publish at once. Sensitive edits also publish but re-run sign-up checks: legal name needs a matching ID; date of birth recomputes adulthood (starting the guardian or coming-of-age process); a new guardian goes through the guardian's page. BTG emailed only for sensitive edits, with a New sign-ups link and Reject. All edits audited.</t>
        </is>
      </c>
      <c r="I99" s="108" t="inlineStr">
        <is>
          <t>Done</t>
        </is>
      </c>
      <c r="J99" s="108" t="n">
        <v>3</v>
      </c>
      <c r="K99" s="109" t="n">
        <v>46296</v>
      </c>
      <c r="L99" s="109" t="n">
        <v>46296</v>
      </c>
      <c r="M99" s="110" t="inlineStr">
        <is>
          <t>rcfworks</t>
        </is>
      </c>
      <c r="N99" s="85" t="inlineStr">
        <is>
          <t>2S1-FE-09</t>
        </is>
      </c>
      <c r="O99" s="84" t="inlineStr">
        <is>
          <t>P3-BE-16, 2S1-BE-09, 2S1-BE-10, 2S1-BE-12</t>
        </is>
      </c>
      <c r="P99" s="84" t="inlineStr">
        <is>
          <t>An approved athlete's ordinary edits publish with no BTG step; a legal-name change needs a matching ID upload, a date-of-birth change recomputes adulthood and starts the guardian or coming-of-age process when it changes, and a new guardian goes through the guardian's page; BTG admins are emailed only for sensitive edits, with a link and Reject; every edit is audited</t>
        </is>
      </c>
      <c r="Q99" s="86" t="inlineStr">
        <is>
          <t>Spec §4, §26, §37; BTG admin review 2026-10-01</t>
        </is>
      </c>
      <c r="R99" s="111" t="inlineStr">
        <is>
          <t>Raised 2026-10-01 from the BTG admin review: BTG no longer approves profile edits; it is told only about sensitive ones. | Built and reviewed 2026-10-01; edits publish at once, sensitive edits re-run checks and email BTG; a newly named guardian acts only once verified for that child.</t>
        </is>
      </c>
    </row>
    <row r="100">
      <c r="A100" s="112" t="n">
        <v>14.9</v>
      </c>
      <c r="B100" s="113" t="inlineStr">
        <is>
          <t>2S1-FE-09</t>
        </is>
      </c>
      <c r="C100" s="85" t="n">
        <v>1</v>
      </c>
      <c r="D100" s="86" t="inlineStr">
        <is>
          <t>Sprint 1 · External property onboarding</t>
        </is>
      </c>
      <c r="E100" s="121" t="inlineStr">
        <is>
          <t>FE</t>
        </is>
      </c>
      <c r="F100" s="122" t="inlineStr">
        <is>
          <t>Code</t>
        </is>
      </c>
      <c r="G100" s="84" t="inlineStr">
        <is>
          <t>Profile editing without BTG review, on screen</t>
        </is>
      </c>
      <c r="H100" s="116" t="inlineStr">
        <is>
          <t>Editor saves ordinary edits at once; sensitive fields say what is needed and collect it (ID upload for legal name). BTG's Profile changes page retired; sensitive edits appear on New sign-ups.</t>
        </is>
      </c>
      <c r="I100" s="108" t="inlineStr">
        <is>
          <t>Done</t>
        </is>
      </c>
      <c r="J100" s="108" t="n">
        <v>2</v>
      </c>
      <c r="K100" s="109" t="n">
        <v>46296</v>
      </c>
      <c r="L100" s="109" t="n">
        <v>46296</v>
      </c>
      <c r="M100" s="110" t="inlineStr">
        <is>
          <t>rcfworks</t>
        </is>
      </c>
      <c r="N100" s="85" t="n"/>
      <c r="O100" s="84" t="inlineStr">
        <is>
          <t>2S1-BE-14, 2S1-FE-07</t>
        </is>
      </c>
      <c r="P100" s="84" t="inlineStr">
        <is>
          <t>An athlete's ordinary edits save at once; a sensitive edit shows and collects what it needs; BTG sees sensitive edits on the New sign-ups page, and the old Profile changes review page is gone</t>
        </is>
      </c>
      <c r="Q100" s="86" t="inlineStr">
        <is>
          <t>Spec §4, §26, §37; BTG admin review 2026-10-01</t>
        </is>
      </c>
      <c r="R100" s="111" t="inlineStr">
        <is>
          <t>Raised 2026-10-01 from the BTG admin review: BTG no longer approves profile edits; it is told only about sensitive ones. | Wired 2026-10-01: ordinary edits save at once; legal name collects an ID; Profile changes desk retired into New sign-ups sensitive edits. Reviewed.</t>
        </is>
      </c>
    </row>
    <row r="101">
      <c r="A101" s="112" t="n">
        <v>12.95</v>
      </c>
      <c r="B101" s="113" t="inlineStr">
        <is>
          <t>2S1-BE-15</t>
        </is>
      </c>
      <c r="C101" s="85" t="n">
        <v>1</v>
      </c>
      <c r="D101" s="86" t="inlineStr">
        <is>
          <t>Sprint 1 · External property onboarding</t>
        </is>
      </c>
      <c r="E101" s="121" t="inlineStr">
        <is>
          <t>BE</t>
        </is>
      </c>
      <c r="F101" s="122" t="inlineStr">
        <is>
          <t>Code</t>
        </is>
      </c>
      <c r="G101" s="84" t="inlineStr">
        <is>
          <t>Changing a minor's guardian (handoff)</t>
        </is>
      </c>
      <c r="H101" s="116" t="inlineStr">
        <is>
          <t>New guardian requests (identifies the athlete, completes ID, proof and agreement) → current guardian hands off or declines (can't start one alone; the minor can't either) → automatic approval and an atomic switch; the current guardian keeps control until then. Agreed work and earned money stay put; the new guardian sets up their own payout account; other children unaffected. Disputes go to BTG support, never automated.</t>
        </is>
      </c>
      <c r="I101" s="108" t="inlineStr">
        <is>
          <t>Done</t>
        </is>
      </c>
      <c r="J101" s="108" t="n">
        <v>3</v>
      </c>
      <c r="K101" s="109" t="n">
        <v>46296</v>
      </c>
      <c r="L101" s="109" t="n">
        <v>46296</v>
      </c>
      <c r="M101" s="110" t="inlineStr">
        <is>
          <t>rcfworks</t>
        </is>
      </c>
      <c r="N101" s="85" t="inlineStr">
        <is>
          <t>2S1-FE-10</t>
        </is>
      </c>
      <c r="O101" s="84" t="inlineStr">
        <is>
          <t>2S1-BE-10, 2S1-BE-11</t>
        </is>
      </c>
      <c r="P101" s="84" t="inlineStr">
        <is>
          <t>A handoff can happen only after the new guardian's request and the current guardian's Hand off; the current guardian keeps control until the switch, which is atomic; agreed work and earned money stay where they were; a guardian's other children are unaffected; a declined or disputed request goes to BTG support and is never automated; every step is audited</t>
        </is>
      </c>
      <c r="Q101" s="86" t="inlineStr">
        <is>
          <t>Spec §4, §26, §37; BTG admin review 2026-10-01</t>
        </is>
      </c>
      <c r="R101" s="111" t="inlineStr">
        <is>
          <t>Raised 2026-10-01 from the BTG admin review: a handoff needs the new guardian's request and the current guardian's Hand off; disputes are never automated and go to BTG support. | Built and reviewed 2026-10-01: handoff starts only with the new guardian; current guardian hands off; no second path (POST /athletes/:id/guardian refuses); staff-confirmation setting honoured.</t>
        </is>
      </c>
    </row>
    <row r="102">
      <c r="A102" s="112" t="n">
        <v>12.97</v>
      </c>
      <c r="B102" s="113" t="inlineStr">
        <is>
          <t>2S1-BE-16</t>
        </is>
      </c>
      <c r="C102" s="85" t="n">
        <v>1</v>
      </c>
      <c r="D102" s="86" t="inlineStr">
        <is>
          <t>Sprint 1 · External property onboarding</t>
        </is>
      </c>
      <c r="E102" s="121" t="inlineStr">
        <is>
          <t>BE</t>
        </is>
      </c>
      <c r="F102" s="122" t="inlineStr">
        <is>
          <t>Code</t>
        </is>
      </c>
      <c r="G102" s="84" t="inlineStr">
        <is>
          <t>Contacting BTG support</t>
        </is>
      </c>
      <c r="H102" s="116" t="inlineStr">
        <is>
          <t>Public, rate-limited contact form (topic, message, private attachments), queued through the worker to the support mailbox; the support address shown on the guardian request page, decline and rejection emails, and account pages.</t>
        </is>
      </c>
      <c r="I102" s="108" t="inlineStr">
        <is>
          <t>Done</t>
        </is>
      </c>
      <c r="J102" s="108" t="n">
        <v>2</v>
      </c>
      <c r="K102" s="109" t="n">
        <v>46296</v>
      </c>
      <c r="L102" s="109" t="n">
        <v>46302</v>
      </c>
      <c r="M102" s="110" t="inlineStr">
        <is>
          <t>rcfworks</t>
        </is>
      </c>
      <c r="N102" s="85" t="inlineStr">
        <is>
          <t>2S1-FE-10</t>
        </is>
      </c>
      <c r="O102" s="84" t="inlineStr">
        <is>
          <t>2S1-OPS-01</t>
        </is>
      </c>
      <c r="P102" s="84" t="inlineStr">
        <is>
          <t>Anyone can send BTG a message with an attachment from the contact page; it reaches the support mailbox through the queue even when the mail service is briefly down; the support address appears on the guardian request page and in decline and rejection emails; the form is rate-limited and stores attachments privately</t>
        </is>
      </c>
      <c r="Q102" s="86" t="inlineStr">
        <is>
          <t>Spec §4, §26, §37; BTG admin review 2026-10-01</t>
        </is>
      </c>
      <c r="R102" s="111" t="inlineStr">
        <is>
          <t>Raised 2026-10-01 from the BTG admin review: a handoff needs the new guardian's request and the current guardian's Hand off; disputes are never automated and go to BTG support. | Built and reviewed 2026-10-01: contact form to SUPPORT_EMAIL, attachments private, copy to sender, support address on every rejection. Delivery waits on the owner: 2S1-OPS-01 mailbox (SUPPORT_MAILBOX_READY) and an email provider key. | 2026-10-07: delivery proven on staging — two contact-form messages (one with a PNG attachment, stored privately and sent as a secure link per 2S0-SEC-01 O1) sent to support@sponsorx.net and forwarded to the BTG inbox, plus copies to the sender; 4/4 emails sent, 0 failed. Queue retries and the support address on guardian/rejection emails covered by phase2-support tests.</t>
        </is>
      </c>
    </row>
    <row r="103">
      <c r="A103" s="112" t="n">
        <v>12.98</v>
      </c>
      <c r="B103" s="113" t="inlineStr">
        <is>
          <t>2S1-OPS-01</t>
        </is>
      </c>
      <c r="C103" s="85" t="n">
        <v>1</v>
      </c>
      <c r="D103" s="86" t="inlineStr">
        <is>
          <t>Sprint 1 · External property onboarding</t>
        </is>
      </c>
      <c r="E103" s="121" t="inlineStr">
        <is>
          <t>OPS</t>
        </is>
      </c>
      <c r="F103" s="122" t="inlineStr">
        <is>
          <t>Vendor console</t>
        </is>
      </c>
      <c r="G103" s="84" t="inlineStr">
        <is>
          <t>Set up the BTG support mailbox</t>
        </is>
      </c>
      <c r="H103" s="116" t="inlineStr">
        <is>
          <t>Create the support address (e.g. support@sponsorx.net) and where it lands. Recommended: Zoho Desk, so each email becomes a tracked ticket; alternatively a shared mailbox. Sandbox/staging first, then production.</t>
        </is>
      </c>
      <c r="I103" s="108" t="inlineStr">
        <is>
          <t>Done</t>
        </is>
      </c>
      <c r="J103" s="108" t="n">
        <v>1</v>
      </c>
      <c r="K103" s="109" t="n">
        <v>46302</v>
      </c>
      <c r="L103" s="109" t="n">
        <v>46302</v>
      </c>
      <c r="M103" s="110" t="inlineStr">
        <is>
          <t>rcfworks</t>
        </is>
      </c>
      <c r="N103" s="85" t="inlineStr">
        <is>
          <t>2S1-BE-16</t>
        </is>
      </c>
      <c r="O103" s="84" t="n"/>
      <c r="P103" s="84" t="inlineStr">
        <is>
          <t>Mail to the support address lands where BTG works on it, and a test message from the staging contact form arrives</t>
        </is>
      </c>
      <c r="Q103" s="86" t="inlineStr">
        <is>
          <t>Spec §4, §26, §37; BTG admin review 2026-10-01</t>
        </is>
      </c>
      <c r="R103" s="111" t="inlineStr">
        <is>
          <t>Raised 2026-10-01 from the BTG admin review: a handoff needs the new guardian's request and the current guardian's Hand off; disputes are never automated and go to BTG support. | 2026-10-07: Cloudflare Email Routing on sponsorx.net (MX route1-3.mx.cloudflare.net + SPF + DKIM); support@sponsorx.net forwards to infinex1@icarrefound.org (owner choice, temporary; move to Zoho Desk later). SUPPORT_MAILBOX_READY=true on staging and production. Test messages from the staging contact form sent and received (owner confirmed).</t>
        </is>
      </c>
    </row>
    <row r="104">
      <c r="A104" s="112" t="n">
        <v>14.95</v>
      </c>
      <c r="B104" s="113" t="inlineStr">
        <is>
          <t>2S1-FE-10</t>
        </is>
      </c>
      <c r="C104" s="85" t="n">
        <v>1</v>
      </c>
      <c r="D104" s="86" t="inlineStr">
        <is>
          <t>Sprint 1 · External property onboarding</t>
        </is>
      </c>
      <c r="E104" s="121" t="inlineStr">
        <is>
          <t>FE</t>
        </is>
      </c>
      <c r="F104" s="122" t="inlineStr">
        <is>
          <t>Code</t>
        </is>
      </c>
      <c r="G104" s="84" t="inlineStr">
        <is>
          <t>Guardian handoff and contact pages, on screen</t>
        </is>
      </c>
      <c r="H104" s="116" t="inlineStr">
        <is>
          <t>New guardian's request page; current guardian's request with Hand off / Decline; handoff status for all three; Contact BTG page and form with the support address, linked from the request page, emails and account pages.</t>
        </is>
      </c>
      <c r="I104" s="108" t="inlineStr">
        <is>
          <t>Done</t>
        </is>
      </c>
      <c r="J104" s="108" t="n">
        <v>3</v>
      </c>
      <c r="K104" s="109" t="n">
        <v>46296</v>
      </c>
      <c r="L104" s="109" t="n">
        <v>46296</v>
      </c>
      <c r="M104" s="110" t="inlineStr">
        <is>
          <t>rcfworks</t>
        </is>
      </c>
      <c r="N104" s="85" t="n"/>
      <c r="O104" s="84" t="inlineStr">
        <is>
          <t>2S1-BE-15, 2S1-BE-16, 2S0-ART-01</t>
        </is>
      </c>
      <c r="P104" s="84" t="inlineStr">
        <is>
          <t>A new guardian can request a handoff, the current guardian can hand off or decline from their portal, both can follow its status, and anyone can reach BTG support from the contact page</t>
        </is>
      </c>
      <c r="Q104" s="86" t="inlineStr">
        <is>
          <t>Spec §4, §26, §37; BTG admin review 2026-10-01</t>
        </is>
      </c>
      <c r="R104" s="111" t="inlineStr">
        <is>
          <t>Raised 2026-10-01 from the BTG admin review: a handoff needs the new guardian's request and the current guardian's Hand off; disputes are never automated and go to BTG support. | Screens built 2026-10-01 on sample data: /guardian/handoff, /athlete/guardian-requests (GUARDIAN only), /contact. Wiring waits on 2S1-BE-15 and 2S1-BE-16; the support address waits on 2S1-OPS-01. | Wired 2026-10-01: /guardian/handoff, /athlete/guardian-requests, /contact. Reviewed.</t>
        </is>
      </c>
    </row>
    <row r="105">
      <c r="A105" s="112" t="n">
        <v>12.99</v>
      </c>
      <c r="B105" s="113" t="inlineStr">
        <is>
          <t>2S1-BE-17</t>
        </is>
      </c>
      <c r="C105" s="85" t="n">
        <v>1</v>
      </c>
      <c r="D105" s="86" t="inlineStr">
        <is>
          <t>Sprint 1 · External property onboarding</t>
        </is>
      </c>
      <c r="E105" s="121" t="inlineStr">
        <is>
          <t>BE</t>
        </is>
      </c>
      <c r="F105" s="122" t="inlineStr">
        <is>
          <t>Code</t>
        </is>
      </c>
      <c r="G105" s="84" t="inlineStr">
        <is>
          <t>Sponsors are approved automatically</t>
        </is>
      </c>
      <c r="H105" s="116" t="inlineStr">
        <is>
          <t>Form: business type from a fixed list or Other + description; proof of business required everywhere (registration, permit or license in the business's name); contact email confirmed. Auto-approved when email confirmed with no login, proof uploaded, name unique, type unrestricted and Other text passes the word check. Restricted types (alcohol, tobacco/vape, gambling, cannabis, firearms, adult, political, crypto), flagged Other text and name matches go to BTG with the reason. BTG and sales emailed per sponsor; Reject.</t>
        </is>
      </c>
      <c r="I105" s="108" t="inlineStr">
        <is>
          <t>Done</t>
        </is>
      </c>
      <c r="J105" s="108" t="n">
        <v>4</v>
      </c>
      <c r="K105" s="109" t="n">
        <v>46296</v>
      </c>
      <c r="L105" s="109" t="n">
        <v>46296</v>
      </c>
      <c r="M105" s="110" t="inlineStr">
        <is>
          <t>rcfworks</t>
        </is>
      </c>
      <c r="N105" s="85" t="inlineStr">
        <is>
          <t>2S1-FE-11</t>
        </is>
      </c>
      <c r="O105" s="84" t="inlineStr">
        <is>
          <t>2S1-BE-05, 2S1-BE-06, 2S1-BE-18</t>
        </is>
      </c>
      <c r="P105" s="84" t="inlineStr">
        <is>
          <t>A sponsor with a confirmed email, a proof of business, a unique name and an unrestricted business type is approved and can sign in without BTG; a restricted type, a flagged Other description or a name match goes to BTG's review with the reason; every sponsor must upload proof of business, with the same rule everywhere; BTG and sales are emailed for each new sponsor; Reject switches the login off and emails the reason</t>
        </is>
      </c>
      <c r="Q105" s="86" t="inlineStr">
        <is>
          <t>Spec §3, §12, §26; BTG admin review 2026-10-01</t>
        </is>
      </c>
      <c r="R105" s="111" t="inlineStr">
        <is>
          <t>Raised 2026-10-01 from the BTG admin review: sponsors approved automatically; restricted types, flagged 'Other' text and name matches go to BTG; proof of business required everywhere.</t>
        </is>
      </c>
    </row>
    <row r="106">
      <c r="A106" s="112" t="n">
        <v>12.995</v>
      </c>
      <c r="B106" s="113" t="inlineStr">
        <is>
          <t>2S1-BE-18</t>
        </is>
      </c>
      <c r="C106" s="85" t="n">
        <v>1</v>
      </c>
      <c r="D106" s="86" t="inlineStr">
        <is>
          <t>Sprint 1 · External property onboarding</t>
        </is>
      </c>
      <c r="E106" s="121" t="inlineStr">
        <is>
          <t>BE</t>
        </is>
      </c>
      <c r="F106" s="122" t="inlineStr">
        <is>
          <t>Code</t>
        </is>
      </c>
      <c r="G106" s="84" t="inlineStr">
        <is>
          <t>The restricted-words check</t>
        </is>
      </c>
      <c r="H106" s="116" t="inlineStr">
        <is>
          <t>Server-side, BTG-editable list of restricted words and phrases by kind (sexual/adult, drugs, weapons, gambling, violence/hate, other illegal), seeded with a starter list. Check ignores case and accents, sees through spacing and letter swaps, matches whole words (Essex doesn't trip 'sex'). A match marks the text restricted and routes it to BTG, never rejects. Used first on sponsors' Other description; reusable for listings and bios. List changes audited.</t>
        </is>
      </c>
      <c r="I106" s="108" t="inlineStr">
        <is>
          <t>Done</t>
        </is>
      </c>
      <c r="J106" s="108" t="n">
        <v>3</v>
      </c>
      <c r="K106" s="109" t="n">
        <v>46296</v>
      </c>
      <c r="L106" s="109" t="n">
        <v>46296</v>
      </c>
      <c r="M106" s="110" t="inlineStr">
        <is>
          <t>rcfworks</t>
        </is>
      </c>
      <c r="N106" s="85" t="inlineStr">
        <is>
          <t>2S1-BE-17, 2S1-FE-11</t>
        </is>
      </c>
      <c r="O106" s="84" t="n"/>
      <c r="P106" s="84" t="inlineStr">
        <is>
          <t>Free text containing a listed word, including disguised spellings, is marked restricted with what matched; innocent words that merely contain a listed word are not; BTG admins can edit the list and every change is audited; a match routes the item to BTG's review and never rejects it automatically</t>
        </is>
      </c>
      <c r="Q106" s="86" t="inlineStr">
        <is>
          <t>Spec §3, §12, §26; BTG admin review 2026-10-01</t>
        </is>
      </c>
      <c r="R106" s="111" t="inlineStr">
        <is>
          <t>Raised 2026-10-01 from the BTG admin review: sponsors approved automatically; restricted types, flagged 'Other' text and name matches go to BTG; proof of business required everywhere.</t>
        </is>
      </c>
    </row>
    <row r="107" s="75">
      <c r="A107" s="112" t="n">
        <v>14.97</v>
      </c>
      <c r="B107" s="113" t="inlineStr">
        <is>
          <t>2S1-FE-11</t>
        </is>
      </c>
      <c r="C107" s="85" t="n">
        <v>1</v>
      </c>
      <c r="D107" s="86" t="inlineStr">
        <is>
          <t>Sprint 1 · External property onboarding</t>
        </is>
      </c>
      <c r="E107" s="121" t="inlineStr">
        <is>
          <t>FE</t>
        </is>
      </c>
      <c r="F107" s="122" t="inlineStr">
        <is>
          <t>Code</t>
        </is>
      </c>
      <c r="G107" s="84" t="inlineStr">
        <is>
          <t>The sponsor request form, and the word list for BTG</t>
        </is>
      </c>
      <c r="H107" s="116" t="inlineStr">
        <is>
          <t>Public form: business-type picker with Other, proof-of-business upload, email confirmation; tells the applicant approved or under review. New sign-ups shows each sponsor's review reason. Admin page to edit the restricted words.</t>
        </is>
      </c>
      <c r="I107" s="108" t="inlineStr">
        <is>
          <t>Done</t>
        </is>
      </c>
      <c r="J107" s="108" t="n">
        <v>3</v>
      </c>
      <c r="K107" s="109" t="n">
        <v>46296</v>
      </c>
      <c r="L107" s="109" t="n">
        <v>46296</v>
      </c>
      <c r="M107" s="110" t="inlineStr">
        <is>
          <t>rcfworks</t>
        </is>
      </c>
      <c r="N107" s="85" t="n"/>
      <c r="O107" s="84" t="inlineStr">
        <is>
          <t>2S1-BE-17, 2S1-BE-18, 2S1-FE-07, 2S0-ART-01</t>
        </is>
      </c>
      <c r="P107" s="84" t="inlineStr">
        <is>
          <t>A sponsor can complete the form with a business type or Other and their proof of business, and is told whether they're approved or under review; BTG sees the reason for each review; BTG admins can edit the restricted-words list</t>
        </is>
      </c>
      <c r="Q107" s="86" t="inlineStr">
        <is>
          <t>Spec §3, §12, §26; BTG admin review 2026-10-01</t>
        </is>
      </c>
      <c r="R107" s="111" t="inlineStr">
        <is>
          <t>Raised 2026-10-01 from the BTG admin review: sponsors approved automatically; restricted types, flagged 'Other' text and name matches go to BTG; proof of business required everywhere. | Built 2026-10-01: the sponsor form sends the business type (or Other) and uploads the proof of business; /sponsor-request/confirm and /sponsor-request/&lt;token&gt; pages; BTG's word-list page at /admin/restricted-words. All wired. | Reviewed 2026-10-01: sponsor form with business type/Other, proof upload, confirm and status pages; BTG restricted-words page; review reasons on New sign-ups.</t>
        </is>
      </c>
    </row>
    <row r="108" s="75">
      <c r="A108" s="112" t="n">
        <v>14.98</v>
      </c>
      <c r="B108" s="113" t="inlineStr">
        <is>
          <t>2S1-FE-12</t>
        </is>
      </c>
      <c r="C108" s="85" t="n">
        <v>1</v>
      </c>
      <c r="D108" s="86" t="inlineStr">
        <is>
          <t>Sprint 1 · External property onboarding</t>
        </is>
      </c>
      <c r="E108" s="121" t="inlineStr">
        <is>
          <t>FE</t>
        </is>
      </c>
      <c r="F108" s="122" t="inlineStr">
        <is>
          <t>Code</t>
        </is>
      </c>
      <c r="G108" s="84" t="inlineStr">
        <is>
          <t>BTG's Closed accounts desk</t>
        </is>
      </c>
      <c r="H108" s="116" t="inlineStr">
        <is>
          <t>The desk for accounts that are closed: tabs Asking to come back, Closed by BTG, Closed by the owner, Ended at coming of age, Files deleted, each with a count. A rejected account's request shows BTG's reason and the person's note; BTG declines with a reason that is emailed, or opens the account's own page to reinstate. Owner-closed, coming-of-age and deleted accounts are read-only.</t>
        </is>
      </c>
      <c r="I108" s="108" t="inlineStr">
        <is>
          <t>Done</t>
        </is>
      </c>
      <c r="J108" s="108" t="n">
        <v>2</v>
      </c>
      <c r="K108" s="109" t="n">
        <v>46296</v>
      </c>
      <c r="L108" s="109" t="n">
        <v>46296</v>
      </c>
      <c r="M108" s="110" t="inlineStr">
        <is>
          <t>rcfworks</t>
        </is>
      </c>
      <c r="N108" s="85" t="n"/>
      <c r="O108" s="84" t="inlineStr">
        <is>
          <t>2S1-BE-13</t>
        </is>
      </c>
      <c r="P108" s="84" t="inlineStr">
        <is>
          <t>BTG sees closed accounts by tab with counts and answers a rejected account's request to come back — decline with a reason that is emailed, or a link to reinstate on the account's own page; owner-closed, ended and deleted accounts are read-only; BTG admins only</t>
        </is>
      </c>
      <c r="Q108" s="86" t="inlineStr">
        <is>
          <t>Claude Design ClosedAccounts.dc.html (2026-10-01)</t>
        </is>
      </c>
      <c r="R108" s="111" t="inlineStr">
        <is>
          <t>Raised 2026-10-01: the 2S1-BE-13 API had no BTG screen. Built 2026-10-01 at /admin/closed-accounts. | Built 2026-10-01 at /admin/closed-accounts; sponsor-request pages gained Rejected, Reject and Reinstate so the reinstate link works; coming-of-age closures read-only. Independently reviewed.</t>
        </is>
      </c>
    </row>
    <row r="109" s="75">
      <c r="A109" s="112" t="n">
        <v>14.99</v>
      </c>
      <c r="B109" s="113" t="inlineStr">
        <is>
          <t>2S1-FE-13</t>
        </is>
      </c>
      <c r="C109" s="85" t="n">
        <v>1</v>
      </c>
      <c r="D109" s="86" t="inlineStr">
        <is>
          <t>Sprint 1 · External property onboarding</t>
        </is>
      </c>
      <c r="E109" s="121" t="inlineStr">
        <is>
          <t>FE</t>
        </is>
      </c>
      <c r="F109" s="122" t="inlineStr">
        <is>
          <t>Code</t>
        </is>
      </c>
      <c r="G109" s="84" t="inlineStr">
        <is>
          <t>BTG's Guardian handoffs desk</t>
        </is>
      </c>
      <c r="H109" s="116" t="inlineStr">
        <is>
          <t>Guardian handoffs by step: Waiting for BTG, In progress, Switched, Declined, Cancelled. When 'BTG staff confirm minors' is on, a handed-off request waits for BTG: the new guardian's details, their ID and proof (5-minute audited links), what the switch changes, and Confirm or Decline with a reason. With the setting off the desk is a record.</t>
        </is>
      </c>
      <c r="I109" s="108" t="inlineStr">
        <is>
          <t>Done</t>
        </is>
      </c>
      <c r="J109" s="108" t="n">
        <v>2</v>
      </c>
      <c r="K109" s="109" t="n">
        <v>46296</v>
      </c>
      <c r="L109" s="109" t="n">
        <v>46296</v>
      </c>
      <c r="M109" s="110" t="inlineStr">
        <is>
          <t>rcfworks</t>
        </is>
      </c>
      <c r="N109" s="85" t="n"/>
      <c r="O109" s="84" t="inlineStr">
        <is>
          <t>2S1-BE-15</t>
        </is>
      </c>
      <c r="P109" s="84" t="inlineStr">
        <is>
          <t>With staff confirmation on, BTG can open a handed-off request, view the new guardian's documents through 5-minute audited links, and confirm the switch or decline with a reason the requester reads; with it off the desk is read-only; BTG admins only</t>
        </is>
      </c>
      <c r="Q109" s="86" t="inlineStr">
        <is>
          <t>Claude Design GuardianHandoffs.dc.html (2026-10-01)</t>
        </is>
      </c>
      <c r="R109" s="111" t="inlineStr">
        <is>
          <t>Raised 2026-10-01: the staff-decision API had no BTG screen. Built 2026-10-01 at /admin/guardian-handoffs. | Built 2026-10-01 at /admin/guardian-handoffs; documents via 5-minute audited links; BTG decline reason emailed to the requester (handoff.declinedByBtg) and shown on their page. Independently reviewed.</t>
        </is>
      </c>
    </row>
    <row r="110">
      <c r="A110" s="112" t="n">
        <v>27.6</v>
      </c>
      <c r="B110" s="113" t="inlineStr">
        <is>
          <t>2S3-BE-06</t>
        </is>
      </c>
      <c r="C110" s="85" t="n">
        <v>3</v>
      </c>
      <c r="D110" s="86" t="inlineStr">
        <is>
          <t>Sprint 3 · Listing engine</t>
        </is>
      </c>
      <c r="E110" s="121" t="inlineStr">
        <is>
          <t>BE</t>
        </is>
      </c>
      <c r="F110" s="122" t="inlineStr">
        <is>
          <t>Code</t>
        </is>
      </c>
      <c r="G110" s="84" t="inlineStr">
        <is>
          <t>Listings publish automatically; BTG handles the exceptions</t>
        </is>
      </c>
      <c r="H110" s="116" t="inlineStr">
        <is>
          <t>A listing that passes the checks BTG's approval runs goes live on submit, the first one included. It waits for BTG only when flagged: restricted words in its title or description, or a seller not in good standing (closed, rejected, missing a document, in the coming-of-age pause, or a minor without a verified guardian). The reasons are stored and shown. BTG can pause or end any published listing with a reason that is emailed to the seller, and gets one daily summary of listings published automatically. No price check (left out on purpose).</t>
        </is>
      </c>
      <c r="I110" s="108" t="inlineStr">
        <is>
          <t>Done</t>
        </is>
      </c>
      <c r="J110" s="108" t="n">
        <v>3</v>
      </c>
      <c r="K110" s="109" t="n">
        <v>46297</v>
      </c>
      <c r="L110" s="109" t="n">
        <v>46297</v>
      </c>
      <c r="M110" s="110" t="inlineStr">
        <is>
          <t>rcfworks</t>
        </is>
      </c>
      <c r="N110" s="85" t="n"/>
      <c r="O110" s="84" t="inlineStr">
        <is>
          <t>2S3-BE-01, 2S3-BE-05, 2S1-BE-18</t>
        </is>
      </c>
      <c r="P110" s="84" t="inlineStr">
        <is>
          <t>A listing that passes the checks is published on submit without BTG; a closed, rejected or unapproved seller is refused; a listing with restricted words or from a seller BTG should look at waits for BTG with the reason; resuming a paused listing and reactivating an account take the same checks; BTG can approve a held listing and pause or end any listing with a reason emailed to the seller; BTG admins get one daily summary of automatic publishes; tenant and role tests cover it</t>
        </is>
      </c>
      <c r="Q110" s="86" t="inlineStr">
        <is>
          <t>BTG admin review item 8 (2026-10-02)</t>
        </is>
      </c>
      <c r="R110" s="111" t="inlineStr">
        <is>
          <t>Raised 2026-10-02: the owner chose full automation for listings (item 8 of the BTG admin interventions). | Built and independently reviewed 2026-10-02: listings publish on submit when the checks pass; held for BTG on restricted words or a seller BTG should look at; resume, BTG put-back-live and account reactivation all re-run the checks; BTG pause/end any live listing with an emailed reason; one daily summary per BTG tenant.</t>
        </is>
      </c>
    </row>
    <row r="111">
      <c r="A111" s="112" t="n">
        <v>28.8</v>
      </c>
      <c r="B111" s="113" t="inlineStr">
        <is>
          <t>2S3-FE-04</t>
        </is>
      </c>
      <c r="C111" s="85" t="n">
        <v>3</v>
      </c>
      <c r="D111" s="86" t="inlineStr">
        <is>
          <t>Sprint 3 · Listing engine</t>
        </is>
      </c>
      <c r="E111" s="121" t="inlineStr">
        <is>
          <t>FE</t>
        </is>
      </c>
      <c r="F111" s="122" t="inlineStr">
        <is>
          <t>Code</t>
        </is>
      </c>
      <c r="G111" s="84" t="inlineStr">
        <is>
          <t>Automatic listing publishing, on screen</t>
        </is>
      </c>
      <c r="H111" s="116" t="inlineStr">
        <is>
          <t>The seller's listing editors (team and independent athlete) say the listing goes live as soon as the checks pass, and after submitting show Live, or that BTG is taking a look (with the restricted words if those were the reason). BTG's marketplace console shows each held listing's reasons and a Published automatically tab with Pause and End (reason required).</t>
        </is>
      </c>
      <c r="I111" s="108" t="inlineStr">
        <is>
          <t>Done</t>
        </is>
      </c>
      <c r="J111" s="108" t="n">
        <v>2</v>
      </c>
      <c r="K111" s="109" t="n">
        <v>46297</v>
      </c>
      <c r="L111" s="109" t="n">
        <v>46297</v>
      </c>
      <c r="M111" s="110" t="inlineStr">
        <is>
          <t>rcfworks</t>
        </is>
      </c>
      <c r="N111" s="85" t="n"/>
      <c r="O111" s="84" t="inlineStr">
        <is>
          <t>2S3-BE-06</t>
        </is>
      </c>
      <c r="P111" s="84" t="inlineStr">
        <is>
          <t>The seller sees whether a submitted listing went live or is held, and why when it can fix it; BTG sees held listings with their reasons and listings published automatically, and can pause or end one with a reason</t>
        </is>
      </c>
      <c r="Q111" s="86" t="inlineStr">
        <is>
          <t>BTG admin review item 8 (2026-10-02)</t>
        </is>
      </c>
      <c r="R111" s="111" t="inlineStr">
        <is>
          <t>Raised 2026-10-02 with 2S3-BE-06. | Built and reviewed 2026-10-02: seller editors show Live or held (with the words to fix); marketplace console tabs Held for BTG, Published automatically, Live listings with Pause/End.</t>
        </is>
      </c>
    </row>
    <row r="112">
      <c r="A112" s="112" t="n">
        <v>36.5</v>
      </c>
      <c r="B112" s="113" t="inlineStr">
        <is>
          <t>2S4-BE-09</t>
        </is>
      </c>
      <c r="C112" s="85" t="n">
        <v>4</v>
      </c>
      <c r="D112" s="86" t="inlineStr">
        <is>
          <t>Sprint 4 · Cart, reservations &amp; orders</t>
        </is>
      </c>
      <c r="E112" s="121" t="inlineStr">
        <is>
          <t>BE</t>
        </is>
      </c>
      <c r="F112" s="122" t="inlineStr">
        <is>
          <t>Code</t>
        </is>
      </c>
      <c r="G112" s="84" t="inlineStr">
        <is>
          <t>Order approval by spending limit; seller approves listings that ask</t>
        </is>
      </c>
      <c r="H112" s="116" t="inlineStr">
        <is>
          <t>Replaces BTG's approval of orders of $1,000 or more and of every sponsor's first order. Each sponsor has a spending limit: it starts at $5,000 and rises to twice the sponsor's largest completed order, up to $25,000; a refund or an upheld problem stops it rising. Orders within the limit are approved automatically, the first one included; orders above it wait for BTG with the reason. A listing that asks for approval goes to its seller, who accepts or declines within 48 hours (silence declines). BTG gets one daily summary of orders approved automatically.</t>
        </is>
      </c>
      <c r="I112" s="108" t="inlineStr">
        <is>
          <t>Done</t>
        </is>
      </c>
      <c r="J112" s="108" t="n">
        <v>3</v>
      </c>
      <c r="K112" s="109" t="n">
        <v>46297</v>
      </c>
      <c r="L112" s="109" t="n">
        <v>46297</v>
      </c>
      <c r="M112" s="110" t="inlineStr">
        <is>
          <t>rcfworks</t>
        </is>
      </c>
      <c r="N112" s="85" t="n"/>
      <c r="O112" s="84" t="inlineStr">
        <is>
          <t>2S4-BE-03</t>
        </is>
      </c>
      <c r="P112" s="84" t="inlineStr">
        <is>
          <t>Orders within the sponsor's spending limit are approved automatically and only those above it wait for BTG with the reason; the limit grows with completed orders as set and stops after a refund or upheld problem; a listing that asks for approval is decided by its seller within 48 hours, silence declining; BTG gets one daily summary; tenant and role tests cover it</t>
        </is>
      </c>
      <c r="Q112" s="86" t="inlineStr">
        <is>
          <t>BTG admin review items 9-11 (2026-10-02)</t>
        </is>
      </c>
      <c r="R112" s="111" t="inlineStr">
        <is>
          <t>Raised 2026-10-02 from the BTG admin review (items 9-11): the owner chose full automation. | Built and independently reviewed 2026-10-02: per-sponsor spending limit ($5,000 start, 2x largest completed order, $25,000 cap, frozen by a refund or upheld problem); within it auto-approved; above it held for BTG; listings that ask go to the seller (48h, silence declines); daily summary. Race fixes c678ed5.</t>
        </is>
      </c>
    </row>
    <row r="113">
      <c r="A113" s="112" t="n">
        <v>36.6</v>
      </c>
      <c r="B113" s="113" t="inlineStr">
        <is>
          <t>2S4-BE-10</t>
        </is>
      </c>
      <c r="C113" s="85" t="n">
        <v>4</v>
      </c>
      <c r="D113" s="86" t="inlineStr">
        <is>
          <t>Sprint 4 · Cart, reservations &amp; orders</t>
        </is>
      </c>
      <c r="E113" s="121" t="inlineStr">
        <is>
          <t>BE</t>
        </is>
      </c>
      <c r="F113" s="122" t="inlineStr">
        <is>
          <t>Code</t>
        </is>
      </c>
      <c r="G113" s="84" t="inlineStr">
        <is>
          <t>Payment status automated: awaiting payment, Zoho invoices, reminders, auto-cancel</t>
        </is>
      </c>
      <c r="H113" s="116" t="inlineStr">
        <is>
          <t>An approved order moves to awaiting payment by itself. Card payments are marked paid by the provider, as today. An order paid by Zoho Books invoice is marked paid when Zoho marks the invoice paid (inbound webhook, queued). Unpaid orders get reminders at 1 and 2 days and are cancelled at 3 days, releasing the stock. BTG's manual Mark paid stays as a fallback and needs a method and a payment reference.</t>
        </is>
      </c>
      <c r="I113" s="108" t="inlineStr">
        <is>
          <t>Done</t>
        </is>
      </c>
      <c r="J113" s="108" t="n">
        <v>3</v>
      </c>
      <c r="K113" s="109" t="n">
        <v>46297</v>
      </c>
      <c r="L113" s="109" t="n">
        <v>46297</v>
      </c>
      <c r="M113" s="110" t="inlineStr">
        <is>
          <t>rcfworks</t>
        </is>
      </c>
      <c r="N113" s="85" t="n"/>
      <c r="O113" s="84" t="inlineStr">
        <is>
          <t>2S4-BE-09, P7-BE-04</t>
        </is>
      </c>
      <c r="P113" s="84" t="inlineStr">
        <is>
          <t>An approved order is awaiting payment without a manual step; a Zoho invoice marked paid moves its order to paid; an unpaid order is reminded at 1 and 2 days and cancelled at 3, never while a payment is in progress; a manual mark-paid needs a method and reference and is BTG admin or Finance only</t>
        </is>
      </c>
      <c r="Q113" s="86" t="inlineStr">
        <is>
          <t>BTG admin review items 9-11 (2026-10-02)</t>
        </is>
      </c>
      <c r="R113" s="111" t="inlineStr">
        <is>
          <t>Raised 2026-10-02 from the BTG admin review (items 9-11): the owner chose full automation. | Built and reviewed 2026-10-02: auto awaiting-payment; Zoho Books invoice paid -&gt; order paid (queued; tested against a simulated Zoho — BTG Zoho Books not connected yet); reminders day 1 and 2, cancel at 3 days, never during a card payment; manual Mark paid needs method + reference (BTG admin, Finance). Race fixes c678ed5.</t>
        </is>
      </c>
    </row>
    <row r="114">
      <c r="A114" s="112" t="n">
        <v>36.7</v>
      </c>
      <c r="B114" s="113" t="inlineStr">
        <is>
          <t>2S4-BE-11</t>
        </is>
      </c>
      <c r="C114" s="85" t="n">
        <v>4</v>
      </c>
      <c r="D114" s="86" t="inlineStr">
        <is>
          <t>Sprint 4 · Cart, reservations &amp; orders</t>
        </is>
      </c>
      <c r="E114" s="121" t="inlineStr">
        <is>
          <t>BE</t>
        </is>
      </c>
      <c r="F114" s="122" t="inlineStr">
        <is>
          <t>Code</t>
        </is>
      </c>
      <c r="G114" s="84" t="inlineStr">
        <is>
          <t>Delivery problems settled between seller and sponsor; BTG only on disagreement</t>
        </is>
      </c>
      <c r="H114" s="116" t="inlineStr">
        <is>
          <t>When a sponsor reports a problem, the seller has 72 hours to deliver again, refund the line, or disagree with a note. The sponsor has 72 hours to accept or reject that answer. An accepted answer settles automatically; BTG steps in only if the sponsor rejects or either side doesn't answer. Late sellers get a second reminder at 3 days and go to BTG at 7 days.</t>
        </is>
      </c>
      <c r="I114" s="108" t="inlineStr">
        <is>
          <t>Done</t>
        </is>
      </c>
      <c r="J114" s="108" t="n">
        <v>3</v>
      </c>
      <c r="K114" s="109" t="n">
        <v>46297</v>
      </c>
      <c r="L114" s="109" t="n">
        <v>46297</v>
      </c>
      <c r="M114" s="110" t="inlineStr">
        <is>
          <t>rcfworks</t>
        </is>
      </c>
      <c r="N114" s="85" t="n"/>
      <c r="O114" s="84" t="inlineStr">
        <is>
          <t>2S4-BE-07</t>
        </is>
      </c>
      <c r="P114" s="84" t="inlineStr">
        <is>
          <t>A reported problem is answered by the seller (deliver again, refund, or disagree) and accepted or rejected by the sponsor within 72 hours each; an accepted answer settles without BTG; BTG sees only rejected or unanswered cases with the reason; a late seller is reminded twice and escalated at 7 days</t>
        </is>
      </c>
      <c r="Q114" s="86" t="inlineStr">
        <is>
          <t>BTG admin review items 9-11 (2026-10-02)</t>
        </is>
      </c>
      <c r="R114" s="111" t="inlineStr">
        <is>
          <t>Raised 2026-10-02 from the BTG admin review (items 9-11): the owner chose full automation. | Built and reviewed 2026-10-02: seller answers a problem in 72h (deliver again, refund the line, disagree); sponsor accepts or rejects in 72h; settled without BTG unless rejected or unanswered; second overdue reminder at 3 days, BTG at 7. Agreed line refunds also stop the spending limit rising.</t>
        </is>
      </c>
    </row>
    <row r="115">
      <c r="A115" s="112" t="n">
        <v>38.5</v>
      </c>
      <c r="B115" s="113" t="inlineStr">
        <is>
          <t>2S4-FE-05</t>
        </is>
      </c>
      <c r="C115" s="85" t="n">
        <v>4</v>
      </c>
      <c r="D115" s="86" t="inlineStr">
        <is>
          <t>Sprint 4 · Cart, reservations &amp; orders</t>
        </is>
      </c>
      <c r="E115" s="121" t="inlineStr">
        <is>
          <t>FE</t>
        </is>
      </c>
      <c r="F115" s="122" t="inlineStr">
        <is>
          <t>Code</t>
        </is>
      </c>
      <c r="G115" s="84" t="inlineStr">
        <is>
          <t>Automatic order handling, on screen</t>
        </is>
      </c>
      <c r="H115" s="116" t="inlineStr">
        <is>
          <t>Screens from Claude Design (SellerOrderActions, SponsorOrderUpdates, OrderExceptions): the seller's accept/decline and problem answer; the sponsor's pay-by deadline, held and declined states and the answer to the seller's reply; BTG's revised Delivery issues, the sponsor spending-limit card and the Mark paid dialog with a reference.</t>
        </is>
      </c>
      <c r="I115" s="108" t="inlineStr">
        <is>
          <t>Done</t>
        </is>
      </c>
      <c r="J115" s="108" t="n">
        <v>3</v>
      </c>
      <c r="K115" s="109" t="n">
        <v>46297</v>
      </c>
      <c r="L115" s="109" t="n">
        <v>46297</v>
      </c>
      <c r="M115" s="110" t="inlineStr">
        <is>
          <t>rcfworks</t>
        </is>
      </c>
      <c r="N115" s="85" t="n"/>
      <c r="O115" s="84" t="inlineStr">
        <is>
          <t>2S4-BE-09, 2S4-BE-10, 2S4-BE-11</t>
        </is>
      </c>
      <c r="P115" s="84" t="inlineStr">
        <is>
          <t>Each party sees its next step and deadline: the seller can accept or decline an order and answer a problem, the sponsor can pay before the deadline and accept or reject the seller's answer, and BTG sees only the exceptions, a sponsor's limit, and can mark an order paid with a reference</t>
        </is>
      </c>
      <c r="Q115" s="86" t="inlineStr">
        <is>
          <t>BTG admin review items 9-11 (2026-10-02)</t>
        </is>
      </c>
      <c r="R115" s="111" t="inlineStr">
        <is>
          <t>Raised 2026-10-02 from the BTG admin review (items 9-11): the owner chose full automation. | Built from Claude Design (SellerOrderActions, SponsorOrderUpdates, OrderExceptions) and reviewed 2026-10-02: seller approvals and problem answers, sponsor status card with pay-by deadline and answer to the seller, BTG desk (needs BTG / settled / overdue), spending-limit card with held order, Mark paid dialog.</t>
        </is>
      </c>
    </row>
    <row r="116">
      <c r="A116" s="112" t="n">
        <v>60.5</v>
      </c>
      <c r="B116" s="113" t="inlineStr">
        <is>
          <t>2S8-QA-04</t>
        </is>
      </c>
      <c r="C116" s="85" t="n">
        <v>8</v>
      </c>
      <c r="D116" s="86" t="inlineStr">
        <is>
          <t>Sprint 8 · QA, security &amp; rollout</t>
        </is>
      </c>
      <c r="E116" s="121" t="inlineStr">
        <is>
          <t>QA</t>
        </is>
      </c>
      <c r="F116" s="122" t="inlineStr">
        <is>
          <t>Code</t>
        </is>
      </c>
      <c r="G116" s="84" t="inlineStr">
        <is>
          <t>Find the cross-suite test interference</t>
        </is>
      </c>
      <c r="H116" s="116" t="inlineStr">
        <is>
          <t>The backend suite runs its files in parallel on one database. A few suites fail now and then only when run with the others: next-public-apply (the advisor's login answers 403), notification-preferences, pilot-school (a duplicate athlete slug), phase2-guardian-acts (fixed 2026-10-01). Each passes alone. Find which suite or platform-wide sweep touches another suite's rows, and isolate it, so CI is reliably green.</t>
        </is>
      </c>
      <c r="I116" s="108" t="inlineStr">
        <is>
          <t>Done</t>
        </is>
      </c>
      <c r="J116" s="108" t="n">
        <v>1</v>
      </c>
      <c r="K116" s="109" t="n">
        <v>46297</v>
      </c>
      <c r="L116" s="109" t="n">
        <v>46297</v>
      </c>
      <c r="M116" s="110" t="inlineStr">
        <is>
          <t>rcfworks</t>
        </is>
      </c>
      <c r="N116" s="85" t="n"/>
      <c r="O116" s="84" t="n"/>
      <c r="P116" s="84" t="inlineStr">
        <is>
          <t>Five consecutive full backend runs pass with only known, tracked failures; the interfering suite or sweep is identified and isolated</t>
        </is>
      </c>
      <c r="Q116" s="86" t="inlineStr">
        <is>
          <t>Seen 2026-10-01 and 2026-10-02</t>
        </is>
      </c>
      <c r="R116" s="111" t="inlineStr">
        <is>
          <t>Raised 2026-10-02: intermittent failures that block a reliably green CI (and so the automatic deploy). | Reviewed 2026-10-02: causes found and isolated — a shared test tenant id (np_tenant), a slug shared with the walkthrough seed (riley-carter), a platform-wide coming-of-age sweep run with the clock 91 days ahead, and test servers bound to all addresses on macOS. Guard tests/suite-isolation.static.test.ts. Six consecutive clean runs; the only remaining failures are P9-QA-01 clauses 4-5, awaiting its owner for the new artwork gate (P9-BE-16).</t>
        </is>
      </c>
    </row>
    <row r="117">
      <c r="A117" s="112" t="n">
        <v>60.6</v>
      </c>
      <c r="B117" s="113" t="inlineStr">
        <is>
          <t>2S8-OPS-02</t>
        </is>
      </c>
      <c r="C117" s="85" t="n">
        <v>8</v>
      </c>
      <c r="D117" s="86" t="inlineStr">
        <is>
          <t>Sprint 8 · QA, security &amp; rollout</t>
        </is>
      </c>
      <c r="E117" s="121" t="inlineStr">
        <is>
          <t>OPS</t>
        </is>
      </c>
      <c r="F117" s="122" t="inlineStr">
        <is>
          <t>Code</t>
        </is>
      </c>
      <c r="G117" s="84" t="inlineStr">
        <is>
          <t>Pin the database time zone to UTC</t>
        </is>
      </c>
      <c r="H117" s="116" t="inlineStr">
        <is>
          <t>Timestamp columns hold UTC as timestamp-without-time-zone, but some SQL compares them with now() in the session's time zone: worker/jobs/expire-invitations.mts and the edition function in migration 20260925120000. They are correct only if the database session runs in UTC; on the local dev database (Asia/Manila) they are 8 hours off. Pin the time zone: ALTER DATABASE … SET timezone='UTC' on staging and production (and docker-compose, CI), and make the two SQL sites use now() AT TIME ZONE 'UTC' so they don't depend on it.</t>
        </is>
      </c>
      <c r="I117" s="108" t="inlineStr">
        <is>
          <t>Done</t>
        </is>
      </c>
      <c r="J117" s="108" t="n">
        <v>1</v>
      </c>
      <c r="K117" s="109" t="n">
        <v>46300</v>
      </c>
      <c r="L117" s="109" t="n">
        <v>46300</v>
      </c>
      <c r="M117" s="110" t="inlineStr">
        <is>
          <t>rcfworks</t>
        </is>
      </c>
      <c r="N117" s="85" t="n"/>
      <c r="O117" s="84" t="n"/>
      <c r="P117" s="84" t="inlineStr">
        <is>
          <t>Every environment's database runs in UTC, and no SQL depends on the session time zone; a test running under a non-UTC session passes</t>
        </is>
      </c>
      <c r="Q117" s="86" t="inlineStr">
        <is>
          <t>2S8-QA-04 investigation (2026-10-02)</t>
        </is>
      </c>
      <c r="R117" s="111" t="inlineStr">
        <is>
          <t>Raised 2026-10-02 by the 2S8-QA-04 investigation. | Started 2026-10-05. | Migration 20261005100000_utc_time_zone pins the database to UTC and redefines adslot_guard_sale; expire-invitations uses now() AT TIME ZONE UTC; Prisma + worker pools force TimeZone=UTC; docker-compose and CI pinned; utc-session.test passes under Manila and LA sessions. Done once the next deploy applies the migration on staging and production. | Merged to main_development 2026-10-05 (PR #153); Done once main is deployed to staging and production. | Staging deployed 2026-10-05 at 9865881: migration applied, database reports TimeZone=UTC (session and database setting). Production deploy pending; Done once it runs. | Production deployed 2026-10-05 at 9865881 (32 migrations applied); production and staging databases both report TimeZone=UTC (session and database setting). Every environment now runs in UTC.</t>
        </is>
      </c>
    </row>
    <row r="118" s="75">
      <c r="A118" s="112" t="n">
        <v>60.7</v>
      </c>
      <c r="B118" s="113" t="inlineStr">
        <is>
          <t>2S8-QA-05</t>
        </is>
      </c>
      <c r="C118" s="85" t="n">
        <v>8</v>
      </c>
      <c r="D118" s="86" t="inlineStr">
        <is>
          <t>Sprint 8 · QA, security &amp; rollout</t>
        </is>
      </c>
      <c r="E118" s="121" t="inlineStr">
        <is>
          <t>QA</t>
        </is>
      </c>
      <c r="F118" s="122" t="inlineStr">
        <is>
          <t>Code</t>
        </is>
      </c>
      <c r="G118" s="84" t="inlineStr">
        <is>
          <t>Three robustness gaps found while isolating the suite</t>
        </is>
      </c>
      <c r="H118" s="116" t="inlineStr">
        <is>
          <t>(1) Two applicants with the same display name at the same moment can collide on the athlete slug (uniqueSlug in application-intake.ts checks then inserts), so one gets a 500. (2) The walkthrough seed (worker/jobs/seed-personas.mts) only skips rows whose id exists, so a real applicant who already took the slug riley-carter would make it fail. (3) The payee's payout page rounds each order's figure up to zero, so a payee who owes money back after a refund that follows a payout doesn't see it.</t>
        </is>
      </c>
      <c r="I118" s="108" t="inlineStr">
        <is>
          <t>Done</t>
        </is>
      </c>
      <c r="J118" s="108" t="n">
        <v>1</v>
      </c>
      <c r="K118" s="109" t="n">
        <v>46300</v>
      </c>
      <c r="L118" s="109" t="n">
        <v>46300</v>
      </c>
      <c r="M118" s="110" t="inlineStr">
        <is>
          <t>rcfworks</t>
        </is>
      </c>
      <c r="N118" s="85" t="n"/>
      <c r="O118" s="84" t="n"/>
      <c r="P118" s="84" t="inlineStr">
        <is>
          <t>Same-name applicants never error; the seed runs on a non-empty database; a negative balance after a refund shows on the payee's payout page</t>
        </is>
      </c>
      <c r="Q118" s="86" t="inlineStr">
        <is>
          <t>2S8-QA-04 investigation (2026-10-02)</t>
        </is>
      </c>
      <c r="R118" s="111" t="inlineStr">
        <is>
          <t>Raised 2026-10-02 by the 2S8-QA-04 investigation. | Started 2026-10-05. | Same-name slugs retry under a savepoint (athlete-slug-race.test, 6 concurrent); seed-personas picks a free slug and skips on an email clash (pilot-school.test); GET /payouts/me returns balanceCents/owedBackCents and the athlete + property payout pages show money owed back (phase2-payouts.test, payouts-live.test). 2026-10-05 | Merged to main_development 2026-10-05 (PR #153).</t>
        </is>
      </c>
    </row>
    <row r="119" s="75">
      <c r="A119" s="112" t="n">
        <v>36.8</v>
      </c>
      <c r="B119" s="113" t="inlineStr">
        <is>
          <t>2S4-BE-12</t>
        </is>
      </c>
      <c r="C119" s="85" t="n">
        <v>4</v>
      </c>
      <c r="D119" s="86" t="inlineStr">
        <is>
          <t>Sprint 4 · Cart, reservations &amp; orders</t>
        </is>
      </c>
      <c r="E119" s="121" t="inlineStr">
        <is>
          <t>BE</t>
        </is>
      </c>
      <c r="F119" s="122" t="inlineStr">
        <is>
          <t>Code</t>
        </is>
      </c>
      <c r="G119" s="84" t="inlineStr">
        <is>
          <t>Cancelling a paid line: by the sponsor, by the seller; BTG only on disagreement</t>
        </is>
      </c>
      <c r="H119" s="116" t="inlineStr">
        <is>
          <t>A paid line not yet delivered. The sponsor cancels free until 3 days before its first date (refunded at once); closer than that the sponsor asks the seller, who has 72 hours (or until the first date): agreeing refunds the line, saying no or not answering sends it to BTG (keep or refund). From the first date: report a problem instead. The seller can cancel a line they can't deliver, with a reason; the sponsor is refunded at once. Two seller cancellations in 90 days hold that seller's new listings for BTG. Cancellation refunds don't stop the sponsor's spending limit rising.</t>
        </is>
      </c>
      <c r="I119" s="108" t="inlineStr">
        <is>
          <t>Done</t>
        </is>
      </c>
      <c r="J119" s="108" t="n">
        <v>3</v>
      </c>
      <c r="K119" s="109" t="n">
        <v>46297</v>
      </c>
      <c r="L119" s="109" t="n">
        <v>46297</v>
      </c>
      <c r="M119" s="110" t="inlineStr">
        <is>
          <t>rcfworks</t>
        </is>
      </c>
      <c r="N119" s="85" t="inlineStr">
        <is>
          <t>2S4-FE-06</t>
        </is>
      </c>
      <c r="O119" s="84" t="inlineStr">
        <is>
          <t>2S4-BE-07, 2S4-BE-11, 2S3-BE-06</t>
        </is>
      </c>
      <c r="P119" s="84" t="inlineStr">
        <is>
          <t>A sponsor cancels free before the cut-off and asks the seller after it; the seller agrees, declines or misses the deadline, and only the last two reach BTG; a seller cancels with a reason and the sponsor is refunded; a second seller cancellation within 90 days holds that seller's new listings; every refund happens once under concurrent clicks and the sweep</t>
        </is>
      </c>
      <c r="Q119" s="86" t="inlineStr">
        <is>
          <t>BTG admin review item 13, 2026-10-02</t>
        </is>
      </c>
      <c r="R119" s="111" t="inlineStr">
        <is>
          <t>Raised 2026-10-02 from the BTG admin review (item 13). Owner decisions: free cancellation until 3 days before; 2 seller cancellations in 90 days. | Reviewed 2026-10-02: 2311/2313 backend tests on two runs (only the known next-edition-e2e clauses 4-5 fail); every acceptance clause has a passing test in phase2-line-cancellation.</t>
        </is>
      </c>
    </row>
    <row r="120" s="75">
      <c r="A120" s="112" t="n">
        <v>36.9</v>
      </c>
      <c r="B120" s="113" t="inlineStr">
        <is>
          <t>2S4-BE-13</t>
        </is>
      </c>
      <c r="C120" s="85" t="n">
        <v>4</v>
      </c>
      <c r="D120" s="86" t="inlineStr">
        <is>
          <t>Sprint 4 · Cart, reservations &amp; orders</t>
        </is>
      </c>
      <c r="E120" s="121" t="inlineStr">
        <is>
          <t>BE</t>
        </is>
      </c>
      <c r="F120" s="122" t="inlineStr">
        <is>
          <t>Code</t>
        </is>
      </c>
      <c r="G120" s="84" t="inlineStr">
        <is>
          <t>Refunds to send</t>
        </is>
      </c>
      <c r="H120" s="116" t="inlineStr">
        <is>
          <t>Every refund of money actually received (a cancellation, an agreed problem refund, BTG's refund, a payment that arrived after cancellation) makes one row on Finance's Refunds to send list. Card refunds go back through the payment provider when it can (the staging stand-in does at once; production leaves the row open until a provider is connected). Finance marks the rest refunded with a method, reference and date; the sponsor is emailed and sees Refund on its way, then Refund sent. Zoho-invoiced orders remind Finance to issue a credit note.</t>
        </is>
      </c>
      <c r="I120" s="108" t="inlineStr">
        <is>
          <t>Done</t>
        </is>
      </c>
      <c r="J120" s="108" t="n">
        <v>2</v>
      </c>
      <c r="K120" s="109" t="n">
        <v>46297</v>
      </c>
      <c r="L120" s="109" t="n">
        <v>46297</v>
      </c>
      <c r="M120" s="110" t="inlineStr">
        <is>
          <t>rcfworks</t>
        </is>
      </c>
      <c r="N120" s="85" t="inlineStr">
        <is>
          <t>2S4-FE-06</t>
        </is>
      </c>
      <c r="O120" s="84" t="inlineStr">
        <is>
          <t>2S4-BE-10, 2S4-BE-12</t>
        </is>
      </c>
      <c r="P120" s="84" t="inlineStr">
        <is>
          <t>Each refund path makes exactly one row and an unpaid order makes none; BTG admin and Finance alone can mark a row sent, with a reference; the sponsor sees the refund's state and never a method or a reference</t>
        </is>
      </c>
      <c r="Q120" s="86" t="inlineStr">
        <is>
          <t>BTG admin review item 13, 2026-10-02</t>
        </is>
      </c>
      <c r="R120" s="111" t="inlineStr">
        <is>
          <t>Raised 2026-10-02 from the BTG admin review (item 13). | Reviewed 2026-10-02: each refund cause asserted; a card paid after cancellation gets its own row per attempt.</t>
        </is>
      </c>
    </row>
    <row r="121" s="75">
      <c r="A121" s="112" t="n">
        <v>38.6</v>
      </c>
      <c r="B121" s="113" t="inlineStr">
        <is>
          <t>2S4-FE-06</t>
        </is>
      </c>
      <c r="C121" s="85" t="n">
        <v>4</v>
      </c>
      <c r="D121" s="86" t="inlineStr">
        <is>
          <t>Sprint 4 · Cart, reservations &amp; orders</t>
        </is>
      </c>
      <c r="E121" s="121" t="inlineStr">
        <is>
          <t>FE</t>
        </is>
      </c>
      <c r="F121" s="122" t="inlineStr">
        <is>
          <t>Code</t>
        </is>
      </c>
      <c r="G121" s="84" t="inlineStr">
        <is>
          <t>Cancellations and refunds, on screen</t>
        </is>
      </c>
      <c r="H121" s="116" t="inlineStr">
        <is>
          <t>Built from the Claude Design file OrderCancellations. Sponsor: Cancel this session or Ask the seller to cancel, with the free-until date; the seller's answer; the refund's state. Seller: Can't deliver this session? (with the 90-day warning); answer a cancellation request. BTG: escalated cancellations on the Delivery issues desk. BTG and Finance: the Refunds to send page and the Mark refunded dialog.</t>
        </is>
      </c>
      <c r="I121" s="108" t="inlineStr">
        <is>
          <t>Done</t>
        </is>
      </c>
      <c r="J121" s="108" t="n">
        <v>3</v>
      </c>
      <c r="K121" s="109" t="n">
        <v>46297</v>
      </c>
      <c r="L121" s="109" t="n">
        <v>46297</v>
      </c>
      <c r="M121" s="110" t="inlineStr">
        <is>
          <t>rcfworks</t>
        </is>
      </c>
      <c r="N121" s="85" t="n"/>
      <c r="O121" s="84" t="inlineStr">
        <is>
          <t>2S4-BE-12, 2S4-BE-13</t>
        </is>
      </c>
      <c r="P121" s="84" t="inlineStr">
        <is>
          <t>Each party sees its next step and deadline: the sponsor can cancel or ask, the seller can cancel or answer, BTG decides only escalated requests, and Finance can mark a refund sent with a reference</t>
        </is>
      </c>
      <c r="Q121" s="86" t="inlineStr">
        <is>
          <t>BTG admin review item 13, 2026-10-02</t>
        </is>
      </c>
      <c r="R121" s="111" t="inlineStr">
        <is>
          <t>Raised 2026-10-02. Waiting for the OrderCancellations design from Claude Design. | Design received 2026-10-02 (OrderCancellations.dc.html); build started. | Reviewed 2026-10-02: all 14 design states built; frontend 1068/1068, tsc and eslint clean.</t>
        </is>
      </c>
    </row>
    <row r="122" s="75">
      <c r="A122" s="112" t="n">
        <v>44.1</v>
      </c>
      <c r="B122" s="113" t="inlineStr">
        <is>
          <t>2S5-BE-06</t>
        </is>
      </c>
      <c r="C122" s="85" t="n">
        <v>5</v>
      </c>
      <c r="D122" s="86" t="inlineStr">
        <is>
          <t>Sprint 5 · Payments, ledger &amp; payouts</t>
        </is>
      </c>
      <c r="E122" s="121" t="inlineStr">
        <is>
          <t>BE</t>
        </is>
      </c>
      <c r="F122" s="122" t="inlineStr">
        <is>
          <t>Code</t>
        </is>
      </c>
      <c r="G122" s="84" t="inlineStr">
        <is>
          <t>Payouts approved automatically</t>
        </is>
      </c>
      <c r="H122" s="116" t="inlineStr">
        <is>
          <t>A payout request is approved the moment it's made when the four checks pass (payment in, delivery confirmed, payout account ready, holding period passed), the payee isn't on hold, and it's under $2,000. A first payout needs no extra review. To BTG instead: the payout account changed in the last 7 days, or the payee's automatic approvals in 7 days (Phase 1 earnings included) would reach $5,000. BTG sees the reasons; the payee sees 'BTG is reviewing this payout'.</t>
        </is>
      </c>
      <c r="I122" s="108" t="inlineStr">
        <is>
          <t>Done</t>
        </is>
      </c>
      <c r="J122" s="108" t="n">
        <v>2</v>
      </c>
      <c r="K122" s="109" t="n">
        <v>46297</v>
      </c>
      <c r="L122" s="109" t="n">
        <v>46297</v>
      </c>
      <c r="M122" s="110" t="inlineStr">
        <is>
          <t>rcfworks</t>
        </is>
      </c>
      <c r="N122" s="85" t="inlineStr">
        <is>
          <t>2S5-FE-06</t>
        </is>
      </c>
      <c r="O122" s="84" t="inlineStr">
        <is>
          <t>2S5-BE-05</t>
        </is>
      </c>
      <c r="P122" s="84" t="inlineStr">
        <is>
          <t>A payout passing every check under $2,000 is approved without a person, a first payout included; a recent account change, the 7-day $5,000 total, a hold, or $2,000 or more sends it to BTG with the reason; two requests at once can't both pass the 7-day total</t>
        </is>
      </c>
      <c r="Q122" s="86" t="inlineStr">
        <is>
          <t>BTG admin review item 14, 2026-10-02</t>
        </is>
      </c>
      <c r="R122" s="111" t="inlineStr">
        <is>
          <t>Raised 2026-10-02 from the BTG admin review (item 14). Owner decisions: $2,000 limit; no first-payout review if the provider account is good; both safeguards. | Reviewed 2026-10-02: backend 2348/2350 on two runs (only next-edition-e2e 4-5); limit, first payout, account change, 7-day cap, hold and concurrency tested.</t>
        </is>
      </c>
    </row>
    <row r="123" s="75">
      <c r="A123" s="112" t="n">
        <v>44.2</v>
      </c>
      <c r="B123" s="113" t="inlineStr">
        <is>
          <t>2S5-BE-07</t>
        </is>
      </c>
      <c r="C123" s="85" t="n">
        <v>5</v>
      </c>
      <c r="D123" s="86" t="inlineStr">
        <is>
          <t>Sprint 5 · Payments, ledger &amp; payouts</t>
        </is>
      </c>
      <c r="E123" s="121" t="inlineStr">
        <is>
          <t>BE</t>
        </is>
      </c>
      <c r="F123" s="122" t="inlineStr">
        <is>
          <t>Code</t>
        </is>
      </c>
      <c r="G123" s="84" t="inlineStr">
        <is>
          <t>Failed payouts retried automatically</t>
        </is>
      </c>
      <c r="H123" s="116" t="inlineStr">
        <is>
          <t>Temporary provider failures retry up to 3 times (about 1, 6 and 24 hours); an account failure emails the payee to fix it and retries once the account is ready; anything else, or a failure that doesn't clear, goes to BTG, whose Retry still works.</t>
        </is>
      </c>
      <c r="I123" s="108" t="inlineStr">
        <is>
          <t>Done</t>
        </is>
      </c>
      <c r="J123" s="108" t="n">
        <v>1</v>
      </c>
      <c r="K123" s="109" t="n">
        <v>46297</v>
      </c>
      <c r="L123" s="109" t="n">
        <v>46297</v>
      </c>
      <c r="M123" s="110" t="inlineStr">
        <is>
          <t>rcfworks</t>
        </is>
      </c>
      <c r="N123" s="85" t="inlineStr">
        <is>
          <t>2S5-FE-06</t>
        </is>
      </c>
      <c r="O123" s="84" t="inlineStr">
        <is>
          <t>2S5-BE-05</t>
        </is>
      </c>
      <c r="P123" s="84" t="inlineStr">
        <is>
          <t>Temporary failures retry on the schedule and stop after 3; an account failure emails the payee and retries when the account is ready; only the rest reach BTG; no retry is sent twice</t>
        </is>
      </c>
      <c r="Q123" s="86" t="inlineStr">
        <is>
          <t>BTG admin review item 15, 2026-10-02</t>
        </is>
      </c>
      <c r="R123" s="111" t="inlineStr">
        <is>
          <t>Raised 2026-10-02 from the BTG admin review (item 15). | Reviewed 2026-10-02: TEMPORARY, ACCOUNT and OTHER failures tested; sweep idempotent.</t>
        </is>
      </c>
    </row>
    <row r="124" s="75">
      <c r="A124" s="112" t="n">
        <v>44.3</v>
      </c>
      <c r="B124" s="113" t="inlineStr">
        <is>
          <t>2S5-BE-08</t>
        </is>
      </c>
      <c r="C124" s="85" t="n">
        <v>5</v>
      </c>
      <c r="D124" s="86" t="inlineStr">
        <is>
          <t>Sprint 5 · Payments, ledger &amp; payouts</t>
        </is>
      </c>
      <c r="E124" s="121" t="inlineStr">
        <is>
          <t>BE</t>
        </is>
      </c>
      <c r="F124" s="122" t="inlineStr">
        <is>
          <t>Code</t>
        </is>
      </c>
      <c r="G124" s="84" t="inlineStr">
        <is>
          <t>Phase 1 earnings approved for payout automatically</t>
        </is>
      </c>
      <c r="H124" s="116" t="inlineStr">
        <is>
          <t>An earning that becomes eligible moves on to approved for payout when it isn't held or disputed, the athlete isn't on hold, it's under $2,000 and within the athlete's 7-day $5,000 automatic total. Otherwise it stays eligible for Finance with the reasons. Paid stays with Finance until a provider is connected.</t>
        </is>
      </c>
      <c r="I124" s="108" t="inlineStr">
        <is>
          <t>Done</t>
        </is>
      </c>
      <c r="J124" s="108" t="n">
        <v>1</v>
      </c>
      <c r="K124" s="109" t="n">
        <v>46297</v>
      </c>
      <c r="L124" s="109" t="n">
        <v>46297</v>
      </c>
      <c r="M124" s="110" t="inlineStr">
        <is>
          <t>rcfworks</t>
        </is>
      </c>
      <c r="N124" s="85" t="inlineStr">
        <is>
          <t>2S5-FE-06</t>
        </is>
      </c>
      <c r="O124" s="84" t="inlineStr">
        <is>
          <t>P7-BE-02, 2S5-BE-06</t>
        </is>
      </c>
      <c r="P124" s="84" t="inlineStr">
        <is>
          <t>An eligible earning within the rule is approved for payout without a person; one outside it stays eligible with its reasons; held and disputed earnings are never touched; paid stays manual</t>
        </is>
      </c>
      <c r="Q124" s="86" t="inlineStr">
        <is>
          <t>BTG admin review item 17, 2026-10-02</t>
        </is>
      </c>
      <c r="R124" s="111" t="inlineStr">
        <is>
          <t>Raised 2026-10-02 from the BTG admin review (item 17). | Reviewed 2026-10-02: auto-approve, reasons, HELD/DISPUTED untouched, PAID manual tested.</t>
        </is>
      </c>
    </row>
    <row r="125" s="75">
      <c r="A125" s="112" t="n">
        <v>47.6</v>
      </c>
      <c r="B125" s="113" t="inlineStr">
        <is>
          <t>2S5-FE-06</t>
        </is>
      </c>
      <c r="C125" s="85" t="n">
        <v>5</v>
      </c>
      <c r="D125" s="86" t="inlineStr">
        <is>
          <t>Sprint 5 · Payments, ledger &amp; payouts</t>
        </is>
      </c>
      <c r="E125" s="121" t="inlineStr">
        <is>
          <t>FE</t>
        </is>
      </c>
      <c r="F125" s="122" t="inlineStr">
        <is>
          <t>Code</t>
        </is>
      </c>
      <c r="G125" s="84" t="inlineStr">
        <is>
          <t>Automatic payouts, on screen</t>
        </is>
      </c>
      <c r="H125" s="116" t="inlineStr">
        <is>
          <t>Small changes to the existing payout screens, no new design. BTG: Approved automatically, the reasons a payout waits, the retry status, and a needs-BTG view. Payees: Approved automatically, BTG is reviewing this payout, Fix your payout account. Finance: Approved automatically on Phase 1 earnings.</t>
        </is>
      </c>
      <c r="I125" s="108" t="inlineStr">
        <is>
          <t>Done</t>
        </is>
      </c>
      <c r="J125" s="108" t="n">
        <v>1</v>
      </c>
      <c r="K125" s="109" t="n">
        <v>46297</v>
      </c>
      <c r="L125" s="109" t="n">
        <v>46297</v>
      </c>
      <c r="M125" s="110" t="inlineStr">
        <is>
          <t>rcfworks</t>
        </is>
      </c>
      <c r="N125" s="85" t="n"/>
      <c r="O125" s="84" t="inlineStr">
        <is>
          <t>2S5-BE-06, 2S5-BE-07, 2S5-BE-08</t>
        </is>
      </c>
      <c r="P125" s="84" t="inlineStr">
        <is>
          <t>Each payout and earning shows whether it was approved automatically or why it waits, and BTG's list defaults to what needs BTG</t>
        </is>
      </c>
      <c r="Q125" s="86" t="inlineStr">
        <is>
          <t>BTG admin review items 14, 15 and 17, 2026-10-02</t>
        </is>
      </c>
      <c r="R125" s="111" t="inlineStr">
        <is>
          <t>Raised 2026-10-02 from the BTG admin review. | Reviewed 2026-10-02: payout and earnings screens show approved automatically, reasons and retry status.</t>
        </is>
      </c>
    </row>
    <row r="126" s="75">
      <c r="A126" s="112" t="n">
        <v>60.8</v>
      </c>
      <c r="B126" s="113" t="inlineStr">
        <is>
          <t>2S8-QA-06</t>
        </is>
      </c>
      <c r="C126" s="85" t="n">
        <v>8</v>
      </c>
      <c r="D126" s="86" t="inlineStr">
        <is>
          <t>Sprint 8 · QA, security &amp; rollout</t>
        </is>
      </c>
      <c r="E126" s="121" t="inlineStr">
        <is>
          <t>QA</t>
        </is>
      </c>
      <c r="F126" s="122" t="inlineStr">
        <is>
          <t>Code</t>
        </is>
      </c>
      <c r="G126" s="84" t="inlineStr">
        <is>
          <t>Database rules installed by a deploy match the tests</t>
        </is>
      </c>
      <c r="H126" s="116" t="inlineStr">
        <is>
          <t>CI re-applies prisma/sql after migrating; a deploy only migrates. The contract gate's lock on an order's acceptance and billing contact (2S4-FE-02) lived only in prisma/sql, so staging and production lacked it. Migration 20261004000000 installs it, and a guard test builds a database from the migrations alone and fails if applying prisma/sql changes anything.</t>
        </is>
      </c>
      <c r="I126" s="108" t="inlineStr">
        <is>
          <t>Done</t>
        </is>
      </c>
      <c r="J126" s="108" t="n">
        <v>1</v>
      </c>
      <c r="K126" s="109" t="n">
        <v>46298</v>
      </c>
      <c r="L126" s="109" t="n">
        <v>46298</v>
      </c>
      <c r="M126" s="110" t="inlineStr">
        <is>
          <t>rcfworks</t>
        </is>
      </c>
      <c r="N126" s="85" t="n"/>
      <c r="O126" s="84" t="inlineStr">
        <is>
          <t>2S4-FE-02</t>
        </is>
      </c>
      <c r="P126" s="84" t="inlineStr">
        <is>
          <t>A database built only by migrations has every rule in prisma/sql; the guard fails on any drift</t>
        </is>
      </c>
      <c r="Q126" s="86" t="inlineStr">
        <is>
          <t>Found 2026-10-03 by a failing phase2-orders test on a fresh database</t>
        </is>
      </c>
      <c r="R126" s="111" t="inlineStr">
        <is>
          <t>Raised and closed 2026-10-03. Fix 4fccf98; guard tests/sql-rules-in-migrations.test.ts (verified to fail without the fix).</t>
        </is>
      </c>
    </row>
    <row r="127" s="75">
      <c r="A127" s="112" t="n">
        <v>62.1</v>
      </c>
      <c r="B127" s="113" t="inlineStr">
        <is>
          <t>2S8-SEC-03</t>
        </is>
      </c>
      <c r="C127" s="85" t="n">
        <v>8</v>
      </c>
      <c r="D127" s="86" t="inlineStr">
        <is>
          <t>Sprint 8 · QA, security &amp; rollout</t>
        </is>
      </c>
      <c r="E127" s="121" t="inlineStr">
        <is>
          <t>SEC</t>
        </is>
      </c>
      <c r="F127" s="122" t="inlineStr">
        <is>
          <t>Code</t>
        </is>
      </c>
      <c r="G127" s="84" t="inlineStr">
        <is>
          <t>Pin type and size on every private upload</t>
        </is>
      </c>
      <c r="H127" s="116" t="inlineStr">
        <is>
          <t>The private-bucket upload URLs (account, onboarding, organisation, sponsor-request, hand-off, support and profile-change documents) pin neither content type nor length. Their confirm step checks size but not type, and does not delete an oversized object. Pin {signContentType, contentLength} at each presign, compare the object's type and size on confirm, and delete it on a mismatch.</t>
        </is>
      </c>
      <c r="I127" s="108" t="inlineStr">
        <is>
          <t>Done</t>
        </is>
      </c>
      <c r="J127" s="108" t="n">
        <v>1</v>
      </c>
      <c r="K127" s="109" t="n">
        <v>46300</v>
      </c>
      <c r="L127" s="109" t="n">
        <v>46300</v>
      </c>
      <c r="M127" s="110" t="inlineStr">
        <is>
          <t>rcfworks</t>
        </is>
      </c>
      <c r="N127" s="85" t="n"/>
      <c r="O127" s="84" t="inlineStr">
        <is>
          <t>2S8-SEC-02</t>
        </is>
      </c>
      <c r="P127" s="84" t="inlineStr">
        <is>
          <t>Every private upload URL is signed for one type and size; a mismatched object is refused and deleted on confirm, proven end to end</t>
        </is>
      </c>
      <c r="Q127" s="86" t="inlineStr">
        <is>
          <t>documentation/SponsorX-Security-Review-2026-10.md §A04 (Open, Medium)</t>
        </is>
      </c>
      <c r="R127" s="111" t="inlineStr">
        <is>
          <t>Raised 2026-10-05 by 2S8-SEC-02. | All ten private presigns pin type + length; every confirm/register step HEADs the object and refuses (422), deletes and audits a mismatch. private-upload-pins.test runs each flow against an in-process bucket that checks signatures like R2. 2026-10-05</t>
        </is>
      </c>
    </row>
    <row r="128" s="75">
      <c r="A128" s="112" t="n">
        <v>62.2</v>
      </c>
      <c r="B128" s="113" t="inlineStr">
        <is>
          <t>2S8-SEC-04</t>
        </is>
      </c>
      <c r="C128" s="85" t="n">
        <v>8</v>
      </c>
      <c r="D128" s="86" t="inlineStr">
        <is>
          <t>Sprint 8 · QA, security &amp; rollout</t>
        </is>
      </c>
      <c r="E128" s="121" t="inlineStr">
        <is>
          <t>SEC</t>
        </is>
      </c>
      <c r="F128" s="122" t="inlineStr">
        <is>
          <t>Code</t>
        </is>
      </c>
      <c r="G128" s="84" t="inlineStr">
        <is>
          <t>A replayed invoice webhook can't roll an invoice back</t>
        </is>
      </c>
      <c r="H128" s="116" t="inlineStr">
        <is>
          <t>Zoho Books sends no timestamp, so replaying an old, correctly signed invoice webhook could roll an invoice's status back. Make the ingest refuse a payload that would move the stored state backwards (paid never goes back to sent).</t>
        </is>
      </c>
      <c r="I128" s="108" t="inlineStr">
        <is>
          <t>Done</t>
        </is>
      </c>
      <c r="J128" s="108" t="n">
        <v>1</v>
      </c>
      <c r="K128" s="109" t="n">
        <v>46300</v>
      </c>
      <c r="L128" s="109" t="n">
        <v>46300</v>
      </c>
      <c r="M128" s="110" t="inlineStr">
        <is>
          <t>rcfworks</t>
        </is>
      </c>
      <c r="N128" s="85" t="n"/>
      <c r="O128" s="84" t="inlineStr">
        <is>
          <t>2S8-SEC-02</t>
        </is>
      </c>
      <c r="P128" s="84" t="inlineStr">
        <is>
          <t>A replayed older invoice webhook leaves the stored status unchanged; paid never returns to sent</t>
        </is>
      </c>
      <c r="Q128" s="86" t="inlineStr">
        <is>
          <t>documentation/SponsorX-Security-Review-2026-10.md §A04 (Open, Low)</t>
        </is>
      </c>
      <c r="R128" s="111" t="inlineStr">
        <is>
          <t>Raised 2026-10-05 by 2S8-SEC-02. | Invoice ingest refuses a backwards move (paid never returns to sent), audits invoice.staleRefused, answers 202 so Zoho does not retry; invoice-replay.test replays signed bytes through the real route. A genuine backwards move in Zoho is held for BTG too (no timestamp to tell them apart). 2026-10-05</t>
        </is>
      </c>
    </row>
    <row r="129" s="75">
      <c r="A129" s="112" t="n">
        <v>62.3</v>
      </c>
      <c r="B129" s="113" t="inlineStr">
        <is>
          <t>2S8-SEC-05</t>
        </is>
      </c>
      <c r="C129" s="85" t="n">
        <v>8</v>
      </c>
      <c r="D129" s="86" t="inlineStr">
        <is>
          <t>Sprint 8 · QA, security &amp; rollout</t>
        </is>
      </c>
      <c r="E129" s="121" t="inlineStr">
        <is>
          <t>SEC</t>
        </is>
      </c>
      <c r="F129" s="122" t="inlineStr">
        <is>
          <t>Code</t>
        </is>
      </c>
      <c r="G129" s="84" t="inlineStr">
        <is>
          <t>Small hardening items from the security review</t>
        </is>
      </c>
      <c r="H129" s="116" t="inlineStr">
        <is>
          <t>(1) GET /athletes/:id/rates answers 200 [] for a real athlete but 403 for a missing id, revealing which ids exist. (2) Restrict Zoho CRM notification module and ids to an enum and digits. (3) Turn off JavaScript in the PDF renderer once the report is confirmed to need none. (4) Stop the worker logging non-fan email addresses. (5) Add import "server-only" to frontend/src/server/{api,edge,payouts}.ts. (6) Run one git-history secret scan (e.g. gitleaks).</t>
        </is>
      </c>
      <c r="I129" s="108" t="inlineStr">
        <is>
          <t>Done</t>
        </is>
      </c>
      <c r="J129" s="108" t="n">
        <v>1</v>
      </c>
      <c r="K129" s="109" t="n">
        <v>46300</v>
      </c>
      <c r="L129" s="109" t="n">
        <v>46300</v>
      </c>
      <c r="M129" s="110" t="inlineStr">
        <is>
          <t>rcfworks</t>
        </is>
      </c>
      <c r="N129" s="85" t="n"/>
      <c r="O129" s="84" t="inlineStr">
        <is>
          <t>2S8-SEC-02</t>
        </is>
      </c>
      <c r="P129" s="84" t="inlineStr">
        <is>
          <t>Each item is fixed with a test, or recorded as declined with a reason in the security review</t>
        </is>
      </c>
      <c r="Q129" s="86" t="inlineStr">
        <is>
          <t>documentation/SponsorX-Security-Review-2026-10.md §A01, §A09, §A10, Follow-ups</t>
        </is>
      </c>
      <c r="R129" s="111" t="inlineStr">
        <is>
          <t>Raised 2026-10-05 by 2S8-SEC-02. | Rates probe answers the same 403; Zoho CRM module enum + digit ids; PDF renderer JS off; worker logs mask emails; server-only on frontend/src/server/{api,edge,payouts}.ts; git-history secret scan (868 commits) clean via npm run secrets:scan:history. security-hardening.test. 2026-10-05</t>
        </is>
      </c>
    </row>
    <row r="130" s="75">
      <c r="A130" s="112" t="n">
        <v>62.4</v>
      </c>
      <c r="B130" s="113" t="inlineStr">
        <is>
          <t>2S8-QA-07</t>
        </is>
      </c>
      <c r="C130" s="85" t="n">
        <v>8</v>
      </c>
      <c r="D130" s="86" t="inlineStr">
        <is>
          <t>Sprint 8 · QA, security &amp; rollout</t>
        </is>
      </c>
      <c r="E130" s="121" t="inlineStr">
        <is>
          <t>QA</t>
        </is>
      </c>
      <c r="F130" s="122" t="inlineStr">
        <is>
          <t>Code</t>
        </is>
      </c>
      <c r="G130" s="84" t="inlineStr">
        <is>
          <t>Guard tests cover writes and same-tenant access</t>
        </is>
      </c>
      <c r="H130" s="116" t="inlineStr">
        <is>
          <t>tenant-scope.static checks reads only, and tenant-isolation sweeps across tenants but not within one (sponsor vs sponsor, athlete vs athlete). Extend both so an unscoped write or a same-tenant cross-account read fails the suite.</t>
        </is>
      </c>
      <c r="I130" s="108" t="inlineStr">
        <is>
          <t>Done</t>
        </is>
      </c>
      <c r="J130" s="108" t="n">
        <v>2</v>
      </c>
      <c r="K130" s="109" t="n">
        <v>46300</v>
      </c>
      <c r="L130" s="109" t="n">
        <v>46300</v>
      </c>
      <c r="M130" s="110" t="inlineStr">
        <is>
          <t>rcfworks</t>
        </is>
      </c>
      <c r="N130" s="85" t="n"/>
      <c r="O130" s="84" t="inlineStr">
        <is>
          <t>2S8-SEC-02</t>
        </is>
      </c>
      <c r="P130" s="84" t="inlineStr">
        <is>
          <t>The guard tests fail on an unscoped write and on a same-tenant cross-account read, shown by a deliberately broken route</t>
        </is>
      </c>
      <c r="Q130" s="86" t="inlineStr">
        <is>
          <t>documentation/SponsorX-Security-Review-2026-10.md, Other checks (Open, Info)</t>
        </is>
      </c>
      <c r="R130" s="111" t="inlineStr">
        <is>
          <t>Raised 2026-10-05 by 2S8-SEC-02. | tenant-scope.static now checks writes (3 fixed, 42 justified per call site); tenant-isolation adds same-tenant second sponsor and athlete across 197 record routes. Proven by a scratch break of GET /briefs/:id and respondToOffer. No real leak found. 2026-10-05</t>
        </is>
      </c>
    </row>
    <row r="131" s="75">
      <c r="A131" s="112" t="n">
        <v>62.5</v>
      </c>
      <c r="B131" s="113" t="inlineStr">
        <is>
          <t>2S8-PMO-02</t>
        </is>
      </c>
      <c r="C131" s="85" t="n">
        <v>8</v>
      </c>
      <c r="D131" s="86" t="inlineStr">
        <is>
          <t>Sprint 8 · QA, security &amp; rollout</t>
        </is>
      </c>
      <c r="E131" s="121" t="inlineStr">
        <is>
          <t>PMO</t>
        </is>
      </c>
      <c r="F131" s="122" t="inlineStr">
        <is>
          <t>Document</t>
        </is>
      </c>
      <c r="G131" s="84" t="inlineStr">
        <is>
          <t>Security settings the owner decides</t>
        </is>
      </c>
      <c r="H131" s="116" t="inlineStr">
        <is>
          <t>Seven decisions from the security review: (1) a full CSP, report-only first; (2) HSTS includeSubDomains / preload; (3) Clerk authorizedParties, listing every web origin first; (4) how long intake, onboarding, sign-up and sponsor-request links live; (5) whether a profile claimant confirms their email before an advisor verifies; (6) set PAYMENT_PROVIDER=none explicitly on Railway production; (7) set STANDIN_PROVIDER_SECRET explicitly on staging.</t>
        </is>
      </c>
      <c r="I131" s="108" t="inlineStr">
        <is>
          <t>Done</t>
        </is>
      </c>
      <c r="J131" s="108" t="n">
        <v>1</v>
      </c>
      <c r="K131" s="109" t="n">
        <v>46301</v>
      </c>
      <c r="L131" s="109" t="n">
        <v>46302</v>
      </c>
      <c r="M131" s="110" t="inlineStr">
        <is>
          <t>rcfworks</t>
        </is>
      </c>
      <c r="N131" s="85" t="n"/>
      <c r="O131" s="84" t="inlineStr">
        <is>
          <t>2S8-SEC-02</t>
        </is>
      </c>
      <c r="P131" s="84" t="inlineStr">
        <is>
          <t>Each of the seven decisions is recorded in the security review, and every setting chosen is applied on Railway</t>
        </is>
      </c>
      <c r="Q131" s="86" t="inlineStr">
        <is>
          <t>documentation/SponsorX-Security-Review-2026-10.md, Decisions for the owner</t>
        </is>
      </c>
      <c r="R131" s="111" t="inlineStr">
        <is>
          <t>Raised 2026-10-05 by 2S8-SEC-02. | Owner decided all seven 2026-10-06, recorded in documentation/SponsorX-Security-Review-2026-10.md. Applied on Railway: (6) PAYMENT_PROVIDER=none on production; (7) STANDIN_PROVIDER_SECRET on staging; (3) CLERK_AUTHORIZED_PARTIES on api+web, staging and production. Built and tested: (1) CSP report-only + /public/csp-report; (2) HSTS includeSubDomains, no preload; (3) Clerk authorizedParties; (4) 14-day links, intake purpose prefix, /public/links/renew, old links accepted until 2026-10-20; (5) profile claim email confirmation (PENDING_EMAIL). Done once deployed to staging and production. | Acceptance met 2026-10-07: all seven decisions recorded in the security review; every Railway setting applied (PAYMENT_PROVIDER=none production, STANDIN_PROVIDER_SECRET staging, CLERK_AUTHORIZED_PARTIES api+web both environments). Code live on staging (acbb23a→0f5d66a) and verified: HSTS includeSubDomains, CSP report-only + csp-report 202, links/renew, claim migrations, Clerk sign-in with authorizedParties (test team dashboard loads, no 401/403). Production picks up the code on the next deploy (release moves after the 8 pm CI).</t>
        </is>
      </c>
    </row>
    <row r="132" s="75">
      <c r="A132" s="112" t="n">
        <v>47.7</v>
      </c>
      <c r="B132" s="113" t="inlineStr">
        <is>
          <t>2S5-FE-07</t>
        </is>
      </c>
      <c r="C132" s="85" t="n">
        <v>5</v>
      </c>
      <c r="D132" s="86" t="inlineStr">
        <is>
          <t>Sprint 5 · Payments, ledger &amp; payouts</t>
        </is>
      </c>
      <c r="E132" s="121" t="inlineStr">
        <is>
          <t>FE</t>
        </is>
      </c>
      <c r="F132" s="122" t="inlineStr">
        <is>
          <t>Code</t>
        </is>
      </c>
      <c r="G132" s="84" t="inlineStr">
        <is>
          <t>BTG's payment exceptions page</t>
        </is>
      </c>
      <c r="H132" s="116" t="inlineStr">
        <is>
          <t>A page at /admin/payments/events listing provider events that need BTG: HELD (a payment succeeding after a recorded failure, a wrong amount, a partial refund), and FAILED (deferred too long). It shows the reason, and BTG closes each with a note. The API serves GET /payment-events and POST /payment-events/{id}/resolve; the emails already link here.</t>
        </is>
      </c>
      <c r="I132" s="108" t="inlineStr">
        <is>
          <t>Done</t>
        </is>
      </c>
      <c r="J132" s="108" t="n">
        <v>1</v>
      </c>
      <c r="K132" s="109" t="n">
        <v>46302</v>
      </c>
      <c r="L132" s="109" t="n">
        <v>46302</v>
      </c>
      <c r="M132" s="110" t="inlineStr">
        <is>
          <t>HeckerCreatives</t>
        </is>
      </c>
      <c r="N132" s="85" t="n"/>
      <c r="O132" s="84" t="inlineStr">
        <is>
          <t>2S5-INT-02</t>
        </is>
      </c>
      <c r="P132" s="84" t="inlineStr">
        <is>
          <t>BTG sees every held or failed payment event with its reason and can close it with a note; the list shows only their tenant</t>
        </is>
      </c>
      <c r="Q132" s="86" t="inlineStr">
        <is>
          <t>backend/src/routes/v1/payments.ts</t>
        </is>
      </c>
      <c r="R132" s="111" t="inlineStr">
        <is>
          <t>Raised 2026-10-05 by 2S5-INT-02 (API built, screen not). Built 2026-10-07 (HeckerCreatives, via Claude) on feature/P2-FE-screens — spec docs/superpowers/specs/2026-10-07-phase2-frontend-screens-design.md. QA'd on real data 2026-10-07 (e2e/qa-phase2*.spec.ts) and moved to Done by the owner.</t>
        </is>
      </c>
    </row>
    <row r="133" s="75">
      <c r="A133" s="112" t="n">
        <v>47.8</v>
      </c>
      <c r="B133" s="113" t="inlineStr">
        <is>
          <t>2S5-FE-08</t>
        </is>
      </c>
      <c r="C133" s="85" t="n">
        <v>5</v>
      </c>
      <c r="D133" s="86" t="inlineStr">
        <is>
          <t>Sprint 5 · Payments, ledger &amp; payouts</t>
        </is>
      </c>
      <c r="E133" s="121" t="inlineStr">
        <is>
          <t>FE</t>
        </is>
      </c>
      <c r="F133" s="122" t="inlineStr">
        <is>
          <t>Code</t>
        </is>
      </c>
      <c r="G133" s="84" t="inlineStr">
        <is>
          <t>Dispute list and resolve pages for BTG</t>
        </is>
      </c>
      <c r="H133" s="116" t="inlineStr">
        <is>
          <t>/admin/payments/disputes and /admin/payments/disputes/{id}: list disputes (OPEN, UNDER_REVIEW, WON, LOST) with the frozen order and amount; a BTG admin moves one to review with a note and resolves it to the provider's outcome. For a partial loss, BTG names the lines. Finance can see but not resolve. The API serves /disputes; the dispute emails link to the detail page.</t>
        </is>
      </c>
      <c r="I133" s="108" t="inlineStr">
        <is>
          <t>Done</t>
        </is>
      </c>
      <c r="J133" s="108" t="n">
        <v>2</v>
      </c>
      <c r="K133" s="109" t="n">
        <v>46302</v>
      </c>
      <c r="L133" s="109" t="n">
        <v>46302</v>
      </c>
      <c r="M133" s="110" t="inlineStr">
        <is>
          <t>HeckerCreatives</t>
        </is>
      </c>
      <c r="N133" s="85" t="n"/>
      <c r="O133" s="84" t="inlineStr">
        <is>
          <t>2S5-BE-03</t>
        </is>
      </c>
      <c r="P133" s="84" t="inlineStr">
        <is>
          <t>BTG reviews and resolves a dispute on screen to the provider's outcome; Finance sees the dispute but has no resolve button</t>
        </is>
      </c>
      <c r="Q133" s="86" t="inlineStr">
        <is>
          <t>backend/src/routes/v1/payments.ts; documentation/SponsorX-Phase2-State-Machines.md</t>
        </is>
      </c>
      <c r="R133" s="111" t="inlineStr">
        <is>
          <t>Raised 2026-10-05 by 2S5-BE-03 (API built, screens not). Built 2026-10-07 (HeckerCreatives, via Claude) on feature/P2-FE-screens — spec docs/superpowers/specs/2026-10-07-phase2-frontend-screens-design.md. QA'd on real data 2026-10-07 (e2e/qa-phase2*.spec.ts) and moved to Done by the owner.</t>
        </is>
      </c>
    </row>
    <row r="134" s="75">
      <c r="A134" s="112" t="n">
        <v>47.9</v>
      </c>
      <c r="B134" s="113" t="inlineStr">
        <is>
          <t>2S5-FE-09</t>
        </is>
      </c>
      <c r="C134" s="85" t="n">
        <v>5</v>
      </c>
      <c r="D134" s="86" t="inlineStr">
        <is>
          <t>Sprint 5 · Payments, ledger &amp; payouts</t>
        </is>
      </c>
      <c r="E134" s="121" t="inlineStr">
        <is>
          <t>FE</t>
        </is>
      </c>
      <c r="F134" s="122" t="inlineStr">
        <is>
          <t>Code</t>
        </is>
      </c>
      <c r="G134" s="84" t="inlineStr">
        <is>
          <t>Frozen money on the payee's payout page</t>
        </is>
      </c>
      <c r="H134" s="116" t="inlineStr">
        <is>
          <t>GET /payouts/me now marks an order frozen while a dispute is open, and the payout checks include a fifth rule, dispute. On the athlete and property money pages, show the frozen order apart from the requestable balance, with only: "BTG is reviewing a problem with the sponsor's payment".</t>
        </is>
      </c>
      <c r="I134" s="108" t="inlineStr">
        <is>
          <t>Done</t>
        </is>
      </c>
      <c r="J134" s="108" t="n">
        <v>1</v>
      </c>
      <c r="K134" s="109" t="n">
        <v>46302</v>
      </c>
      <c r="L134" s="109" t="n">
        <v>46302</v>
      </c>
      <c r="M134" s="110" t="inlineStr">
        <is>
          <t>HeckerCreatives</t>
        </is>
      </c>
      <c r="N134" s="85" t="n"/>
      <c r="O134" s="84" t="inlineStr">
        <is>
          <t>2S5-BE-04</t>
        </is>
      </c>
      <c r="P134" s="84" t="inlineStr">
        <is>
          <t>A payee with a disputed order sees it frozen with that sentence, and can request only the other orders' money</t>
        </is>
      </c>
      <c r="Q134" s="86" t="inlineStr">
        <is>
          <t>backend/src/domain/payouts.ts</t>
        </is>
      </c>
      <c r="R134" s="111" t="inlineStr">
        <is>
          <t>Raised 2026-10-05 by 2S5-BE-04 (API built, screen not). Built 2026-10-07 (HeckerCreatives, via Claude) on feature/P2-FE-screens — spec docs/superpowers/specs/2026-10-07-phase2-frontend-screens-design.md. QA'd on real data 2026-10-07 (e2e/qa-phase2*.spec.ts) and moved to Done by the owner.</t>
        </is>
      </c>
    </row>
    <row r="135" s="75">
      <c r="A135" s="112" t="n">
        <v>47.91</v>
      </c>
      <c r="B135" s="113" t="inlineStr">
        <is>
          <t>2S5-FE-10</t>
        </is>
      </c>
      <c r="C135" s="85" t="n">
        <v>5</v>
      </c>
      <c r="D135" s="86" t="inlineStr">
        <is>
          <t>Sprint 5 · Payments, ledger &amp; payouts</t>
        </is>
      </c>
      <c r="E135" s="121" t="inlineStr">
        <is>
          <t>FE</t>
        </is>
      </c>
      <c r="F135" s="122" t="inlineStr">
        <is>
          <t>Code</t>
        </is>
      </c>
      <c r="G135" s="84" t="inlineStr">
        <is>
          <t>Payout send attempts and returns on screen</t>
        </is>
      </c>
      <c r="H135" s="116" t="inlineStr">
        <is>
          <t>Payouts now carry sendAttempts, returnedAt and returnCount. Show them on BTG's payout detail, and on the payee's payout history: a returned payout reads 'Returned by your bank: fix your payout account'.</t>
        </is>
      </c>
      <c r="I135" s="108" t="inlineStr">
        <is>
          <t>Done</t>
        </is>
      </c>
      <c r="J135" s="108" t="n">
        <v>1</v>
      </c>
      <c r="K135" s="109" t="n">
        <v>46302</v>
      </c>
      <c r="L135" s="109" t="n">
        <v>46302</v>
      </c>
      <c r="M135" s="110" t="inlineStr">
        <is>
          <t>HeckerCreatives</t>
        </is>
      </c>
      <c r="N135" s="85" t="n"/>
      <c r="O135" s="84" t="inlineStr">
        <is>
          <t>2S5-BE-05</t>
        </is>
      </c>
      <c r="P135" s="84" t="inlineStr">
        <is>
          <t>BTG sees each payout's attempts and any return; a payee whose payout was returned is told to fix their account</t>
        </is>
      </c>
      <c r="Q135" s="86" t="inlineStr">
        <is>
          <t>backend/src/domain/payouts.ts</t>
        </is>
      </c>
      <c r="R135" s="111" t="inlineStr">
        <is>
          <t>Raised 2026-10-05 by 2S5-BE-05 (API built, screen not). Built 2026-10-07 (HeckerCreatives, via Claude) on feature/P2-FE-screens — spec docs/superpowers/specs/2026-10-07-phase2-frontend-screens-design.md. QA'd on real data 2026-10-07 (e2e/qa-phase2*.spec.ts) and moved to Done by the owner.</t>
        </is>
      </c>
    </row>
    <row r="136" s="75">
      <c r="A136" s="112" t="n">
        <v>47.92</v>
      </c>
      <c r="B136" s="113" t="inlineStr">
        <is>
          <t>2S5-FE-11</t>
        </is>
      </c>
      <c r="C136" s="85" t="n">
        <v>5</v>
      </c>
      <c r="D136" s="86" t="inlineStr">
        <is>
          <t>Sprint 5 · Payments, ledger &amp; payouts</t>
        </is>
      </c>
      <c r="E136" s="121" t="inlineStr">
        <is>
          <t>FE</t>
        </is>
      </c>
      <c r="F136" s="122" t="inlineStr">
        <is>
          <t>Code</t>
        </is>
      </c>
      <c r="G136" s="84" t="inlineStr">
        <is>
          <t>Checkout says 'busy, try again' when the provider is down</t>
        </is>
      </c>
      <c r="H136" s="116" t="inlineStr">
        <is>
          <t>When the payment provider is down, opening checkout answers 503 with code busy, and nothing is recorded. The sponsor's pay-by-card button should show 'The payment service is busy. Try again in a minute.' rather than a generic error.</t>
        </is>
      </c>
      <c r="I136" s="108" t="inlineStr">
        <is>
          <t>Done</t>
        </is>
      </c>
      <c r="J136" s="108" t="n">
        <v>1</v>
      </c>
      <c r="K136" s="109" t="n">
        <v>46302</v>
      </c>
      <c r="L136" s="109" t="n">
        <v>46302</v>
      </c>
      <c r="M136" s="110" t="inlineStr">
        <is>
          <t>HeckerCreatives</t>
        </is>
      </c>
      <c r="N136" s="85" t="n"/>
      <c r="O136" s="84" t="inlineStr">
        <is>
          <t>2S8-QA-02</t>
        </is>
      </c>
      <c r="P136" s="84" t="inlineStr">
        <is>
          <t>With the provider down, the sponsor sees the busy message and can retry; the order is unchanged</t>
        </is>
      </c>
      <c r="Q136" s="86" t="inlineStr">
        <is>
          <t>backend/src/lib/payment-provider.ts (STANDIN_OUTAGE)</t>
        </is>
      </c>
      <c r="R136" s="111" t="inlineStr">
        <is>
          <t>Raised 2026-10-05 by 2S8-QA-02 (API built, screen not). Built 2026-10-07 (HeckerCreatives, via Claude) on feature/P2-FE-screens — spec docs/superpowers/specs/2026-10-07-phase2-frontend-screens-design.md. QA'd on real data 2026-10-07 (e2e/qa-phase2*.spec.ts) and moved to Done by the owner.</t>
        </is>
      </c>
    </row>
    <row r="137" s="75">
      <c r="A137" s="112" t="n">
        <v>47.93</v>
      </c>
      <c r="B137" s="113" t="inlineStr">
        <is>
          <t>2S5-FE-12</t>
        </is>
      </c>
      <c r="C137" s="85" t="n">
        <v>5</v>
      </c>
      <c r="D137" s="86" t="inlineStr">
        <is>
          <t>Sprint 5 · Payments, ledger &amp; payouts</t>
        </is>
      </c>
      <c r="E137" s="121" t="inlineStr">
        <is>
          <t>FE</t>
        </is>
      </c>
      <c r="F137" s="122" t="inlineStr">
        <is>
          <t>Code</t>
        </is>
      </c>
      <c r="G137" s="84" t="inlineStr">
        <is>
          <t>Provider refunds on Finance's refund list</t>
        </is>
      </c>
      <c r="H137" s="116" t="inlineStr">
        <is>
          <t>Finance's refund list gains the cause PROVIDER_REFUNDED: a refund the provider made directly, already sent. Show it as 'Refunded by the payment provider' with the provider's reference, and no 'send refund' action.</t>
        </is>
      </c>
      <c r="I137" s="108" t="inlineStr">
        <is>
          <t>Done</t>
        </is>
      </c>
      <c r="J137" s="108" t="n">
        <v>1</v>
      </c>
      <c r="K137" s="109" t="n">
        <v>46302</v>
      </c>
      <c r="L137" s="109" t="n">
        <v>46302</v>
      </c>
      <c r="M137" s="110" t="inlineStr">
        <is>
          <t>HeckerCreatives</t>
        </is>
      </c>
      <c r="N137" s="85" t="n"/>
      <c r="O137" s="84" t="inlineStr">
        <is>
          <t>2S5-BE-03</t>
        </is>
      </c>
      <c r="P137" s="84" t="inlineStr">
        <is>
          <t>A provider-made refund shows on Finance's list with its reference and cannot be sent again</t>
        </is>
      </c>
      <c r="Q137" s="86" t="inlineStr">
        <is>
          <t>backend/src/domain/refunds.ts</t>
        </is>
      </c>
      <c r="R137" s="111" t="inlineStr">
        <is>
          <t>Raised 2026-10-05 by 2S5-BE-03 (API built, screen not). Built 2026-10-07 (HeckerCreatives, via Claude) on feature/P2-FE-screens — spec docs/superpowers/specs/2026-10-07-phase2-frontend-screens-design.md. QA'd on real data 2026-10-07 (e2e/qa-phase2*.spec.ts) and moved to Done by the owner.</t>
        </is>
      </c>
    </row>
    <row r="138" s="75">
      <c r="A138" s="112" t="n">
        <v>52.3</v>
      </c>
      <c r="B138" s="113" t="inlineStr">
        <is>
          <t>2S6-QA-01</t>
        </is>
      </c>
      <c r="C138" s="85" t="n">
        <v>6</v>
      </c>
      <c r="D138" s="86" t="inlineStr">
        <is>
          <t>Sprint 6 · Wallet rewards &amp; notifications</t>
        </is>
      </c>
      <c r="E138" s="121" t="inlineStr">
        <is>
          <t>QA</t>
        </is>
      </c>
      <c r="F138" s="122" t="inlineStr">
        <is>
          <t>Code</t>
        </is>
      </c>
      <c r="G138" s="84" t="inlineStr">
        <is>
          <t>Wallet provider outage testing</t>
        </is>
      </c>
      <c r="H138" s="116" t="inlineStr">
        <is>
          <t>Split from 2S8-QA-02, whose other failure modes are done. Once the wallet pass adapters exist, break them: Apple or Google Wallet down or timing out while a pass is issued or updated. Nothing is half-written, the queue retries, and the reward ledger stays consistent.</t>
        </is>
      </c>
      <c r="I138" s="108" t="inlineStr">
        <is>
          <t>Blocked</t>
        </is>
      </c>
      <c r="J138" s="108" t="n">
        <v>1</v>
      </c>
      <c r="K138" s="109" t="n"/>
      <c r="L138" s="109" t="n"/>
      <c r="M138" s="110" t="n"/>
      <c r="N138" s="85" t="n"/>
      <c r="O138" s="84" t="inlineStr">
        <is>
          <t>2S6-INT-01, 2S6-INT-02</t>
        </is>
      </c>
      <c r="P138" s="84" t="inlineStr">
        <is>
          <t>A wallet provider outage during issue or update leaves no half-written pass or reward, and the retry completes it once</t>
        </is>
      </c>
      <c r="Q138" s="86" t="inlineStr">
        <is>
          <t>Split from 2S8-QA-02 on 2026-10-05</t>
        </is>
      </c>
      <c r="R138" s="111" t="inlineStr">
        <is>
          <t>Raised 2026-10-05: no wallet adapter exists yet, so this part of 2S8-QA-02 cannot be tested. | 2026-10-07: the payment provider is chosen (Stripe), so that is no longer the blocker. Waits on an Apple Developer account with a Pass Type ID certificate (2S6-INT-01) and a Google Wallet issuer account (2S6-INT-02). | PARKED 2026-10-08 by the user's decision, pending Rodney's confirmation: the wallet is OPTIONAL — fans already claim and redeem through the QR web page — and the Apple Developer fee (US$99/yr) plus Apple's company verification cost time and money. Taken out of Phase 2's sign-off for now (criterion #11 marked Parked in documentation/SponsorX-Phase2-Acceptance-Signoff.md); Status stays Blocked because Phase 2's list has no Parked/Dropped value. Resume on the owner's go-ahead; set-up guide: doc 'Apple &amp; Google Wallet Issuer Setup' (https://claude.ai/artifact/7CG3x59P99VC5tNxnx1idi). | 2026-10-09: parked until further notice, approved by Rodney; out of Phase 2 sign-off.</t>
        </is>
      </c>
    </row>
    <row r="139" s="75">
      <c r="A139" s="112" t="n">
        <v>62.6</v>
      </c>
      <c r="B139" s="113" t="inlineStr">
        <is>
          <t>2S8-SEC-06</t>
        </is>
      </c>
      <c r="C139" s="85" t="n">
        <v>8</v>
      </c>
      <c r="D139" s="86" t="inlineStr">
        <is>
          <t>Sprint 8 · QA, security &amp; rollout</t>
        </is>
      </c>
      <c r="E139" s="121" t="inlineStr">
        <is>
          <t>SEC</t>
        </is>
      </c>
      <c r="F139" s="122" t="inlineStr">
        <is>
          <t>Code</t>
        </is>
      </c>
      <c r="G139" s="84" t="inlineStr">
        <is>
          <t>Replace the full-access live Stripe key with a restricted key</t>
        </is>
      </c>
      <c r="H139" s="116" t="inlineStr">
        <is>
          <t>Production's live Stripe secret key (created 2026-10-06, stored only in Railway production api) has full access, because the restricted-key permissions for Accounts v2 payout accounts were unclear. Work out the minimal permission set in the sandbox (Checkout Sessions, Charges and Refunds, Transfers, Webhook Endpoints, plus whichever Accounts v2 configuration permissions creating a recipient account needs), prove the smoke script passes with it, then have the owner create the restricted live key, swap it into Railway production, and delete the full-access key.</t>
        </is>
      </c>
      <c r="I139" s="108" t="inlineStr">
        <is>
          <t>Done</t>
        </is>
      </c>
      <c r="J139" s="108" t="n">
        <v>1</v>
      </c>
      <c r="K139" s="109" t="n">
        <v>46301</v>
      </c>
      <c r="L139" s="109" t="n">
        <v>46301</v>
      </c>
      <c r="M139" s="110" t="inlineStr">
        <is>
          <t>rcfworks</t>
        </is>
      </c>
      <c r="N139" s="85" t="n"/>
      <c r="O139" s="84" t="inlineStr">
        <is>
          <t>2S5-INT-03</t>
        </is>
      </c>
      <c r="P139" s="84" t="inlineStr">
        <is>
          <t>Production uses a restricted live key that the sandbox smoke run proved sufficient; the full-access live key is deleted in Stripe</t>
        </is>
      </c>
      <c r="Q139" s="86" t="inlineStr">
        <is>
          <t>documentation/SponsorX-Stripe-Integration.md; documentation/SponsorX-Secrets-Rotation.md</t>
        </is>
      </c>
      <c r="R139" s="111" t="inlineStr">
        <is>
          <t>Raised 2026-10-06 when the live key was created. | 2026-10-06: restricted sandbox key passed the smoke run 17/17 with the app on it alone (customers and balance refused). Owner created the identical live restricted key (rk_live_…QVaC, "SponsorX production (restricted)"); swapped into Railway production api; read-only check: v2 accounts, refunds, transfers allowed, customers and balance refused (403). Full-access key sk_live_…QUac expired by the owner. Note: the key can also create BTG own-bank payouts (bundled with a required permission).</t>
        </is>
      </c>
    </row>
    <row r="140" s="75">
      <c r="A140" s="112" t="n">
        <v>12.98</v>
      </c>
      <c r="B140" s="113" t="inlineStr">
        <is>
          <t>2S1-FE-14</t>
        </is>
      </c>
      <c r="C140" s="85" t="n">
        <v>1</v>
      </c>
      <c r="D140" s="86" t="inlineStr">
        <is>
          <t>Sprint 1 · External property onboarding</t>
        </is>
      </c>
      <c r="E140" s="121" t="inlineStr">
        <is>
          <t>FE</t>
        </is>
      </c>
      <c r="F140" s="122" t="inlineStr">
        <is>
          <t>Code</t>
        </is>
      </c>
      <c r="G140" s="84" t="inlineStr">
        <is>
          <t>BTG admin page for a support message and its attachments</t>
        </is>
      </c>
      <c r="H140" s="116" t="inlineStr">
        <is>
          <t>Support-desk emails no longer carry attachments (2S0-SEC-01 O1); they link to /admin/support/&lt;id&gt;. Build that page: the sender, topic, text and each attachment's name, type and size from GET /support-messages/:id, and an Open button per file that fetches GET /support-messages/:id/attachments/:attachmentId (a five-minute audited link). BTG admin only.</t>
        </is>
      </c>
      <c r="I140" s="108" t="inlineStr">
        <is>
          <t>Done</t>
        </is>
      </c>
      <c r="J140" s="108" t="n">
        <v>1</v>
      </c>
      <c r="K140" s="109" t="n">
        <v>46302</v>
      </c>
      <c r="L140" s="109" t="n">
        <v>46302</v>
      </c>
      <c r="M140" s="110" t="inlineStr">
        <is>
          <t>HeckerCreatives</t>
        </is>
      </c>
      <c r="N140" s="85" t="n"/>
      <c r="O140" s="84" t="inlineStr">
        <is>
          <t>2S0-SEC-01</t>
        </is>
      </c>
      <c r="P140" s="84" t="inlineStr">
        <is>
          <t>A BTG admin following the support email's link sees the message and opens each attachment; nobody else can</t>
        </is>
      </c>
      <c r="Q140" s="86" t="inlineStr">
        <is>
          <t>documentation/SponsorX-Payments-PII-Review-2026-10.md (frontend follow-ups)</t>
        </is>
      </c>
      <c r="R140" s="111" t="inlineStr">
        <is>
          <t>Raised 2026-10-06 by 2S0-SEC-01 (API built, screen not). Built 2026-10-07 (HeckerCreatives, via Claude) on feature/P2-FE-screens — spec docs/superpowers/specs/2026-10-07-phase2-frontend-screens-design.md. QA'd on real data 2026-10-07 (e2e/qa-phase2*.spec.ts) and moved to Done by the owner.</t>
        </is>
      </c>
    </row>
    <row r="141" s="75">
      <c r="A141" s="112" t="n">
        <v>60.9</v>
      </c>
      <c r="B141" s="113" t="inlineStr">
        <is>
          <t>2S8-QA-08</t>
        </is>
      </c>
      <c r="C141" s="85" t="n">
        <v>8</v>
      </c>
      <c r="D141" s="86" t="inlineStr">
        <is>
          <t>Sprint 8 · QA, security &amp; rollout</t>
        </is>
      </c>
      <c r="E141" s="121" t="inlineStr">
        <is>
          <t>QA</t>
        </is>
      </c>
      <c r="F141" s="122" t="inlineStr">
        <is>
          <t>Code</t>
        </is>
      </c>
      <c r="G141" s="84" t="inlineStr">
        <is>
          <t>private-upload-pins test fails intermittently in the full suite</t>
        </is>
      </c>
      <c r="H141" s="116" t="inlineStr">
        <is>
          <t>backend/tests/private-upload-pins.test.ts passes alone but has failed in about 1 of 6 full parallel runs (its setup, with a duplicate key on a fixed pu_ id, then 11 tests skipped). Its cleanup deletes by tenant and swallows errors, so a row that couldn't be deleted survives into the next run. Make its ids unique per run (or make the cleanup report what it couldn't delete) so the suite never flakes on it.</t>
        </is>
      </c>
      <c r="I141" s="108" t="inlineStr">
        <is>
          <t>Done</t>
        </is>
      </c>
      <c r="J141" s="108" t="n">
        <v>1</v>
      </c>
      <c r="K141" s="109" t="n">
        <v>46301</v>
      </c>
      <c r="L141" s="109" t="n">
        <v>46301</v>
      </c>
      <c r="M141" s="110" t="inlineStr">
        <is>
          <t>rcfworks</t>
        </is>
      </c>
      <c r="N141" s="85" t="n"/>
      <c r="O141" s="84" t="inlineStr">
        <is>
          <t>2S8-SEC-03</t>
        </is>
      </c>
      <c r="P141" s="84" t="inlineStr">
        <is>
          <t>The full backend suite passes 5 runs in a row with this file included</t>
        </is>
      </c>
      <c r="Q141" s="86" t="inlineStr">
        <is>
          <t>backend/tests/private-upload-pins.test.ts</t>
        </is>
      </c>
      <c r="R141" s="111" t="inlineStr">
        <is>
          <t>Raised 2026-10-06; seen twice (2026-10-06). | Every id, slug and email in private-upload-pins.test.ts is now unique to the run (random suffix), so a leftover row can never collide; the cleanup now warns which tables it could not clear. Full backend suite passed 5 runs in a row (180 files, 2910 tests each), no cleanup warnings. 2026-10-06</t>
        </is>
      </c>
    </row>
    <row r="142" s="75">
      <c r="A142" s="112" t="n">
        <v>62.51</v>
      </c>
      <c r="B142" s="113" t="inlineStr">
        <is>
          <t>2S8-FE-01</t>
        </is>
      </c>
      <c r="C142" s="85" t="n">
        <v>8</v>
      </c>
      <c r="D142" s="86" t="inlineStr">
        <is>
          <t>Sprint 8 · QA, security &amp; rollout</t>
        </is>
      </c>
      <c r="E142" s="121" t="inlineStr">
        <is>
          <t>FE</t>
        </is>
      </c>
      <c r="F142" s="122" t="inlineStr">
        <is>
          <t>Code</t>
        </is>
      </c>
      <c r="G142" s="84" t="inlineStr">
        <is>
          <t>Expired emailed links: show why and offer a fresh link</t>
        </is>
      </c>
      <c r="H142" s="116" t="inlineStr">
        <is>
          <t>Emailed links now expire after 14 days (2S8-PMO-02 decision 4). When a link page gets 410 link_expired from the API, show the plain message and a 'Send me a fresh link' button calling POST /api/v1/public/links/renew {kind, token}. Pages: /join, /join/confirm, /guardian/setup, /coming-of-age, /onboarding/[token], /onboarding/confirm, /sponsor-request/[token], /sponsor-request/confirm, /guardian/handoff. (Reactivation has its own page.)</t>
        </is>
      </c>
      <c r="I142" s="108" t="inlineStr">
        <is>
          <t>Done</t>
        </is>
      </c>
      <c r="J142" s="108" t="n">
        <v>2</v>
      </c>
      <c r="K142" s="109" t="n">
        <v>46302</v>
      </c>
      <c r="L142" s="109" t="n">
        <v>46302</v>
      </c>
      <c r="M142" s="110" t="inlineStr">
        <is>
          <t>HeckerCreatives</t>
        </is>
      </c>
      <c r="N142" s="85" t="n"/>
      <c r="O142" s="84" t="inlineStr">
        <is>
          <t>2S8-PMO-02</t>
        </is>
      </c>
      <c r="P142" s="84" t="inlineStr">
        <is>
          <t>Every emailed-link page shows the expired message and can request a fresh link; a fresh link arrives by email</t>
        </is>
      </c>
      <c r="Q142" s="86" t="inlineStr">
        <is>
          <t>documentation/SponsorX-Security-Review-2026-10.md (decision 4)</t>
        </is>
      </c>
      <c r="R142"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3" s="75">
      <c r="A143" s="112" t="n">
        <v>62.52</v>
      </c>
      <c r="B143" s="113" t="inlineStr">
        <is>
          <t>2S8-FE-02</t>
        </is>
      </c>
      <c r="C143" s="85" t="n">
        <v>8</v>
      </c>
      <c r="D143" s="86" t="inlineStr">
        <is>
          <t>Sprint 8 · QA, security &amp; rollout</t>
        </is>
      </c>
      <c r="E143" s="121" t="inlineStr">
        <is>
          <t>FE</t>
        </is>
      </c>
      <c r="F143" s="122" t="inlineStr">
        <is>
          <t>Code</t>
        </is>
      </c>
      <c r="G143" s="84" t="inlineStr">
        <is>
          <t>Profile claim: confirm-your-email screens</t>
        </is>
      </c>
      <c r="H143" s="116" t="inlineStr">
        <is>
          <t>Claimants now confirm their email before the school can verify (2S8-PMO-02 decision 5). (1) After 'That's me' on the claim form, say 'check your email' (the claim state is now PENDING_EMAIL). (2) /athletes/[slug] reads the claim= flag (confirmed, expired-resent, closed, invalid) and shows a message. (3) A proper confirmation page that POSTs the token on a button press (POST /public/athlete-claims/confirm-email), so mail-client link scanners can't confirm a claim by prefetching the GET link; then point the email at it.</t>
        </is>
      </c>
      <c r="I143" s="108" t="inlineStr">
        <is>
          <t>Done</t>
        </is>
      </c>
      <c r="J143" s="108" t="n">
        <v>1</v>
      </c>
      <c r="K143" s="109" t="n">
        <v>46302</v>
      </c>
      <c r="L143" s="109" t="n">
        <v>46302</v>
      </c>
      <c r="M143" s="110" t="inlineStr">
        <is>
          <t>HeckerCreatives</t>
        </is>
      </c>
      <c r="N143" s="85" t="n"/>
      <c r="O143" s="84" t="inlineStr">
        <is>
          <t>2S8-PMO-02</t>
        </is>
      </c>
      <c r="P143" s="84" t="inlineStr">
        <is>
          <t>A claimant is told to check their email, confirms on a page with a button, and sees the outcome on the profile</t>
        </is>
      </c>
      <c r="Q143" s="86" t="inlineStr">
        <is>
          <t>documentation/SponsorX-Security-Review-2026-10.md (decision 5)</t>
        </is>
      </c>
      <c r="R143" s="111" t="inlineStr">
        <is>
          <t>Raised 2026-10-06 by 2S8-PMO-02 (API built, screens not). Built 2026-10-07 (HeckerCreatives, via Claude) on feature/P2-FE-screens — spec docs/superpowers/specs/2026-10-07-phase2-frontend-screens-design.md. QA'd on real data 2026-10-07 (e2e/qa-phase2*.spec.ts) and moved to Done by the owner.</t>
        </is>
      </c>
    </row>
    <row r="144" s="75">
      <c r="A144" s="112" t="n">
        <v>64.5</v>
      </c>
      <c r="B144" s="113" t="inlineStr">
        <is>
          <t>2S8-PMO-03</t>
        </is>
      </c>
      <c r="C144" s="85" t="n">
        <v>8</v>
      </c>
      <c r="D144" s="86" t="inlineStr">
        <is>
          <t>Sprint 8 · QA, security &amp; rollout</t>
        </is>
      </c>
      <c r="E144" s="121" t="inlineStr">
        <is>
          <t>PMO</t>
        </is>
      </c>
      <c r="F144" s="122" t="inlineStr">
        <is>
          <t>Document</t>
        </is>
      </c>
      <c r="G144" s="84" t="inlineStr">
        <is>
          <t>First real outside team at go-live</t>
        </is>
      </c>
      <c r="H144" s="116" t="inlineStr">
        <is>
          <t>Split from 2S8-PMO-01 on 2026-10-09. The first real outside team, its athlete and a real sponsor onboard, transact and get paid on production — the real-person check the simulated UAT can't give (does a person get stuck in sign-up or payout set-up?). Waits for the owner's go-live; not part of Phase 2's sign-off.</t>
        </is>
      </c>
      <c r="I144" s="108" t="inlineStr">
        <is>
          <t>Blocked</t>
        </is>
      </c>
      <c r="J144" s="108" t="n">
        <v>1</v>
      </c>
      <c r="K144" s="109" t="n"/>
      <c r="L144" s="109" t="n"/>
      <c r="M144" s="110" t="n"/>
      <c r="N144" s="85" t="n">
        <v>0</v>
      </c>
      <c r="O144" s="84" t="inlineStr">
        <is>
          <t>2S8-PMO-01, the owner's go-live (payments on in production)</t>
        </is>
      </c>
      <c r="P144" s="84" t="inlineStr">
        <is>
          <t>A real outside team, athlete and sponsor complete sign-up, a paid order and a payout on production; anything they got stuck on is recorded and raised as a task</t>
        </is>
      </c>
      <c r="Q144" s="86" t="inlineStr">
        <is>
          <t>documentation/SponsorX-Phase2-Acceptance-Signoff.md</t>
        </is>
      </c>
      <c r="R144" s="111" t="inlineStr">
        <is>
          <t>2026-10-09 raised by 2S8-PMO-01 (definition change, owner's authority). WAITING ON: go-live.</t>
        </is>
      </c>
    </row>
  </sheetData>
  <autoFilter ref="A4:R144"/>
  <mergeCells count="2">
    <mergeCell ref="A2:R2"/>
    <mergeCell ref="A1:R1"/>
  </mergeCells>
  <conditionalFormatting sqref="I5:I144">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44">
    <cfRule type="expression" rank="0" priority="7" equalAverage="0" aboveAverage="0" dxfId="32" text="" percent="0" bottom="0">
      <formula>$I5="Done"</formula>
    </cfRule>
  </conditionalFormatting>
  <conditionalFormatting sqref="N5:N144">
    <cfRule type="cellIs" rank="0" priority="8" equalAverage="0" operator="greaterThanOrEqual" aboveAverage="0" dxfId="33" text="" percent="0" bottom="0">
      <formula>50</formula>
    </cfRule>
  </conditionalFormatting>
  <dataValidations count="1">
    <dataValidation sqref="I5:I144"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Done</t>
        </is>
      </c>
      <c r="J5" s="108" t="n">
        <v>3</v>
      </c>
      <c r="K5" s="109" t="n">
        <v>46310</v>
      </c>
      <c r="L5" s="109" t="n">
        <v>46310</v>
      </c>
      <c r="M5" s="110" t="inlineStr">
        <is>
          <t>rcfworks</t>
        </is>
      </c>
      <c r="N5" s="81" t="n">
        <v>0</v>
      </c>
      <c r="O5" s="80" t="inlineStr">
        <is>
          <t>Phase 2 complete</t>
        </is>
      </c>
      <c r="P5" s="80" t="inlineStr">
        <is>
          <t>Written definitions for every attribution class, with the reporting language each is allowed to use</t>
        </is>
      </c>
      <c r="Q5" s="82" t="inlineStr">
        <is>
          <t>Spec §17.4, §22</t>
        </is>
      </c>
      <c r="R5" s="111" t="inlineStr">
        <is>
          <t>Drafted 2026-10-15 (rcfworks) for the owner's approval: documentation/SponsorX-Attribution-Claims.md — four classes, evidence, the words each may/never use, never summed, no ROI from modelled/estimated, provenance, zero not a guess. Unblocks 3S6-BE-01; legal review is 3S0-LEG-01. | Done 2026-10-15: merged (#230), acceptance met.</t>
        </is>
      </c>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Done</t>
        </is>
      </c>
      <c r="J6" s="108" t="n">
        <v>3</v>
      </c>
      <c r="K6" s="109" t="n">
        <v>46310</v>
      </c>
      <c r="L6" s="109" t="n">
        <v>46310</v>
      </c>
      <c r="M6" s="110" t="inlineStr">
        <is>
          <t>rcfworks</t>
        </is>
      </c>
      <c r="N6" s="85" t="n">
        <v>0</v>
      </c>
      <c r="O6" s="84" t="inlineStr">
        <is>
          <t>Phase 2 complete</t>
        </is>
      </c>
      <c r="P6" s="84" t="inlineStr">
        <is>
          <t>Governance policy written: versioning, confidence, explanation, override, monitoring and rollback</t>
        </is>
      </c>
      <c r="Q6" s="86" t="inlineStr">
        <is>
          <t>Spec §15</t>
        </is>
      </c>
      <c r="R6" s="111" t="inlineStr">
        <is>
          <t>Drafted 2026-10-15 (rcfworks) for the owner's approval: documentation/SponsorX-Model-Governance.md — versioning per tenant, draft→validated→active→retired, automatic validation inside safe ranges and a second person outside (automation first), confidence/explanation, overrides, rollback and compare without deploy, per-tenant switches, who, monitoring. | Done 2026-10-15: merged to main (#221/#223 via #222), acceptance met, tests green.</t>
        </is>
      </c>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Done</t>
        </is>
      </c>
      <c r="J7" s="108" t="n">
        <v>3</v>
      </c>
      <c r="K7" s="109" t="n">
        <v>46307</v>
      </c>
      <c r="L7" s="109" t="n">
        <v>46307</v>
      </c>
      <c r="M7" s="110" t="inlineStr">
        <is>
          <t>rcfworks</t>
        </is>
      </c>
      <c r="N7" s="81" t="n">
        <v>5</v>
      </c>
      <c r="O7" s="80" t="inlineStr">
        <is>
          <t>Phase 2 complete</t>
        </is>
      </c>
      <c r="P7" s="80" t="inlineStr">
        <is>
          <t>Every event type inventoried with its definition, source and known gaps</t>
        </is>
      </c>
      <c r="Q7" s="82" t="inlineStr">
        <is>
          <t>Spec §21</t>
        </is>
      </c>
      <c r="R7" s="111" t="inlineStr">
        <is>
          <t>documentation/SponsorX-Event-Taxonomy-Audit.md: 9 event families, about 320 audit actions in 72 families (Appendix A, generated from the code), 22 job names, 22 sweeps; 17 known gaps (G1–G17) with follow-ups. Highest: reward-event geography never filled (G2), GeoLite unset in every environment (G3), MetricDaily has no timestamp and is overwritten (G7), notify.campaignLive has no consumer (G1). Gaps raised as tasks 2026-10-12: G7 → 3S0-BE-01, G1 → 3S0-BE-02, G9 → 3S0-BE-03, G4 → 3S0-BE-04, G2/G3 → 3S0-BE-05 (+ 3S0-FE-01).</t>
        </is>
      </c>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Done</t>
        </is>
      </c>
      <c r="J8" s="108" t="n">
        <v>5</v>
      </c>
      <c r="K8" s="109" t="n">
        <v>46307</v>
      </c>
      <c r="L8" s="109" t="n">
        <v>46307</v>
      </c>
      <c r="M8" s="110" t="inlineStr">
        <is>
          <t>rcfworks</t>
        </is>
      </c>
      <c r="N8" s="85" t="n">
        <v>0</v>
      </c>
      <c r="O8" s="84" t="inlineStr">
        <is>
          <t>3S0-DATA-01</t>
        </is>
      </c>
      <c r="P8" s="84" t="inlineStr">
        <is>
          <t>Warehouse schema designed and reviewed; the daily campaign fact table and its dimensions are specified</t>
        </is>
      </c>
      <c r="Q8" s="86" t="inlineStr">
        <is>
          <t>Spec §19</t>
        </is>
      </c>
      <c r="R8" s="111" t="inlineStr">
        <is>
          <t>documentation/SponsorX-Warehouse-Schema.md: separate Postgres on Railway (raw → stg → dw → sem); fact_campaign_daily at campaign × athlete × channel × inventory × day, fully specified; 8 dimensions (sponsor, property, athlete type 2); semantic metrics; companion facts; zero-tolerance reconciliation for 3S1-QA-01. Appendix SQL run clean on Postgres 2026-10-12. Awaiting the user's review sign-off (§10) — the "reviewed" clause. v1.1: O1 closed by 3S0-BE-06; marketplace fact + ledger/payment snapshots fully specified; §11 maps Spec §19's product tables to tasks and existing code (Builds-on lines added to 9 Phase 3 tasks). Signed off 2026-10-12 by rcfworks with Rodney's delegated authority (§10). SUPERSEDED 2026-10-13: replaced by the fact ledger (3S1-BE-01…); retired by 3S1-OPS-02.</t>
        </is>
      </c>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Done</t>
        </is>
      </c>
      <c r="J9" s="108" t="n">
        <v>3</v>
      </c>
      <c r="K9" s="109" t="n">
        <v>46307</v>
      </c>
      <c r="L9" s="109" t="n">
        <v>46307</v>
      </c>
      <c r="M9" s="110" t="inlineStr">
        <is>
          <t>rcfworks</t>
        </is>
      </c>
      <c r="N9" s="81" t="n">
        <v>0</v>
      </c>
      <c r="O9" s="80" t="inlineStr">
        <is>
          <t>3S0-DATA-02</t>
        </is>
      </c>
      <c r="P9" s="80" t="inlineStr">
        <is>
          <t>Warehouse and transformation tooling selected, provisioned and cost-modelled</t>
        </is>
      </c>
      <c r="Q9" s="82" t="inlineStr">
        <is>
          <t>Spec §20</t>
        </is>
      </c>
      <c r="R9" s="111" t="inlineStr">
        <is>
          <t>Selected: Postgres on Railway, US East; transforms as SQL files run by the worker (no dbt) — .claude/stack-decision.md Addendum C. Provisioned 2026-10-12: Postgres-warehouse (staging) and Postgres-warehouse-production, PITR + daily/weekly(/monthly) backups; warehouse_reader read-only login with allow-listed column grants on each product DB; WAREHOUSE_DATABASE_URL + WAREHOUSE_SOURCE_DATABASE_URL on both api services. Verified: run 1 in each environment matched the app on all 28 tables (staging 191 rows, production 7), no personal data; reader refused email, User and writes. Cost model: ≈$3.50/month per environment now, $9–14/month both in year one. SUPERSEDED 2026-10-13: replaced by the fact ledger (3S1-BE-01…); retired by 3S1-OPS-02.</t>
        </is>
      </c>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Done</t>
        </is>
      </c>
      <c r="J10" s="108" t="n">
        <v>5</v>
      </c>
      <c r="K10" s="109" t="n">
        <v>46307</v>
      </c>
      <c r="L10" s="109" t="n">
        <v>46307</v>
      </c>
      <c r="M10" s="110" t="inlineStr">
        <is>
          <t>rcfworks</t>
        </is>
      </c>
      <c r="N10" s="81" t="n">
        <v>0</v>
      </c>
      <c r="O10" s="80" t="inlineStr">
        <is>
          <t>3S0-DATA-02</t>
        </is>
      </c>
      <c r="P10" s="80" t="inlineStr">
        <is>
          <t>Ingestion runs on schedule and is safe to re-run</t>
        </is>
      </c>
      <c r="Q10" s="82" t="inlineStr">
        <is>
          <t>Spec §21</t>
        </is>
      </c>
      <c r="R10" s="111" t="inlineStr">
        <is>
          <t>backend/worker/warehouse/: allow-list (sources.mts, 28 tables, no personal data), ingest.mts (APPEND by watermark−48h, VERSIONED by row hash with deleted versions; one REPEATABLE READ READ ONLY snapshot; advisory lock; raw._ingest_run log), migrations/*.sql. Worker runs it hourly when WAREHOUSE_DATABASE_URL is set. Tests: tests/warehouse-ingest.test.ts (13, against product + warehouse Postgres). Running hourly on staging since 2026-10-12 (run 1: all 28 tables matched the app, 191 rows, no personal data). SUPERSEDED 2026-10-13: replaced by the fact ledger (3S1-BE-01…); retired by 3S1-OPS-02.</t>
        </is>
      </c>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Done</t>
        </is>
      </c>
      <c r="J11" s="108" t="n">
        <v>5</v>
      </c>
      <c r="K11" s="109" t="n">
        <v>46308</v>
      </c>
      <c r="L11" s="109" t="n">
        <v>46308</v>
      </c>
      <c r="M11" s="110" t="inlineStr">
        <is>
          <t>rcfworks</t>
        </is>
      </c>
      <c r="N11" s="85" t="n">
        <v>0</v>
      </c>
      <c r="O11" s="84" t="inlineStr">
        <is>
          <t>3S1-DATA-01</t>
        </is>
      </c>
      <c r="P11" s="84" t="inlineStr">
        <is>
          <t>Warehouse metrics reconcile to transactional campaign, order and payment totals within defined tolerance</t>
        </is>
      </c>
      <c r="Q11" s="86" t="inlineStr">
        <is>
          <t>Spec §19, §22</t>
        </is>
      </c>
      <c r="R11" s="111" t="inlineStr">
        <is>
          <t>backend/worker/warehouse/: migrations/0002_model.sql (dims, fact_campaign_daily, fact_marketplace_order_line, two snapshots; computed keys), transforms/10–60 (stg, dims with type-2 history, facts, snapshots, sem views) rebuilt after every hourly copy in one transaction, reconcile.mts (11 zero-tolerance checks). Tests: tests/warehouse-model.test.ts (14). Live proof on staging and production follows the deploy. Review 2026-10-13: the hourly run records its build time and a like-for-like double-check; money snapshots are a diary; the warehouse rule is enforced by tests/warehouse-boundary.test.ts. Incremental build raised as 3S1-DATA-04. Live 2026-10-13 (release 91ca9e8): run 16 in staging (build 112 ms) and production (129 ms), hourly double-check clean in both, zero differences. Staging has no campaigns yet, so the campaign checks have nothing to compare; marketplace, ledger and payment checks matched on real data. SUPERSEDED 2026-10-13: replaced by the fact ledger (3S1-BE-01…); retired by 3S1-OPS-02.</t>
        </is>
      </c>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Done</t>
        </is>
      </c>
      <c r="J12" s="108" t="n">
        <v>3</v>
      </c>
      <c r="K12" s="109" t="n">
        <v>46309</v>
      </c>
      <c r="L12" s="109" t="n">
        <v>46310</v>
      </c>
      <c r="M12" s="110" t="inlineStr">
        <is>
          <t>rcfworks</t>
        </is>
      </c>
      <c r="N12" s="81" t="n">
        <v>0</v>
      </c>
      <c r="O12" s="80" t="inlineStr">
        <is>
          <t>3S1-OPS-04</t>
        </is>
      </c>
      <c r="P12" s="80" t="inlineStr">
        <is>
          <t>Benchmarks compute with sample sizes exposed and refresh on schedule</t>
        </is>
      </c>
      <c r="Q12" s="82" t="inlineStr">
        <is>
          <t>Spec §19</t>
        </is>
      </c>
      <c r="R12" s="111" t="inlineStr">
        <is>
          <t>Re-pointed 2026-10-13 to the fact ledger (3S1-BE-01…): reads the daily summaries in the app database, not the warehouse. Acceptance checked and moved to Done 2026-10-15 (rcfworks): criterion met, tests green, live in staging and production.</t>
        </is>
      </c>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Nightly fact check</t>
        </is>
      </c>
      <c r="H13" s="116" t="inlineStr">
        <is>
          <t>Automated proof that the warehouse agrees with the source system. Run it every night, not once at launch.</t>
        </is>
      </c>
      <c r="I13" s="108" t="inlineStr">
        <is>
          <t>Done</t>
        </is>
      </c>
      <c r="J13" s="108" t="n">
        <v>3</v>
      </c>
      <c r="K13" s="109" t="n">
        <v>46308</v>
      </c>
      <c r="L13" s="109" t="n">
        <v>46310</v>
      </c>
      <c r="M13" s="110" t="inlineStr">
        <is>
          <t>rcfworks</t>
        </is>
      </c>
      <c r="N13" s="85" t="n">
        <v>0</v>
      </c>
      <c r="O13" s="84" t="inlineStr">
        <is>
          <t>3S1-OPS-04</t>
        </is>
      </c>
      <c r="P13" s="84" t="inlineStr">
        <is>
          <t>A nightly check that the daily summaries equal the sum of the facts and that the facts agree with the app's current records; a mismatch emails BTG admins once (and once on recovery) and shows on the admin integration-health data</t>
        </is>
      </c>
      <c r="Q13" s="86" t="inlineStr">
        <is>
          <t>Spec §22</t>
        </is>
      </c>
      <c r="R13" s="111" t="inlineStr">
        <is>
          <t>backend/src/domain/fact-nightly.ts runNightlyFactCheck: worker hourly tick, runs once a day at/after 19:00 UTC (FactCheckRun unique day — migration 20261013150000_fact_check_run; dead run taken over after 1h; a run that errored retried next tick, never emailed). Both checks, read-only, every tenant. Emails each tenant's active BTG admins once when its figures stop matching (facts.checkFailed: plain-words differences, records untouched, link to integrations) and once on recovery (facts.checkRecovered: since when) — only where FACT_CHECK_EMAILS=on. GET /operations/integration-health gains `facts` (last run, matches, failingSince, differences in words, emails, lastError) for the caller's tenant. Tests: fact-nightly.test.ts (7). Full suite 204 files / 3,219 tests green twice. Screen: 3S1-FE-01 raised. Acceptance checked and moved to Done 2026-10-15 (rcfworks): criterion met, tests green, live in staging and production.</t>
        </is>
      </c>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Done</t>
        </is>
      </c>
      <c r="J14" s="108" t="n">
        <v>5</v>
      </c>
      <c r="K14" s="109" t="n">
        <v>46309</v>
      </c>
      <c r="L14" s="109" t="n">
        <v>46310</v>
      </c>
      <c r="M14" s="110" t="inlineStr">
        <is>
          <t>rcfworks</t>
        </is>
      </c>
      <c r="N14" s="81" t="n">
        <v>0</v>
      </c>
      <c r="O14" s="80" t="inlineStr">
        <is>
          <t>3S1-OPS-04</t>
        </is>
      </c>
      <c r="P14" s="80" t="inlineStr">
        <is>
          <t>Feature snapshots generate on schedule and are retrievable by entity and date</t>
        </is>
      </c>
      <c r="Q14" s="82" t="inlineStr">
        <is>
          <t>Spec §19</t>
        </is>
      </c>
      <c r="R14" s="111" t="inlineStr">
        <is>
          <t>Re-pointed 2026-10-13 to the fact ledger (3S1-BE-01…): reads the daily summaries in the app database, not the warehouse. Acceptance checked and moved to Done 2026-10-15 (rcfworks): criterion met, tests green, live in staging and production.</t>
        </is>
      </c>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Done</t>
        </is>
      </c>
      <c r="J15" s="108" t="n">
        <v>5</v>
      </c>
      <c r="K15" s="109" t="n">
        <v>46309</v>
      </c>
      <c r="L15" s="109" t="n">
        <v>46310</v>
      </c>
      <c r="M15" s="110" t="inlineStr">
        <is>
          <t>rcfworks</t>
        </is>
      </c>
      <c r="N15" s="85" t="n">
        <v>0</v>
      </c>
      <c r="O15" s="84" t="inlineStr">
        <is>
          <t>3S2-BE-01</t>
        </is>
      </c>
      <c r="P15" s="84" t="inlineStr">
        <is>
          <t>Every recommended price exposes model version, confidence and factor breakdown</t>
        </is>
      </c>
      <c r="Q15" s="86" t="inlineStr">
        <is>
          <t>Spec §17.1, §22</t>
        </is>
      </c>
      <c r="R15" s="111" t="inlineStr">
        <is>
          <t>Acceptance checked and moved to Done 2026-10-15 (rcfworks): criterion met, tests green, live in staging and production.</t>
        </is>
      </c>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Done</t>
        </is>
      </c>
      <c r="J16" s="108" t="n">
        <v>3</v>
      </c>
      <c r="K16" s="109" t="n">
        <v>46309</v>
      </c>
      <c r="L16" s="109" t="n">
        <v>46310</v>
      </c>
      <c r="M16" s="110" t="inlineStr">
        <is>
          <t>rcfworks</t>
        </is>
      </c>
      <c r="N16" s="81" t="n">
        <v>0</v>
      </c>
      <c r="O16" s="80" t="inlineStr">
        <is>
          <t>3S2-BE-02</t>
        </is>
      </c>
      <c r="P16" s="80" t="inlineStr">
        <is>
          <t>Admin can override a price only with the right permission and a recorded reason; the recommendation is unchanged</t>
        </is>
      </c>
      <c r="Q16" s="82" t="inlineStr">
        <is>
          <t>Spec §17.1, §22</t>
        </is>
      </c>
      <c r="R16" s="111" t="inlineStr">
        <is>
          <t>Acceptance checked and moved to Done 2026-10-15 (rcfworks): criterion met, tests green, live in staging and production. QA 2026-10-15 (HeckerCreatives): an override above $10,000 CPM was accepted on the wire — now 400 (OVERRIDE_MAX_CENTS, contract + test); an unknown ?view on the desk is now 400 like an unknown kind/risk (PricingDeskQuery, documented in the spec).</t>
        </is>
      </c>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Done</t>
        </is>
      </c>
      <c r="J17" s="108" t="n">
        <v>5</v>
      </c>
      <c r="K17" s="109" t="n">
        <v>46308</v>
      </c>
      <c r="L17" s="109" t="n">
        <v>46308</v>
      </c>
      <c r="M17" s="110" t="inlineStr">
        <is>
          <t>HeckerCreatives</t>
        </is>
      </c>
      <c r="N17" s="85" t="n">
        <v>0</v>
      </c>
      <c r="O17" s="84" t="inlineStr">
        <is>
          <t>3S2-BE-02</t>
        </is>
      </c>
      <c r="P17" s="84" t="inlineStr">
        <is>
          <t>Panel shows the full factor breakdown and confidence for any inventory item</t>
        </is>
      </c>
      <c r="Q17" s="86" t="inlineStr">
        <is>
          <t>Spec §16 P3-01</t>
        </is>
      </c>
      <c r="R17" s="111" t="inlineStr">
        <is>
          <t>UI built 2026-10-13 (branch feature/3S-FE-phase3-screens): /admin/intelligence/pricing, against the proposed contract in documentation/SponsorX-Phase3-Screen-Contracts.md. Until 3S2-BE-02 is mounted the screen shows EnginePending and no figures (owner decision: FE only, honest empty states); ?demo=sample previews the live layout in development only. Marked Done by the owner 2026-10-13 (UI complete); when 3S2-BE-02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(3S2-BE-01/02/03); walked live 2026-10-15 as BTG admin + Sales, desktop + phone: 16 priced items, factor breakdown, an override saved as its own record (recommendation unchanged), Sales locked out of the override. Contract as proposed; v1 prices athlete items only.</t>
        </is>
      </c>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Done</t>
        </is>
      </c>
      <c r="J18" s="108" t="n">
        <v>3</v>
      </c>
      <c r="K18" s="109" t="n">
        <v>46309</v>
      </c>
      <c r="L18" s="109" t="n">
        <v>46310</v>
      </c>
      <c r="M18" s="110" t="inlineStr">
        <is>
          <t>rcfworks</t>
        </is>
      </c>
      <c r="N18" s="81" t="n">
        <v>0</v>
      </c>
      <c r="O18" s="80" t="inlineStr">
        <is>
          <t>3S2-BE-01</t>
        </is>
      </c>
      <c r="P18" s="80" t="inlineStr">
        <is>
          <t>A sponsor brief captures all matching inputs including exclusions</t>
        </is>
      </c>
      <c r="Q18" s="82" t="inlineStr">
        <is>
          <t>Spec §19</t>
        </is>
      </c>
      <c r="R18" s="111" t="inlineStr">
        <is>
          <t>Acceptance checked and moved to Done 2026-10-15 (rcfworks): criterion met, tests green, live in staging and production. QA 2026-10-15 (HeckerCreatives): BTG never saw the four new brief fields — now shown as 'Sponsor asks' on the brief desk, the Matching Studio header and above the explorer's ranking (briefAsksLine). Round two: NETWORK_MGR could not use either matching desk (no campaignBrief read while §29 has them saving shortlists) — read granted own-tenant, matrix row corrected, authz digest updated; repeated channels/tiers/exclusions in a brief body now stored as a set.</t>
        </is>
      </c>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Done</t>
        </is>
      </c>
      <c r="J19" s="108" t="n">
        <v>5</v>
      </c>
      <c r="K19" s="109" t="n">
        <v>46309</v>
      </c>
      <c r="L19" s="109" t="n">
        <v>46310</v>
      </c>
      <c r="M19" s="110" t="inlineStr">
        <is>
          <t>rcfworks</t>
        </is>
      </c>
      <c r="N19" s="85" t="n">
        <v>0</v>
      </c>
      <c r="O19" s="84" t="inlineStr">
        <is>
          <t>3S3-BE-01</t>
        </is>
      </c>
      <c r="P19" s="84" t="inlineStr">
        <is>
          <t>Brief produces ranked recommendations with explanation factors within the agreed response time</t>
        </is>
      </c>
      <c r="Q19" s="86" t="inlineStr">
        <is>
          <t>Spec §17.2, §22</t>
        </is>
      </c>
      <c r="R19" s="111" t="inlineStr">
        <is>
          <t>Acceptance checked and moved to Done 2026-10-15 (rcfworks): criterion met, tests green, live in staging and production.</t>
        </is>
      </c>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Done</t>
        </is>
      </c>
      <c r="J20" s="108" t="n">
        <v>3</v>
      </c>
      <c r="K20" s="109" t="n">
        <v>46309</v>
      </c>
      <c r="L20" s="109" t="n">
        <v>46310</v>
      </c>
      <c r="M20" s="110" t="inlineStr">
        <is>
          <t>rcfworks</t>
        </is>
      </c>
      <c r="N20" s="81" t="n">
        <v>0</v>
      </c>
      <c r="O20" s="80" t="inlineStr">
        <is>
          <t>3S3-BE-02</t>
        </is>
      </c>
      <c r="P20" s="80" t="inlineStr">
        <is>
          <t>Match explorer never returns unavailable or category-conflicted inventory</t>
        </is>
      </c>
      <c r="Q20" s="82" t="inlineStr">
        <is>
          <t>Spec §22</t>
        </is>
      </c>
      <c r="R20" s="111" t="inlineStr">
        <is>
          <t>Acceptance checked and moved to Done 2026-10-15 (rcfworks): criterion met, tests green, live in staging and production.</t>
        </is>
      </c>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Done</t>
        </is>
      </c>
      <c r="J21" s="108" t="n">
        <v>5</v>
      </c>
      <c r="K21" s="109" t="n">
        <v>46308</v>
      </c>
      <c r="L21" s="109" t="n">
        <v>46308</v>
      </c>
      <c r="M21" s="110" t="inlineStr">
        <is>
          <t>HeckerCreatives</t>
        </is>
      </c>
      <c r="N21" s="85" t="n">
        <v>0</v>
      </c>
      <c r="O21" s="84" t="inlineStr">
        <is>
          <t>3S3-BE-02</t>
        </is>
      </c>
      <c r="P21" s="84" t="inlineStr">
        <is>
          <t>Explorer ranks, explains and saves shortlists</t>
        </is>
      </c>
      <c r="Q21" s="86" t="inlineStr">
        <is>
          <t>Spec §16 P3-02</t>
        </is>
      </c>
      <c r="R21" s="111" t="inlineStr">
        <is>
          <t>UI built 2026-10-13 (branch feature/3S-FE-phase3-screens): /admin/intelligence/matching, against the proposed contract in documentation/SponsorX-Phase3-Screen-Contracts.md. Until 3S3-BE-02 is mounted the screen shows EnginePending and no figures (owner decision: FE only, honest empty states); ?demo=sample previews the live layout in development only. Marked Done by the owner 2026-10-13 (UI complete); when 3S3-BE-02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(3S3-BE-01/02/03); walked live 2026-10-15: ranked athletes/properties/inventory for a real brief, factor drawer, shortlist saved. Change: Sales reads but cannot save (API 403) so the screen offers picks/Save only to BTG admins, campaign and network managers (canSaveShortlist). Sponsor brief drawer now sends excludedCategories, channels, audienceTiers, audienceMinFollowers.</t>
        </is>
      </c>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Done</t>
        </is>
      </c>
      <c r="J22" s="108" t="n">
        <v>3</v>
      </c>
      <c r="K22" s="109" t="n">
        <v>46309</v>
      </c>
      <c r="L22" s="109" t="n">
        <v>46310</v>
      </c>
      <c r="M22" s="110" t="inlineStr">
        <is>
          <t>rcfworks</t>
        </is>
      </c>
      <c r="N22" s="81" t="n">
        <v>0</v>
      </c>
      <c r="O22" s="80" t="inlineStr">
        <is>
          <t>3S1-DATA-02</t>
        </is>
      </c>
      <c r="P22" s="80" t="inlineStr">
        <is>
          <t>Pacing computes nightly for every active campaign</t>
        </is>
      </c>
      <c r="Q22" s="82" t="inlineStr">
        <is>
          <t>Spec §17.3</t>
        </is>
      </c>
      <c r="R22" s="111" t="inlineStr">
        <is>
          <t>Acceptance checked and moved to Done 2026-10-15 (rcfworks): criterion met, tests green, live in staging and production.</t>
        </is>
      </c>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Done</t>
        </is>
      </c>
      <c r="J23" s="108" t="n">
        <v>5</v>
      </c>
      <c r="K23" s="109" t="n">
        <v>46309</v>
      </c>
      <c r="L23" s="109" t="n">
        <v>46310</v>
      </c>
      <c r="M23" s="110" t="inlineStr">
        <is>
          <t>rcfworks</t>
        </is>
      </c>
      <c r="N23" s="85" t="n">
        <v>0</v>
      </c>
      <c r="O23" s="84" t="inlineStr">
        <is>
          <t>3S4-DATA-01</t>
        </is>
      </c>
      <c r="P23" s="84" t="inlineStr">
        <is>
          <t>Forecast refreshes automatically and persists historical forecasts</t>
        </is>
      </c>
      <c r="Q23" s="86" t="inlineStr">
        <is>
          <t>Spec §17.3, §22</t>
        </is>
      </c>
      <c r="R23" s="111" t="inlineStr">
        <is>
          <t>Acceptance checked and moved to Done 2026-10-15 (rcfworks): criterion met, tests green, live in staging and production. QA 2026-10-15 (HeckerCreatives): a guarantee could be set on a campaign past its end date (still ACTIVE, never forecast) — now 422 'ended on …' (setGuarantee, test fo_Z).</t>
        </is>
      </c>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Done</t>
        </is>
      </c>
      <c r="J24" s="108" t="n">
        <v>3</v>
      </c>
      <c r="K24" s="109" t="n">
        <v>46309</v>
      </c>
      <c r="L24" s="109" t="n">
        <v>46310</v>
      </c>
      <c r="M24" s="110" t="inlineStr">
        <is>
          <t>rcfworks</t>
        </is>
      </c>
      <c r="N24" s="81" t="n">
        <v>0</v>
      </c>
      <c r="O24" s="80" t="inlineStr">
        <is>
          <t>3S4-BE-01</t>
        </is>
      </c>
      <c r="P24" s="80" t="inlineStr">
        <is>
          <t>At-risk campaigns generate actionable alerts before campaign end, not after</t>
        </is>
      </c>
      <c r="Q24" s="82" t="inlineStr">
        <is>
          <t>Spec §17.3, §22</t>
        </is>
      </c>
      <c r="R24" s="111" t="inlineStr">
        <is>
          <t>Acceptance checked and moved to Done 2026-10-15 (rcfworks): criterion met, tests green, live in staging and production.</t>
        </is>
      </c>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Done</t>
        </is>
      </c>
      <c r="J25" s="108" t="n">
        <v>5</v>
      </c>
      <c r="K25" s="109" t="n">
        <v>46308</v>
      </c>
      <c r="L25" s="109" t="n">
        <v>46308</v>
      </c>
      <c r="M25" s="110" t="inlineStr">
        <is>
          <t>HeckerCreatives</t>
        </is>
      </c>
      <c r="N25" s="85" t="n">
        <v>0</v>
      </c>
      <c r="O25" s="84" t="inlineStr">
        <is>
          <t>3S4-BE-01</t>
        </is>
      </c>
      <c r="P25" s="84" t="inlineStr">
        <is>
          <t>Dashboard shows pacing and risk for every active campaign</t>
        </is>
      </c>
      <c r="Q25" s="86" t="inlineStr">
        <is>
          <t>Spec §16 P3-03</t>
        </is>
      </c>
      <c r="R25" s="111" t="inlineStr">
        <is>
          <t>UI built 2026-10-13 (branch feature/3S-FE-phase3-screens): /admin/intelligence/forecasts, against the proposed contract in documentation/SponsorX-Phase3-Screen-Contracts.md. Until 3S4-BE-01 is mounted the screen shows EnginePending and no figures (owner decision: FE only, honest empty states); ?demo=sample previews the live layout in development only. Marked Done by the owner 2026-10-13 (UI complete); when 3S4-BE-01 lands, walk the screen against it. QA 2026-10-13 at 390 / 1366 / 1920 px as BTG admin, sponsor, property manager and Finance: 78/78 page checks (no horizontal overflow, no console errors, role gating), screenshot review and interaction pass; defects found were fixed and re-walked. Engine landed 2026-10-14 (3S4-DATA-01, 3S4-BE-01/02); walked live 2026-10-15: 2 active campaigns forecast, at-risk alert, pacing chart. Added the engine's one write the proposal lacked: the guarantee control on the detail page (PUT …/guarantee, BTG admins + campaign managers; Sales locked; applies from tonight's forecast).
QA round three 2026-10-19: the detail now renders the API's makeGoods as a Make-goods card (status, substitute, decider, run window) instead of only linking to the centre.</t>
        </is>
      </c>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Done</t>
        </is>
      </c>
      <c r="J26" s="108" t="n">
        <v>5</v>
      </c>
      <c r="K26" s="109" t="n">
        <v>46310</v>
      </c>
      <c r="L26" s="109" t="n">
        <v>46310</v>
      </c>
      <c r="M26" s="110" t="inlineStr">
        <is>
          <t>rcfworks</t>
        </is>
      </c>
      <c r="N26" s="81" t="n">
        <v>0</v>
      </c>
      <c r="O26" s="80" t="inlineStr">
        <is>
          <t>3S4-BE-01</t>
        </is>
      </c>
      <c r="P26" s="80" t="inlineStr">
        <is>
          <t>Recommendations respect sponsor target, availability, exclusivity and estimated value equivalence</t>
        </is>
      </c>
      <c r="Q26" s="82" t="inlineStr">
        <is>
          <t>Spec §22</t>
        </is>
      </c>
      <c r="R26" s="111" t="inlineStr">
        <is>
          <t>Built 2026-10-15 (branch development/bob/be_batch_0924): nightly shortfall per at-risk campaign (guarantee − forecast, valued at what the sponsor paid per unit) with substitutes from the tenant's inventory — match engine's exclusivity/brand-safety filter, then the purchase paths' availability check over 14 days from tomorrow (user, 2026-10-15); each option has available / exclusivity / target checks, estimated delivery, equivalency and cost impact; up to 5 passing + 2 closer near-misses. GET /intelligence/make-goods, permission makeGood (RBAC §31). documentation/SponsorX-Make-Goods.md; tests/makegood.test.ts. Acceptance checked and moved to Done 2026-10-15 (rcfworks): criterion met, tests green, live in staging and production.</t>
        </is>
      </c>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Done</t>
        </is>
      </c>
      <c r="J27" s="108" t="n">
        <v>3</v>
      </c>
      <c r="K27" s="109" t="n">
        <v>46310</v>
      </c>
      <c r="L27" s="109" t="n">
        <v>46310</v>
      </c>
      <c r="M27" s="110" t="inlineStr">
        <is>
          <t>rcfworks</t>
        </is>
      </c>
      <c r="N27" s="85" t="n">
        <v>0</v>
      </c>
      <c r="O27" s="84" t="inlineStr">
        <is>
          <t>3S5-BE-01</t>
        </is>
      </c>
      <c r="P27" s="84" t="inlineStr">
        <is>
          <t>Make-good approval is recorded, audited and reflected in the campaign</t>
        </is>
      </c>
      <c r="Q27" s="86" t="inlineStr">
        <is>
          <t>Spec §18</t>
        </is>
      </c>
      <c r="R27" s="111" t="inlineStr">
        <is>
          <t>Built 2026-10-15: POST /intelligence/make-goods/{id}/approve by BTG admins and campaign managers with a note, plus automatic approval by SponsorX when every safety check passes (user, 2026-10-15: all checks, ≥90% coverage, no extra cost, no minor/school/age-gated category, verified estimate, ≥80% of flight gone); otherwise held with the reasons. Live re-check under the inventory lock, units committed (InventoryCommitment MAKE_GOOD), decision final (DB trigger), audited (makeGood.approve / makeGood.autoApprove), shown on the campaign detail and forecast. Note: the verified-estimate and 80%-of-flight conditions were proposed in the build and approved by the user 2026-10-15; they bind only the automatic approval (a person can approve any passing substitute at any time). Acceptance checked and moved to Done 2026-10-15 (rcfworks): criterion met, tests green, live in staging and production.</t>
        </is>
      </c>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Done</t>
        </is>
      </c>
      <c r="J28" s="108" t="n">
        <v>5</v>
      </c>
      <c r="K28" s="109" t="n">
        <v>46308</v>
      </c>
      <c r="L28" s="109" t="n">
        <v>46308</v>
      </c>
      <c r="M28" s="110" t="inlineStr">
        <is>
          <t>HeckerCreatives</t>
        </is>
      </c>
      <c r="N28" s="81" t="n">
        <v>0</v>
      </c>
      <c r="O28" s="80" t="inlineStr">
        <is>
          <t>3S5-BE-01</t>
        </is>
      </c>
      <c r="P28" s="80" t="inlineStr">
        <is>
          <t>Centre surfaces shortfalls and lets a manager approve a substitution</t>
        </is>
      </c>
      <c r="Q28" s="82" t="inlineStr">
        <is>
          <t>Spec §16 P3-04</t>
        </is>
      </c>
      <c r="R28" s="111" t="inlineStr">
        <is>
          <t>UI built 2026-10-13 (branch feature/3S-FE-phase3-screens): /admin/intelligence/make-goods, against the proposed contract in documentation/SponsorX-Phase3-Screen-Contracts.md. Until 3S5-BE-01 is mounted the screen shows EnginePending and no figures (owner decision: FE only, honest empty states); ?demo=sample previews the live layout in development only. Marked Done by the owner 2026-10-13 (UI complete); when 3S5-BE-01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3S5-BE-01/02's shape (status, automatic.heldBecause, decision.automatic/runsFrom/runsUntil, the API's note rule) and walked live.
QA round two 2026-10-19: held shortfall walked through the drawer (3 reasons, 3 substitutes, a person's approval, 409 after). Fixed: the shared count-up tile (ops-fx OpsCount) kept the previous number when a figure fell to 0 after a server-action refresh.</t>
        </is>
      </c>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Done</t>
        </is>
      </c>
      <c r="J29" s="108" t="n">
        <v>5</v>
      </c>
      <c r="K29" s="109" t="n">
        <v>46310</v>
      </c>
      <c r="L29" s="109" t="n">
        <v>46310</v>
      </c>
      <c r="M29" s="110" t="inlineStr">
        <is>
          <t>rcfworks</t>
        </is>
      </c>
      <c r="N29" s="85" t="n">
        <v>0</v>
      </c>
      <c r="O29" s="84" t="inlineStr">
        <is>
          <t>3S0-PMO-01</t>
        </is>
      </c>
      <c r="P29" s="84" t="inlineStr">
        <is>
          <t>A new attribution partner can be added as an adapter without changing the engine</t>
        </is>
      </c>
      <c r="Q29" s="86" t="inlineStr">
        <is>
          <t>Spec §17.4</t>
        </is>
      </c>
      <c r="R29" s="111" t="inlineStr">
        <is>
          <t>Built 2026-10-15 (rcfworks): adapter interface + registry (deterministic first, lookback, exact keys), generic-webhook-v1, partners with a once-shown token, public Bearer-token intake, every delivery kept with events and problems; a second adapter registered in the test with no engine change. Permission attribution (RBAC §36). documentation/SponsorX-Attribution-Framework.md. | Done 2026-10-15: merged (#234); a second adapter added in the test with no engine change.</t>
        </is>
      </c>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Done</t>
        </is>
      </c>
      <c r="J30" s="108" t="n">
        <v>5</v>
      </c>
      <c r="K30" s="109" t="n">
        <v>46311</v>
      </c>
      <c r="L30" s="109" t="n">
        <v>46311</v>
      </c>
      <c r="M30" s="110" t="inlineStr">
        <is>
          <t>rcfworks</t>
        </is>
      </c>
      <c r="N30" s="81" t="n">
        <v>0</v>
      </c>
      <c r="O30" s="80" t="inlineStr">
        <is>
          <t>3S6-BE-01</t>
        </is>
      </c>
      <c r="P30" s="80" t="inlineStr">
        <is>
          <t>Attribution events identify source, method and confidence; modelled revenue is never labelled verified</t>
        </is>
      </c>
      <c r="Q30" s="82" t="inlineStr">
        <is>
          <t>Spec §19, §22</t>
        </is>
      </c>
      <c r="R30" s="111" t="inlineStr">
        <is>
          <t>Built 2026-10-16 (rcfworks): PartnerSaleAttribution: source, method, key, window, confidence, model version; DB refuses a modelled sale labelled verified. SponsorX-Attribution-Matching.md §1.</t>
        </is>
      </c>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Done</t>
        </is>
      </c>
      <c r="J31" s="108" t="n">
        <v>5</v>
      </c>
      <c r="K31" s="109" t="n">
        <v>46311</v>
      </c>
      <c r="L31" s="109" t="n">
        <v>46311</v>
      </c>
      <c r="M31" s="110" t="inlineStr">
        <is>
          <t>rcfworks</t>
        </is>
      </c>
      <c r="N31" s="85" t="n">
        <v>0</v>
      </c>
      <c r="O31" s="84" t="inlineStr">
        <is>
          <t>3S6-BE-02</t>
        </is>
      </c>
      <c r="P31" s="84" t="inlineStr">
        <is>
          <t>Deterministic matches are attempted first; probabilistic matches carry an explicit method and confidence</t>
        </is>
      </c>
      <c r="Q31" s="86" t="inlineStr">
        <is>
          <t>Spec §17.4</t>
        </is>
      </c>
      <c r="R31" s="111" t="inlineStr">
        <is>
          <t>Built 2026-10-16 (rcfworks): Exact first (token, click id, order id) inside the window; modelled fallback attr-geo-time@0.1.0 only when no key matched and the adapter declares it. Sponsor hub reads it. SponsorX-Attribution-Matching.md §2.</t>
        </is>
      </c>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Done</t>
        </is>
      </c>
      <c r="J32" s="108" t="n">
        <v>3</v>
      </c>
      <c r="K32" s="109" t="n">
        <v>46311</v>
      </c>
      <c r="L32" s="109" t="n">
        <v>46311</v>
      </c>
      <c r="M32" s="110" t="inlineStr">
        <is>
          <t>rcfworks</t>
        </is>
      </c>
      <c r="N32" s="81" t="n">
        <v>0</v>
      </c>
      <c r="O32" s="80" t="inlineStr">
        <is>
          <t>3S6-BE-03</t>
        </is>
      </c>
      <c r="P32" s="80" t="inlineStr">
        <is>
          <t>Unmatched and ambiguous events remain in a reviewable queue</t>
        </is>
      </c>
      <c r="Q32" s="82" t="inlineStr">
        <is>
          <t>Spec §17.4</t>
        </is>
      </c>
      <c r="R32" s="111" t="inlineStr">
        <is>
          <t>Built 2026-10-16 (rcfworks): Queue with reasons (no_match, ambiguous, outside_window, unknown_token); nightly retry; BTG dismiss with reason, audited, stays visible. GET /intelligence/attribution. SponsorX-Attribution-Matching.md §3.
QA 2026-10-19 (HeckerCreatives, with the screen): dismissed.by resolved through peopleWords; dismissing a dismissed/matched sale is 409 attribution_decided, unknown id stays 404; test updated.
QA round three 2026-10-19 (HeckerCreatives): a dismissal that loses the race answers 409 attribution_decided, not 404.</t>
        </is>
      </c>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Done</t>
        </is>
      </c>
      <c r="J33" s="108" t="n">
        <v>5</v>
      </c>
      <c r="K33" s="109" t="n">
        <v>46308</v>
      </c>
      <c r="L33" s="109" t="n">
        <v>46308</v>
      </c>
      <c r="M33" s="110" t="inlineStr">
        <is>
          <t>HeckerCreatives</t>
        </is>
      </c>
      <c r="N33" s="85" t="n">
        <v>0</v>
      </c>
      <c r="O33" s="84" t="inlineStr">
        <is>
          <t>3S6-BE-02</t>
        </is>
      </c>
      <c r="P33" s="84" t="inlineStr">
        <is>
          <t>Dashboard distinguishes verified redemptions, verified transactions, modelled attribution and estimated media value</t>
        </is>
      </c>
      <c r="Q33" s="86" t="inlineStr">
        <is>
          <t>Spec §16 P3-05</t>
        </is>
      </c>
      <c r="R33" s="111" t="inlineStr">
        <is>
          <t>UI built 2026-10-13 (branch feature/3S-FE-phase3-screens): /admin/intelligence/attribution, against the proposed contract in documentation/SponsorX-Phase3-Screen-Contracts.md. Until 3S6-BE-02 is mounted the screen shows EnginePending and no figures (owner decision: FE only, honest empty states); ?demo=sample previews the live layout in development only. Marked Done by the owner 2026-10-13 (UI complete); when 3S6-BE-02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3S6-BE-02/03/04 (refund rows, keysGiven, dismissed entries, unknown-campaign 404) and walked live; Dismiss write added for BTG admins.
QA 2026-10-19: dismissed.by is words (email (Role) / a former user), second dismiss is 409 attribution_decided; switched-off reads say 'Switched off'.</t>
        </is>
      </c>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Done</t>
        </is>
      </c>
      <c r="J34" s="108" t="n">
        <v>5</v>
      </c>
      <c r="K34" s="109" t="n">
        <v>46308</v>
      </c>
      <c r="L34" s="109" t="n">
        <v>46308</v>
      </c>
      <c r="M34" s="110" t="inlineStr">
        <is>
          <t>HeckerCreatives</t>
        </is>
      </c>
      <c r="N34" s="81" t="n">
        <v>0</v>
      </c>
      <c r="O34" s="80" t="inlineStr">
        <is>
          <t>3S1-DATA-02, 3S7-BE-02</t>
        </is>
      </c>
      <c r="P34" s="80" t="inlineStr">
        <is>
          <t>Hub renders cross-campaign intelligence for a sponsor</t>
        </is>
      </c>
      <c r="Q34" s="82" t="inlineStr">
        <is>
          <t>Spec §16 P3-06</t>
        </is>
      </c>
      <c r="R34" s="111" t="inlineStr">
        <is>
          <t>UI built 2026-10-13 (branch feature/3S-FE-phase3-screens): /sponsor/intelligence,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(null EMV, zero cost-per-result, renewals.ended, AD_SLOT, empty segments) and walked live as the sponsor.</t>
        </is>
      </c>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Done</t>
        </is>
      </c>
      <c r="J35" s="108" t="n">
        <v>5</v>
      </c>
      <c r="K35" s="109" t="n">
        <v>46308</v>
      </c>
      <c r="L35" s="109" t="n">
        <v>46308</v>
      </c>
      <c r="M35" s="110" t="inlineStr">
        <is>
          <t>HeckerCreatives</t>
        </is>
      </c>
      <c r="N35" s="85" t="n">
        <v>0</v>
      </c>
      <c r="O35" s="84" t="inlineStr">
        <is>
          <t>3S2-BE-02, 3S7-BE-02</t>
        </is>
      </c>
      <c r="P35" s="84" t="inlineStr">
        <is>
          <t>Hub renders rate and opportunity intelligence for a property</t>
        </is>
      </c>
      <c r="Q35" s="86" t="inlineStr">
        <is>
          <t>Spec §16 P3-07</t>
        </is>
      </c>
      <c r="R35" s="111" t="inlineStr">
        <is>
          <t>UI built 2026-10-13 (branch feature/3S-FE-phase3-screens): /property/intelligence, against the proposed contract in documentation/SponsorX-Phase3-Screen-Contracts.md. Until 3S7-BE-02 is mounted the screen shows EnginePending and no figures (owner decision: FE only, honest empty states); ?demo=sample previews the live layout in development only. Marked Done by the owner 2026-10-13 (UI complete); when 3S7-BE-02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3S7-BE-02 (listed-price opportunity, items not units, roster-only rates, 'Not a fit' reasons) and walked live as the property.</t>
        </is>
      </c>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Done</t>
        </is>
      </c>
      <c r="J36" s="108" t="n">
        <v>5</v>
      </c>
      <c r="K36" s="109" t="n">
        <v>46310</v>
      </c>
      <c r="L36" s="109" t="n">
        <v>46310</v>
      </c>
      <c r="M36" s="110" t="inlineStr">
        <is>
          <t>rcfworks</t>
        </is>
      </c>
      <c r="N36" s="81" t="n">
        <v>0</v>
      </c>
      <c r="O36" s="80" t="inlineStr">
        <is>
          <t>3S4-BE-01</t>
        </is>
      </c>
      <c r="P36" s="80" t="inlineStr">
        <is>
          <t>A scenario can be created, calculated and compared against another</t>
        </is>
      </c>
      <c r="Q36" s="82" t="inlineStr">
        <is>
          <t>Spec §18</t>
        </is>
      </c>
      <c r="R36" s="111" t="inlineStr">
        <is>
          <t>Built 2026-10-15 (rcfworks): GET /intelligence/scenarios, POST …/calculate (stores nothing), POST /intelligence/scenarios (saved with stamp, to compare). Posts bought at the booked/catalogue price × the audience's verified views per post (p25/median/p75); chance of delivering what the CPM sells; expected revenue = budget reduced when delivery falls short (user, 2026-10-15). Permission scenario (RBAC §33). documentation/SponsorX-Scenarios.md; tests/scenarios.test.ts. | Done 2026-10-15: merged to main (#221/#223 via #222), acceptance met, tests green.
QA 2026-10-19 (HeckerCreatives): ScenarioInputs floor 0 not 1 for budgetCents/cpmCents so a zero reaches inputProblems' 422 sentence; ceilings unchanged.</t>
        </is>
      </c>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Done</t>
        </is>
      </c>
      <c r="J37" s="108" t="n">
        <v>5</v>
      </c>
      <c r="K37" s="109" t="n">
        <v>46308</v>
      </c>
      <c r="L37" s="109" t="n">
        <v>46308</v>
      </c>
      <c r="M37" s="110" t="inlineStr">
        <is>
          <t>HeckerCreatives</t>
        </is>
      </c>
      <c r="N37" s="85" t="n">
        <v>0</v>
      </c>
      <c r="O37" s="84" t="inlineStr">
        <is>
          <t>3S7-BE-01</t>
        </is>
      </c>
      <c r="P37" s="84" t="inlineStr">
        <is>
          <t>Planner calculates and compares scenarios interactively</t>
        </is>
      </c>
      <c r="Q37" s="86" t="inlineStr">
        <is>
          <t>Spec §16 P3-08</t>
        </is>
      </c>
      <c r="R37" s="111" t="inlineStr">
        <is>
          <t>UI built 2026-10-13 (branch feature/3S-FE-phase3-screens): /admin/intelligence/scenarios, against the proposed contract in documentation/SponsorX-Phase3-Screen-Contracts.md. Until 3S7-BE-01 is mounted the screen shows EnginePending and no figures (owner decision: FE only, honest empty states); ?demo=sample previews the live layout in development only. Marked Done by the owner 2026-10-13 (UI complete); when 3S7-BE-01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3S7-BE-01 (savedBy, age-band labels, 422 words verbatim, integer bounds, name 120) and walked live incl. the scenarios flag off -&gt; pending.
QA 2026-10-19: switched-off state renders 'Switched off' (not 'not built yet'); budget 0 now answered in the engine's words.</t>
        </is>
      </c>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Code review</t>
        </is>
      </c>
      <c r="J38" s="108" t="n">
        <v>3</v>
      </c>
      <c r="K38" s="109" t="n">
        <v>46310</v>
      </c>
      <c r="L38" s="109" t="n"/>
      <c r="M38" s="110" t="inlineStr">
        <is>
          <t>rcfworks</t>
        </is>
      </c>
      <c r="N38" s="81" t="n">
        <v>0</v>
      </c>
      <c r="O38" s="80" t="inlineStr">
        <is>
          <t>3S7-FE-01</t>
        </is>
      </c>
      <c r="P38" s="80" t="inlineStr">
        <is>
          <t>Zoho shows renewal score and recommended next action on the sponsor record</t>
        </is>
      </c>
      <c r="Q38" s="82" t="inlineStr">
        <is>
          <t>Spec §20</t>
        </is>
      </c>
      <c r="R38" s="111" t="inlineStr">
        <is>
          <t>Built 2026-10-15 (rcfworks): SponsorX_Renewal_Score (0–100) and SponsorX_Next_Action on each sponsor's Zoho Account, from the hub's renewal advice; queued nightly (zoho.pushIntelligence) only for sponsors in Zoho whose values changed. Fields via npm run zoho:intel-fields -- --create: sandbox first, production with the owner's OK — still to run after deploy. Field mapping §12.3; tests/zoho-intelligence.test.ts. | Stays Code review 2026-10-15: 'Zoho shows renewal score and next action on the sponsor record' needs the two Account fields created (sandbox, then production with the owner's OK) and a push to land. | 2026-10-15: sandbox fields created and confirmed; production waits for go-live's Zoho keys (P2-OPS-04 note). Done when tonight's staging run lands the score and next action on a sandbox sponsor's Account.</t>
        </is>
      </c>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Done</t>
        </is>
      </c>
      <c r="J39" s="108" t="n">
        <v>5</v>
      </c>
      <c r="K39" s="109" t="n">
        <v>46310</v>
      </c>
      <c r="L39" s="109" t="n">
        <v>46310</v>
      </c>
      <c r="M39" s="110" t="inlineStr">
        <is>
          <t>rcfworks</t>
        </is>
      </c>
      <c r="N39" s="85" t="n">
        <v>0</v>
      </c>
      <c r="O39" s="84" t="inlineStr">
        <is>
          <t>3S1-DATA-02</t>
        </is>
      </c>
      <c r="P39" s="84" t="inlineStr">
        <is>
          <t>Anomaly console identifies seeded duplicate, bot and redemption test patterns</t>
        </is>
      </c>
      <c r="Q39" s="86" t="inlineStr">
        <is>
          <t>Spec §15, §22</t>
        </is>
      </c>
      <c r="R39" s="111" t="inlineStr">
        <is>
          <t>Built 2026-10-15 (rcfworks): seven nightly rules over 30 days (spike, duplicate post, bot clicks, redemption burst, repeat fan, manual 3× API, engagements &gt; views); flags kept once with rule/version/evidence; duplicate post excluded from reporting automatically (automation first), the rest held for a person; dispositions with a note, audited. Permission anomaly (RBAC §34). documentation/SponsorX-Anomalies.md; tests/anomalies.test.ts. | Done 2026-10-15: merged to main (#221/#223 via #222), acceptance met, tests green.</t>
        </is>
      </c>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Done</t>
        </is>
      </c>
      <c r="J40" s="108" t="n">
        <v>5</v>
      </c>
      <c r="K40" s="109" t="n">
        <v>46308</v>
      </c>
      <c r="L40" s="109" t="n">
        <v>46308</v>
      </c>
      <c r="M40" s="110" t="inlineStr">
        <is>
          <t>HeckerCreatives</t>
        </is>
      </c>
      <c r="N40" s="81" t="n">
        <v>0</v>
      </c>
      <c r="O40" s="80" t="inlineStr">
        <is>
          <t>3S8-DATA-01</t>
        </is>
      </c>
      <c r="P40" s="80" t="inlineStr">
        <is>
          <t>Reviewer can triage and resolve every flagged anomaly</t>
        </is>
      </c>
      <c r="Q40" s="82" t="inlineStr">
        <is>
          <t>Spec §16 P3-09</t>
        </is>
      </c>
      <c r="R40" s="111" t="inlineStr">
        <is>
          <t>UI built 2026-10-13 (branch feature/3S-FE-phase3-screens): /admin/intelligence/anomalies, against the proposed contract in documentation/SponsorX-Phase3-Screen-Contracts.md. Until 3S8-DATA-01 is mounted the screen shows EnginePending and no figures (owner decision: FE only, honest empty states); ?demo=sample previews the live layout in development only. Marked Done by the owner 2026-10-13 (UI complete); when 3S8-DATA-01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3S8-DATA-01 (rule stamp, epoch asOf, disposition.automatic, real rule ids) and walked live with a person's final decision.</t>
        </is>
      </c>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Done</t>
        </is>
      </c>
      <c r="J41" s="108" t="n">
        <v>5</v>
      </c>
      <c r="K41" s="109" t="n">
        <v>46310</v>
      </c>
      <c r="L41" s="109" t="n">
        <v>46310</v>
      </c>
      <c r="M41" s="110" t="inlineStr">
        <is>
          <t>rcfworks</t>
        </is>
      </c>
      <c r="N41" s="85" t="n">
        <v>0</v>
      </c>
      <c r="O41" s="84" t="inlineStr">
        <is>
          <t>3S0-PMO-02</t>
        </is>
      </c>
      <c r="P41" s="84" t="inlineStr">
        <is>
          <t>A model version can be activated, rolled back and compared without deploying code</t>
        </is>
      </c>
      <c r="Q41" s="86" t="inlineStr">
        <is>
          <t>Spec §22</t>
        </is>
      </c>
      <c r="R41" s="111" t="inlineStr">
        <is>
          <t>Built 2026-10-15 (rcfworks): five engines' settings versioned per tenant with safe ranges; a change inside them goes live automatically, outside is held for a second person; activate / roll back / compare without a deploy; engines read the active settings each run and stamp outputs with the version. Permission modelRegistry (RBAC §35). tests/model-registry.test.ts. | Done 2026-10-15: merged to main (#221/#223 via #222), acceptance met, tests green.
QA 2026-10-19 (HeckerCreatives): GET /intelligence/models thresholds carry `integer` so the screen can refuse a fraction before the API does.
QA round three 2026-10-19 (HeckerCreatives): changeSettings idempotent under a double submit — live values are 422 'Nothing changed', a draft's values return that draft; test added.</t>
        </is>
      </c>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Done</t>
        </is>
      </c>
      <c r="J42" s="108" t="n">
        <v>5</v>
      </c>
      <c r="K42" s="109" t="n">
        <v>46308</v>
      </c>
      <c r="L42" s="109" t="n">
        <v>46308</v>
      </c>
      <c r="M42" s="110" t="inlineStr">
        <is>
          <t>HeckerCreatives</t>
        </is>
      </c>
      <c r="N42" s="81" t="n">
        <v>0</v>
      </c>
      <c r="O42" s="80" t="inlineStr">
        <is>
          <t>3S8-BE-01</t>
        </is>
      </c>
      <c r="P42" s="80" t="inlineStr">
        <is>
          <t>Admin can manage model versions and thresholds from the UI</t>
        </is>
      </c>
      <c r="Q42" s="82" t="inlineStr">
        <is>
          <t>Spec §16 P3-10</t>
        </is>
      </c>
      <c r="R42" s="111" t="inlineStr">
        <is>
          <t>UI built 2026-10-13 (branch feature/3S-FE-phase3-screens): /admin/intelligence/models, against the proposed contract in documentation/SponsorX-Phase3-Screen-Contracts.md. Until 3S8-BE-01 is mounted the screen shows EnginePending and no figures (owner decision: FE only, honest empty states); ?demo=sample previews the live layout in development only. Marked Done by the owner 2026-10-13 (UI complete); when 3S8-BE-01 lands, walk the screen against it. QA 2026-10-13 at 390 / 1366 / 1920 px as BTG admin, sponsor, property manager and Finance: 78/78 page checks (no horizontal overflow, no console errors, role gating), screenshot review and interaction pass; defects found were fixed and re-walked.
2026-10-19: reconciled with 3S8-BE-01/OPS-01 + 3S9-QA-01/02 (settings, backtests, benchmarkValidation, held drafts, Validate button, 10 flags, reasons 10-500) and walked live.
QA 2026-10-19: editor refuses a fraction for whole-number settings with the API's sentence; benchmark verdicts joined on the API's label; held-draft -&gt; second-person validate -&gt; activate -&gt; rollback walked end to end.</t>
        </is>
      </c>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Done</t>
        </is>
      </c>
      <c r="J43" s="108" t="n">
        <v>3</v>
      </c>
      <c r="K43" s="109" t="n">
        <v>46310</v>
      </c>
      <c r="L43" s="109" t="n">
        <v>46310</v>
      </c>
      <c r="M43" s="110" t="inlineStr">
        <is>
          <t>rcfworks</t>
        </is>
      </c>
      <c r="N43" s="85" t="n">
        <v>0</v>
      </c>
      <c r="O43" s="84" t="inlineStr">
        <is>
          <t>3S8-BE-01</t>
        </is>
      </c>
      <c r="P43" s="84" t="inlineStr">
        <is>
          <t>All intelligence features can be disabled per tenant through feature flags</t>
        </is>
      </c>
      <c r="Q43" s="86" t="inlineStr">
        <is>
          <t>Spec §22</t>
        </is>
      </c>
      <c r="R43" s="111" t="inlineStr">
        <is>
          <t>Built 2026-10-15 (rcfworks): nine intelligence features switchable per tenant (pricing, matching, forecast, makegood, anomalies, scenarios, sponsorHub, propertyHub, zohoIntelligence); off = nightly run skips the tenant and reads/writes answer 403 feature_off; PATCH /intelligence/flags with a reason, audited. | Done 2026-10-15: merged to main (#221/#223 via #222), acceptance met, tests green.</t>
        </is>
      </c>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Done</t>
        </is>
      </c>
      <c r="J44" s="108" t="n">
        <v>5</v>
      </c>
      <c r="K44" s="109" t="n">
        <v>46310</v>
      </c>
      <c r="L44" s="109" t="n">
        <v>46310</v>
      </c>
      <c r="M44" s="110" t="inlineStr">
        <is>
          <t>rcfworks</t>
        </is>
      </c>
      <c r="N44" s="81" t="n">
        <v>0</v>
      </c>
      <c r="O44" s="80" t="inlineStr">
        <is>
          <t>3S8-BE-01</t>
        </is>
      </c>
      <c r="P44" s="80" t="inlineStr">
        <is>
          <t>Backtest results documented with accuracy and confidence calibration per model</t>
        </is>
      </c>
      <c r="Q44" s="82" t="inlineStr">
        <is>
          <t>Spec §21</t>
        </is>
      </c>
      <c r="R44" s="111" t="inlineStr">
        <is>
          <t>Built 2026-10-15 (rcfworks): forecast and pricing backtests per version, nightly, kept as BacktestRun, on the models screen. No real history yet; simulated forecast history (300 campaigns): good projection (4.7% error at 3/4), probability overconfident early (95%→74% at 1/4). Recommendations in documentation/SponsorX-Backtest.md for the owner. | Done 2026-10-15: merged (#230), acceptance met. | Follow-up 2026-10-15 (owner-approved): forecast-rules@2.0.0, paceUncertainty 0.6 — early overconfidence gone, Brier 0.108→0.096.</t>
        </is>
      </c>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Done</t>
        </is>
      </c>
      <c r="J45" s="108" t="n">
        <v>3</v>
      </c>
      <c r="K45" s="109" t="n">
        <v>46310</v>
      </c>
      <c r="L45" s="109" t="n">
        <v>46310</v>
      </c>
      <c r="M45" s="110" t="inlineStr">
        <is>
          <t>rcfworks</t>
        </is>
      </c>
      <c r="N45" s="85" t="n">
        <v>0</v>
      </c>
      <c r="O45" s="84" t="inlineStr">
        <is>
          <t>3S1-DATA-03</t>
        </is>
      </c>
      <c r="P45" s="84" t="inlineStr">
        <is>
          <t>Benchmarks validated for sample size; reconciliation within tolerance</t>
        </is>
      </c>
      <c r="Q45" s="86" t="inlineStr">
        <is>
          <t>Spec §22</t>
        </is>
      </c>
      <c r="R45" s="111" t="inlineStr">
        <is>
          <t>Built 2026-10-15 (rcfworks): benchmarks validated (ordered, fresh ≤2 days, ≥10 orders, spread ≤4×) with reasons; reconciliation = nightly fact check, exact tolerance, ≤2 days old. Models screen + nightly log + npm run benchmarks:validate. | Done 2026-10-15: merged (#230), acceptance met.
QA 2026-10-19 (HeckerCreatives): each benchmarkValidation check carries `label` (the row's segment label) so screens join by data, not rebuilt prose.</t>
        </is>
      </c>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Done</t>
        </is>
      </c>
      <c r="J46" s="108" t="n">
        <v>5</v>
      </c>
      <c r="K46" s="109" t="n">
        <v>46311</v>
      </c>
      <c r="L46" s="109" t="n">
        <v>46311</v>
      </c>
      <c r="M46" s="110" t="inlineStr">
        <is>
          <t>rcfworks</t>
        </is>
      </c>
      <c r="N46" s="81" t="n">
        <v>0</v>
      </c>
      <c r="O46" s="80" t="inlineStr">
        <is>
          <t>3S9-QA-01</t>
        </is>
      </c>
      <c r="P46" s="80" t="inlineStr">
        <is>
          <t>All 12 Phase 3 acceptance criteria demonstrated and signed off</t>
        </is>
      </c>
      <c r="Q46" s="82" t="inlineStr">
        <is>
          <t>Spec §22</t>
        </is>
      </c>
      <c r="R46" s="111" t="inlineStr">
        <is>
          <t>Written 2026-10-16 (rcfworks): SponsorX-Phase3-UAT.md, all 12 criteria with their proof (196/196 tests on release 11d0a316), criterion 12 test for all ten flags, staged rollout plan. Signed off by the user 2026-10-16.</t>
        </is>
      </c>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Done</t>
        </is>
      </c>
      <c r="J47" s="108" t="n">
        <v>3</v>
      </c>
      <c r="K47" s="109" t="n">
        <v>46310</v>
      </c>
      <c r="L47" s="109" t="n">
        <v>46310</v>
      </c>
      <c r="M47" s="110" t="inlineStr">
        <is>
          <t>rcfworks</t>
        </is>
      </c>
      <c r="N47" s="85" t="n">
        <v>0</v>
      </c>
      <c r="O47" s="84" t="inlineStr">
        <is>
          <t>3S9-QA-01</t>
        </is>
      </c>
      <c r="P47" s="84" t="inlineStr">
        <is>
          <t>Monitoring and alerting live for every scheduled job and model service</t>
        </is>
      </c>
      <c r="Q47" s="86" t="inlineStr">
        <is>
          <t>Spec §20, §38</t>
        </is>
      </c>
      <c r="R47" s="111" t="inlineStr">
        <is>
          <t>Built 2026-10-15 (rcfworks): every nightly step recorded (PipelineRun); /health/full pipeline check fails on a failed step, 26 h without success, stale forecasts with active campaigns, or backtest drift; the existing uptime monitor alerts. documentation/SponsorX-Pipeline-Monitoring.md. | Done 2026-10-15: live on staging and production (release 1122a37); /health/full shows pipeline ok, configured.</t>
        </is>
      </c>
    </row>
    <row r="48" ht="23.85" customHeight="1" s="75">
      <c r="A48" s="104" t="n">
        <v>3.1</v>
      </c>
      <c r="B48" s="105" t="inlineStr">
        <is>
          <t>3S0-BE-01</t>
        </is>
      </c>
      <c r="C48" s="81" t="n">
        <v>0</v>
      </c>
      <c r="D48" s="82" t="inlineStr">
        <is>
          <t>Sprint 0 · Analytics architecture</t>
        </is>
      </c>
      <c r="E48" s="143" t="inlineStr">
        <is>
          <t>BE</t>
        </is>
      </c>
      <c r="F48" s="106" t="inlineStr">
        <is>
          <t>Code</t>
        </is>
      </c>
      <c r="G48" s="80" t="inlineStr">
        <is>
          <t>Timestamp every metric row</t>
        </is>
      </c>
      <c r="H48" s="107" t="inlineStr">
        <is>
          <t>MetricDaily had no time and a same-source correction overwrote the row, so "what did we know on day X" could not be read. createdAt (first recorded, never moves) and updatedAt (latest correction); existing rows dated from their metric.record audit rows.</t>
        </is>
      </c>
      <c r="I48" s="108" t="inlineStr">
        <is>
          <t>Done</t>
        </is>
      </c>
      <c r="J48" s="108" t="n">
        <v>1</v>
      </c>
      <c r="K48" s="109" t="n">
        <v>46307</v>
      </c>
      <c r="L48" s="109" t="n">
        <v>46307</v>
      </c>
      <c r="M48" s="110" t="inlineStr">
        <is>
          <t>rcfworks</t>
        </is>
      </c>
      <c r="N48" s="81" t="n">
        <v>0</v>
      </c>
      <c r="O48" s="80" t="inlineStr">
        <is>
          <t>3S0-DATA-01</t>
        </is>
      </c>
      <c r="P48" s="80" t="inlineStr">
        <is>
          <t>MetricDaily carries createdAt and updatedAt; a correction moves only updatedAt; rows recorded before are dated from the audit log; POST /deliverables/{id}/metrics answers with both</t>
        </is>
      </c>
      <c r="Q48" s="82" t="inlineStr">
        <is>
          <t>Spec §19, §22</t>
        </is>
      </c>
      <c r="R48" s="111" t="inlineStr">
        <is>
          <t>3S0-DATA-01 gap G7. Migration 20261012100000_metric_daily_timestamps. Test: tests/metric-timestamps.test.ts</t>
        </is>
      </c>
    </row>
    <row r="49">
      <c r="A49" s="104" t="n">
        <v>3.2</v>
      </c>
      <c r="B49" s="105" t="inlineStr">
        <is>
          <t>3S0-BE-02</t>
        </is>
      </c>
      <c r="C49" s="81" t="n">
        <v>0</v>
      </c>
      <c r="D49" s="82" t="inlineStr">
        <is>
          <t>Sprint 0 · Analytics architecture</t>
        </is>
      </c>
      <c r="E49" s="143" t="inlineStr">
        <is>
          <t>BE</t>
        </is>
      </c>
      <c r="F49" s="106" t="inlineStr">
        <is>
          <t>Code</t>
        </is>
      </c>
      <c r="G49" s="80" t="inlineStr">
        <is>
          <t>Send the campaign-live email</t>
        </is>
      </c>
      <c r="H49" s="107" t="inlineStr">
        <is>
          <t>Every launch queued notify.campaignLive and nothing consumed it, so nobody outside BTG was told a campaign went live and the rows waited forever. The worker now emails the sponsor's admins and the athletes on active orders (a minor's guardian too); launches queued before this are closed as skipped.</t>
        </is>
      </c>
      <c r="I49" s="108" t="inlineStr">
        <is>
          <t>Done</t>
        </is>
      </c>
      <c r="J49" s="108" t="n">
        <v>3</v>
      </c>
      <c r="K49" s="109" t="n">
        <v>46307</v>
      </c>
      <c r="L49" s="109" t="n">
        <v>46307</v>
      </c>
      <c r="M49" s="110" t="inlineStr">
        <is>
          <t>rcfworks</t>
        </is>
      </c>
      <c r="N49" s="81" t="n">
        <v>0</v>
      </c>
      <c r="O49" s="80" t="inlineStr">
        <is>
          <t>3S0-DATA-01</t>
        </is>
      </c>
      <c r="P49" s="80" t="inlineStr">
        <is>
          <t>A launch emails the sponsor admins and every athlete with an ACTIVE order (and a controlling guardian), once per address; a campaign no longer ACTIVE sends nothing; the backlog is marked skipped, not sent</t>
        </is>
      </c>
      <c r="Q49" s="82" t="inlineStr">
        <is>
          <t>Spec §21</t>
        </is>
      </c>
      <c r="R49" s="111" t="inlineStr">
        <is>
          <t>3S0-DATA-01 gap G1. Domain src/domain/campaign-live-mail.ts; template campaign.live; migration 20261012100300_campaign_live_backlog. Test: tests/campaign-live-mail.test.ts</t>
        </is>
      </c>
    </row>
    <row r="50">
      <c r="A50" s="104" t="n">
        <v>3.3</v>
      </c>
      <c r="B50" s="105" t="inlineStr">
        <is>
          <t>3S0-BE-03</t>
        </is>
      </c>
      <c r="C50" s="81" t="n">
        <v>0</v>
      </c>
      <c r="D50" s="82" t="inlineStr">
        <is>
          <t>Sprint 0 · Analytics architecture</t>
        </is>
      </c>
      <c r="E50" s="143" t="inlineStr">
        <is>
          <t>BE</t>
        </is>
      </c>
      <c r="F50" s="106" t="inlineStr">
        <is>
          <t>Code</t>
        </is>
      </c>
      <c r="G50" s="80" t="inlineStr">
        <is>
          <t>One audit name for archiving a listing</t>
        </is>
      </c>
      <c r="H50" s="107" t="inlineStr">
        <is>
          <t>A listing archive was logged as listing.archive (onboarding, athlete leaving) and listing.archived (the seller), splitting one move across two names. Now listing.archive everywhere. Rows already written stay as they are: the audit log is append-only.</t>
        </is>
      </c>
      <c r="I50" s="108" t="inlineStr">
        <is>
          <t>Done</t>
        </is>
      </c>
      <c r="J50" s="108" t="n">
        <v>1</v>
      </c>
      <c r="K50" s="109" t="n">
        <v>46307</v>
      </c>
      <c r="L50" s="109" t="n">
        <v>46307</v>
      </c>
      <c r="M50" s="110" t="inlineStr">
        <is>
          <t>rcfworks</t>
        </is>
      </c>
      <c r="N50" s="81" t="n">
        <v>0</v>
      </c>
      <c r="O50" s="80" t="inlineStr">
        <is>
          <t>3S0-DATA-01</t>
        </is>
      </c>
      <c r="P50" s="80" t="inlineStr">
        <is>
          <t>The seller archiving a listing is audited as listing.archive; no new listing.archived rows</t>
        </is>
      </c>
      <c r="Q50" s="82" t="inlineStr">
        <is>
          <t>Spec §21</t>
        </is>
      </c>
      <c r="R50" s="111" t="inlineStr">
        <is>
          <t>3S0-DATA-01 gap G9. Test: tests/phase2-listing-auto-publish.test.ts</t>
        </is>
      </c>
    </row>
    <row r="51">
      <c r="A51" s="104" t="n">
        <v>3.4</v>
      </c>
      <c r="B51" s="105" t="inlineStr">
        <is>
          <t>3S0-BE-04</t>
        </is>
      </c>
      <c r="C51" s="81" t="n">
        <v>0</v>
      </c>
      <c r="D51" s="82" t="inlineStr">
        <is>
          <t>Sprint 0 · Analytics architecture</t>
        </is>
      </c>
      <c r="E51" s="143" t="inlineStr">
        <is>
          <t>BE</t>
        </is>
      </c>
      <c r="F51" s="106" t="inlineStr">
        <is>
          <t>Code</t>
        </is>
      </c>
      <c r="G51" s="80" t="inlineStr">
        <is>
          <t>Count refused redemptions of a used code</t>
        </is>
      </c>
      <c r="H51" s="107" t="inlineStr">
        <is>
          <t>A used code presented again was refused and nothing recorded, losing the main signal of a shared or screenshotted code. The code now counts those refusals and keeps the time of the latest; the reward detail shows both per code. Only "already used" refusals count.</t>
        </is>
      </c>
      <c r="I51" s="108" t="inlineStr">
        <is>
          <t>Done</t>
        </is>
      </c>
      <c r="J51" s="108" t="n">
        <v>1</v>
      </c>
      <c r="K51" s="109" t="n">
        <v>46307</v>
      </c>
      <c r="L51" s="109" t="n">
        <v>46307</v>
      </c>
      <c r="M51" s="110" t="inlineStr">
        <is>
          <t>rcfworks</t>
        </is>
      </c>
      <c r="N51" s="81" t="n">
        <v>0</v>
      </c>
      <c r="O51" s="80" t="inlineStr">
        <is>
          <t>3S0-DATA-01</t>
        </is>
      </c>
      <c r="P51" s="80" t="inlineStr">
        <is>
          <t>A used code tried again is still refused (409) and its refusedRedeems / lastRefusedRedeemAt move; other refusals do not count; GET /rewards/{id} returns both per token</t>
        </is>
      </c>
      <c r="Q51" s="82" t="inlineStr">
        <is>
          <t>Spec §21, §22</t>
        </is>
      </c>
      <c r="R51" s="111" t="inlineStr">
        <is>
          <t>3S0-DATA-01 gap G4. Migration 20261012100100_reward_token_refused_redeems. Test: tests/reward.limits.test.ts</t>
        </is>
      </c>
    </row>
    <row r="52">
      <c r="A52" s="104" t="n">
        <v>3.5</v>
      </c>
      <c r="B52" s="105" t="inlineStr">
        <is>
          <t>3S0-BE-05</t>
        </is>
      </c>
      <c r="C52" s="81" t="n">
        <v>0</v>
      </c>
      <c r="D52" s="82" t="inlineStr">
        <is>
          <t>Sprint 0 · Analytics architecture</t>
        </is>
      </c>
      <c r="E52" s="143" t="inlineStr">
        <is>
          <t>BE</t>
        </is>
      </c>
      <c r="F52" s="106" t="inlineStr">
        <is>
          <t>Code</t>
        </is>
      </c>
      <c r="G52" s="80" t="inlineStr">
        <is>
          <t>Reward venue: where an in-person reward is handed out</t>
        </is>
      </c>
      <c r="H52" s="107" t="inlineStr">
        <is>
          <t>The fan funnel had no geography (IP lookup never filled for rewards, GeoLite unset). A reward now takes an optional venue city and US state when created and returns it on read: the reward's location, never the fan's. Market geography for benchmarks comes from the athlete's and property's registered city and state.</t>
        </is>
      </c>
      <c r="I52" s="108" t="inlineStr">
        <is>
          <t>Done</t>
        </is>
      </c>
      <c r="J52" s="108" t="n">
        <v>1</v>
      </c>
      <c r="K52" s="109" t="n">
        <v>46307</v>
      </c>
      <c r="L52" s="109" t="n">
        <v>46307</v>
      </c>
      <c r="M52" s="110" t="inlineStr">
        <is>
          <t>rcfworks</t>
        </is>
      </c>
      <c r="N52" s="81" t="n">
        <v>1</v>
      </c>
      <c r="O52" s="80" t="inlineStr">
        <is>
          <t>3S0-DATA-01</t>
        </is>
      </c>
      <c r="P52" s="80" t="inlineStr">
        <is>
          <t>POST /campaigns/{id}/rewards accepts venue {city, stateCode} (US states only), stores it, and GET /rewards/{id} returns it; none reads back as null</t>
        </is>
      </c>
      <c r="Q52" s="82" t="inlineStr">
        <is>
          <t>Spec §19</t>
        </is>
      </c>
      <c r="R52" s="111" t="inlineStr">
        <is>
          <t>3S0-DATA-01 gap G2/G3. Migration 20261012100200_reward_venue. Test: tests/reward.limits.test.ts. Form field split to 3S0-FE-01</t>
        </is>
      </c>
    </row>
    <row r="53">
      <c r="A53" s="104" t="n">
        <v>3.6</v>
      </c>
      <c r="B53" s="105" t="inlineStr">
        <is>
          <t>3S0-FE-01</t>
        </is>
      </c>
      <c r="C53" s="81" t="n">
        <v>0</v>
      </c>
      <c r="D53" s="82" t="inlineStr">
        <is>
          <t>Sprint 0 · Analytics architecture</t>
        </is>
      </c>
      <c r="E53" s="143" t="inlineStr">
        <is>
          <t>FE</t>
        </is>
      </c>
      <c r="F53" s="106" t="inlineStr">
        <is>
          <t>Code</t>
        </is>
      </c>
      <c r="G53" s="80" t="inlineStr">
        <is>
          <t>Reward form: venue field</t>
        </is>
      </c>
      <c r="H53" s="107" t="inlineStr">
        <is>
          <t>Split from 3S0-BE-05 (backend only). The reward create form gets an optional venue: city and US state. The API (venue {city, stateCode}) is live.</t>
        </is>
      </c>
      <c r="I53" s="108" t="inlineStr">
        <is>
          <t>Done</t>
        </is>
      </c>
      <c r="J53" s="108" t="n">
        <v>1</v>
      </c>
      <c r="K53" s="109" t="n">
        <v>46308</v>
      </c>
      <c r="L53" s="109" t="n">
        <v>46308</v>
      </c>
      <c r="M53" s="110" t="inlineStr">
        <is>
          <t>HeckerCreatives</t>
        </is>
      </c>
      <c r="N53" s="81" t="n">
        <v>0</v>
      </c>
      <c r="O53" s="80" t="inlineStr">
        <is>
          <t>3S0-BE-05</t>
        </is>
      </c>
      <c r="P53" s="80" t="inlineStr">
        <is>
          <t>BTG can enter a venue city and state when creating a reward, and the reward detail shows it</t>
        </is>
      </c>
      <c r="Q53" s="82" t="inlineStr">
        <is>
          <t>Spec §16</t>
        </is>
      </c>
      <c r="R53" s="111" t="inlineStr">
        <is>
          <t>Branch feature/3S-FE-phase3-screens. The live reward creator (live-rewards-desk.tsx) and the demo wizard share reward-venue-fields.tsx; half a venue is refused in the form and in the action; each reward shows 'City, ST' or 'Online only'. State list mirrors the backend's US_STATES (50 + DC). Test: tests/reward-venue.test.ts QA 2026-10-13 at 390 / 1366 / 1920 px as BTG admin, sponsor, property manager and Finance: 78/78 page checks (no horizontal overflow, no console errors, role gating), screenshot review and interaction pass; defects found were fixed and re-walked.</t>
        </is>
      </c>
    </row>
    <row r="54">
      <c r="A54" s="104" t="n">
        <v>3.7</v>
      </c>
      <c r="B54" s="105" t="inlineStr">
        <is>
          <t>3S0-BE-06</t>
        </is>
      </c>
      <c r="C54" s="81" t="n">
        <v>0</v>
      </c>
      <c r="D54" s="82" t="inlineStr">
        <is>
          <t>Sprint 0 · Analytics architecture</t>
        </is>
      </c>
      <c r="E54" s="143" t="inlineStr">
        <is>
          <t>BE</t>
        </is>
      </c>
      <c r="F54" s="106" t="inlineStr">
        <is>
          <t>Code</t>
        </is>
      </c>
      <c r="G54" s="80" t="inlineStr">
        <is>
          <t>Record a deliverable's platform at publish</t>
        </is>
      </c>
      <c r="H54" s="107" t="inlineStr">
        <is>
          <t>Raised by 3S0-DATA-02 (open item O1): no table recorded the platform, so channel could only be inferred. Publishing now stores platform (INSTAGRAM | TIKTOK | YOUTUBE | X | FACEBOOK | OTHER) from the published URL's host; earlier rows backfilled by the same rule in SQL; a CHECK refuses anything else; the deliverable list returns it.</t>
        </is>
      </c>
      <c r="I54" s="108" t="inlineStr">
        <is>
          <t>Done</t>
        </is>
      </c>
      <c r="J54" s="108" t="n">
        <v>1</v>
      </c>
      <c r="K54" s="109" t="n">
        <v>46307</v>
      </c>
      <c r="L54" s="109" t="n">
        <v>46307</v>
      </c>
      <c r="M54" s="110" t="inlineStr">
        <is>
          <t>rcfworks</t>
        </is>
      </c>
      <c r="N54" s="81" t="n">
        <v>0</v>
      </c>
      <c r="O54" s="80" t="inlineStr">
        <is>
          <t>3S0-DATA-01</t>
        </is>
      </c>
      <c r="P54" s="80" t="inlineStr">
        <is>
          <t>Publishing records platform from the URL host (a host matches only itself or its subdomains); earlier rows backfilled identically; the database refuses any other value; the deliverable list returns it</t>
        </is>
      </c>
      <c r="Q54" s="82" t="inlineStr">
        <is>
          <t>Spec §19</t>
        </is>
      </c>
      <c r="R54" s="111" t="inlineStr">
        <is>
          <t>Domain src/domain/deliverable-platform.ts; migration 20261012100400_deliverable_platform. Tests: tests/deliverable-platform.test.ts (incl. SQL-vs-code parity on Postgres), deliverable.chain, deliverables.read.</t>
        </is>
      </c>
    </row>
    <row r="55" s="75">
      <c r="A55" s="112" t="n">
        <v>7.1</v>
      </c>
      <c r="B55" s="113" t="inlineStr">
        <is>
          <t>3S1-BE-01</t>
        </is>
      </c>
      <c r="C55" s="85" t="n">
        <v>1</v>
      </c>
      <c r="D55" s="86" t="inlineStr">
        <is>
          <t>Sprint 1 · Warehouse &amp; benchmarks</t>
        </is>
      </c>
      <c r="E55" s="129" t="inlineStr">
        <is>
          <t>BE</t>
        </is>
      </c>
      <c r="F55" s="122" t="inlineStr">
        <is>
          <t>Code</t>
        </is>
      </c>
      <c r="G55" s="84" t="inlineStr">
        <is>
          <t>Fact ledger and daily summaries</t>
        </is>
      </c>
      <c r="H55" s="116" t="inlineStr">
        <is>
          <t>A fact ledger in the app database: the same transaction that books, cancels, pays or delivers also writes one fact row (what, which campaign/athlete/job/channel/market, how much, when), with values from the app's own code. Daily campaign summaries are updated in that same transaction. Corrections are new rows, never edits. Raised 2026-10-13 (user review): the separate warehouse re-derived business meaning from copied tables — two copies of the rules, a copy job that can fail, edits it cannot see. Replaced by facts the app records at the moment of each action.</t>
        </is>
      </c>
      <c r="I55" s="108" t="inlineStr">
        <is>
          <t>Done</t>
        </is>
      </c>
      <c r="J55" s="108" t="n">
        <v>2</v>
      </c>
      <c r="K55" s="109" t="n">
        <v>46308</v>
      </c>
      <c r="L55" s="109" t="n">
        <v>46310</v>
      </c>
      <c r="M55" s="110" t="inlineStr">
        <is>
          <t>rcfworks</t>
        </is>
      </c>
      <c r="N55" s="85" t="n">
        <v>0</v>
      </c>
      <c r="O55" s="84" t="n"/>
      <c r="P55" s="84" t="inlineStr">
        <is>
          <t>Facts and summaries are written in the same transaction as the change (both or neither); summaries always equal the sum of the facts; a correction adds rows and never edits one</t>
        </is>
      </c>
      <c r="Q55" s="86" t="inlineStr">
        <is>
          <t>Spec §19, §21, §22</t>
        </is>
      </c>
      <c r="R55" s="111" t="inlineStr">
        <is>
          <t>documentation/SponsorX-Fact-Ledger.md; backend/src/domain/facts.ts (recordFact / reverseFact / checkFactSummaries) and fact-rules.ts (closed lists); Fact + CampaignDaySummary, migration 20261013120000_fact_ledger (a trigger refuses editing or deleting a fact). Tests: tests/fact-ledger.test.ts (11). No action writes facts yet — 3S1-BE-02. Acceptance checked and moved to Done 2026-10-15 (rcfworks): criterion met, tests green, live in staging and production.</t>
        </is>
      </c>
    </row>
    <row r="56" s="75">
      <c r="A56" s="112" t="n">
        <v>30.5</v>
      </c>
      <c r="B56" s="113" t="inlineStr">
        <is>
          <t>3S7-BE-02</t>
        </is>
      </c>
      <c r="C56" s="85" t="n">
        <v>7</v>
      </c>
      <c r="D56" s="86" t="inlineStr">
        <is>
          <t>Sprint 7 · Intelligence dashboards</t>
        </is>
      </c>
      <c r="E56" s="129" t="inlineStr">
        <is>
          <t>BE</t>
        </is>
      </c>
      <c r="F56" s="122" t="inlineStr">
        <is>
          <t>Code</t>
        </is>
      </c>
      <c r="G56" s="84" t="inlineStr">
        <is>
          <t>Serve sponsor and property intelligence</t>
        </is>
      </c>
      <c r="H56" s="116" t="inlineStr">
        <is>
          <t>Raised building 3S7-FE-01 / 3S7-FE-02 (2026-10-13): both hubs depend on warehouse facts, but no task serves them. GET /intelligence/sponsor and GET /intelligence/property, scoped by the API to the caller's own sponsor org or property, reading the semantic layer and the CPM engine.</t>
        </is>
      </c>
      <c r="I56" s="108" t="inlineStr">
        <is>
          <t>Done</t>
        </is>
      </c>
      <c r="J56" s="108" t="n">
        <v>3</v>
      </c>
      <c r="K56" s="109" t="n">
        <v>46310</v>
      </c>
      <c r="L56" s="109" t="n">
        <v>46310</v>
      </c>
      <c r="M56" s="110" t="inlineStr">
        <is>
          <t>rcfworks</t>
        </is>
      </c>
      <c r="N56" s="85" t="n">
        <v>2</v>
      </c>
      <c r="O56" s="84" t="inlineStr">
        <is>
          <t>3S1-OPS-04, 3S2-BE-02</t>
        </is>
      </c>
      <c r="P56" s="84" t="inlineStr">
        <is>
          <t>Both reads answer the shapes in documentation/SponsorX-Phase3-Screen-Contracts.md; cross-tenant and cross-org reads are refused; the four attribution classes are returned separately</t>
        </is>
      </c>
      <c r="Q56" s="86" t="inlineStr">
        <is>
          <t>Spec §16 P3-06, P3-07; §19</t>
        </is>
      </c>
      <c r="R56" s="111" t="inlineStr">
        <is>
          <t>Unblocks 3S7-FE-01 and 3S7-FE-02 (their UI is built and waits on this). Re-pointed 2026-10-13 to the fact ledger (3S1-BE-01…): reads the daily summaries in the app database, not the warehouse. Built 2026-10-15 (rcfworks): GET /intelligence/sponsor (four attribution classes kept apart; transactions and modelled 0 until 3S6; media value = verified views × benchmark, an estimate; formats, partners, renewal advice at 80%/50%; no unsourced segments) and GET /intelligence/property (roster's suggested prices, opportunity, sell-through, category fit, quality). Permissions sponsorIntelligence / propertyIntelligence (RBAC §32), scoped by the caller. documentation/SponsorX-Hub-Intelligence.md; tests/hub-intelligence.test.ts. | Done 2026-10-15: merged to main (#221/#223 via #222), acceptance met, tests green.</t>
        </is>
      </c>
    </row>
    <row r="57">
      <c r="A57" s="112" t="n">
        <v>7.2</v>
      </c>
      <c r="B57" s="113" t="inlineStr">
        <is>
          <t>3S1-BE-02</t>
        </is>
      </c>
      <c r="C57" s="85" t="n">
        <v>1</v>
      </c>
      <c r="D57" s="86" t="inlineStr">
        <is>
          <t>Sprint 1 · Warehouse &amp; benchmarks</t>
        </is>
      </c>
      <c r="E57" s="129" t="inlineStr">
        <is>
          <t>BE</t>
        </is>
      </c>
      <c r="F57" s="122" t="inlineStr">
        <is>
          <t>Code</t>
        </is>
      </c>
      <c r="G57" s="84" t="inlineStr">
        <is>
          <t>Record facts in every money and delivery action</t>
        </is>
      </c>
      <c r="H57" s="116" t="inlineStr">
        <is>
          <t>Wire the fact writer into every action that changes money or delivery: order booked/cancelled, earning paid, invoice issued/paid, deliverable due/published/verified/revision, metric recorded/corrected, ad slot sold, marketplace milestones and financials. Fan scans, clicks and edition views are already one row per event and are counted, not copied.</t>
        </is>
      </c>
      <c r="I57" s="108" t="inlineStr">
        <is>
          <t>Done</t>
        </is>
      </c>
      <c r="J57" s="108" t="n">
        <v>2</v>
      </c>
      <c r="K57" s="109" t="n">
        <v>46308</v>
      </c>
      <c r="L57" s="109" t="n">
        <v>46310</v>
      </c>
      <c r="M57" s="110" t="inlineStr">
        <is>
          <t>rcfworks</t>
        </is>
      </c>
      <c r="N57" s="85" t="n">
        <v>0</v>
      </c>
      <c r="O57" s="84" t="inlineStr">
        <is>
          <t>3S1-BE-01</t>
        </is>
      </c>
      <c r="P57" s="84" t="inlineStr">
        <is>
          <t>Every listed action writes its fact in its own transaction; the daily summaries match the app's own totals for a seeded campaign</t>
        </is>
      </c>
      <c r="Q57" s="86" t="inlineStr">
        <is>
          <t>Spec §19, §21, §22</t>
        </is>
      </c>
      <c r="R57" s="111" t="inlineStr">
        <is>
          <t>backend/src/domain/fact-writers.ts — one writer per event, called inside each action's transaction: acceptOrder / respondToOffer (booked + deliverables due), transitionOrder (cancelled; its deliverables' due facts reversed), markPublished / verifyPublished / requestRevision / submitDraft checks, recordMetric (correction = reversal + new fact), transitionEarning PAID, ingestZohoInvoice (amount change or void reverses), edition sale and cancellation (slots), ledger bookOrder / reverseOrder (marketplace lines), the four refund-SENT sites. Tests: tests/fact-wiring.test.ts (9, real actions, summaries = app totals, self-check passes) plus fact checks in edition-automation, phase2-line-cancellation, phase2-offer-answers. Full suite 199 files / 3,167 tests green twice. Doc: SponsorX-Fact-Ledger.md v1.1 §4. Acceptance checked and moved to Done 2026-10-15 (rcfworks): criterion met, tests green, live in staging and production.</t>
        </is>
      </c>
    </row>
    <row r="58">
      <c r="A58" s="112" t="n">
        <v>7.3</v>
      </c>
      <c r="B58" s="113" t="inlineStr">
        <is>
          <t>3S1-QA-02</t>
        </is>
      </c>
      <c r="C58" s="85" t="n">
        <v>1</v>
      </c>
      <c r="D58" s="86" t="inlineStr">
        <is>
          <t>Sprint 1 · Warehouse &amp; benchmarks</t>
        </is>
      </c>
      <c r="E58" s="129" t="inlineStr">
        <is>
          <t>QA</t>
        </is>
      </c>
      <c r="F58" s="122" t="inlineStr">
        <is>
          <t>Code</t>
        </is>
      </c>
      <c r="G58" s="84" t="inlineStr">
        <is>
          <t>Nothing slips through: action and status coverage tests</t>
        </is>
      </c>
      <c r="H58" s="116" t="inlineStr">
        <is>
          <t>Tests that fail the build when an action that changes money or delivery does not write its fact, or when a new order state, payment type or metric source is added without being classified for the facts.</t>
        </is>
      </c>
      <c r="I58" s="108" t="inlineStr">
        <is>
          <t>Done</t>
        </is>
      </c>
      <c r="J58" s="108" t="n">
        <v>1</v>
      </c>
      <c r="K58" s="109" t="n">
        <v>46308</v>
      </c>
      <c r="L58" s="109" t="n">
        <v>46310</v>
      </c>
      <c r="M58" s="110" t="inlineStr">
        <is>
          <t>rcfworks</t>
        </is>
      </c>
      <c r="N58" s="85" t="n">
        <v>0</v>
      </c>
      <c r="O58" s="84" t="inlineStr">
        <is>
          <t>3S1-BE-02</t>
        </is>
      </c>
      <c r="P58" s="84" t="inlineStr">
        <is>
          <t>Removing a fact write, or adding an unclassified state, fails CI</t>
        </is>
      </c>
      <c r="Q58" s="86" t="inlineStr">
        <is>
          <t>Spec §19, §21, §22</t>
        </is>
      </c>
      <c r="R58" s="111" t="inlineStr">
        <is>
          <t>tests/fact-coverage.static.test.ts + tests/support/fact-coverage.ts: reads the code, finds every money/delivery write (32 today), each with a reviewed decision — the fact calls its function makes and how many, or none and why. Fails on: a removed (or commented-out) fact call, a new write with no decision, a new caller of createDeliverablesFromJob, a write to the fact tables outside facts.ts, a stale decision; self-tests prove each. src/domain/fact-classification.ts: every order/deliverable/earning/edition/marketplace-order state, metric source, platform, payment method, refund cause/state/method and dispute state classified, typed against the app's own lists (typecheck + test fail on a new value). Writers read the metric and platform tables. Full suite 200 files / 3,190 tests green twice. Doc: SponsorX-Fact-Ledger.md v1.2 §6. Acceptance checked and moved to Done 2026-10-15 (rcfworks): criterion met, tests green, live in staging and production.</t>
        </is>
      </c>
    </row>
    <row r="59">
      <c r="A59" s="112" t="n">
        <v>7.4</v>
      </c>
      <c r="B59" s="113" t="inlineStr">
        <is>
          <t>3S1-DATA-05</t>
        </is>
      </c>
      <c r="C59" s="85" t="n">
        <v>1</v>
      </c>
      <c r="D59" s="86" t="inlineStr">
        <is>
          <t>Sprint 1 · Warehouse &amp; benchmarks</t>
        </is>
      </c>
      <c r="E59" s="129" t="inlineStr">
        <is>
          <t>DATA</t>
        </is>
      </c>
      <c r="F59" s="122" t="inlineStr">
        <is>
          <t>Code</t>
        </is>
      </c>
      <c r="G59" s="84" t="inlineStr">
        <is>
          <t>Fill history: orders and deliverables</t>
        </is>
      </c>
      <c r="H59" s="116" t="inlineStr">
        <is>
          <t>Split 2026-10-13 (user) from the 1-day fill into five half-day tasks. A re-runnable fill, through the live fact writers, of orders booked and cancelled, deliverables due / published / verified, and drafts sent back — dated from the records and their audit history.</t>
        </is>
      </c>
      <c r="I59" s="108" t="inlineStr">
        <is>
          <t>Done</t>
        </is>
      </c>
      <c r="J59" s="108" t="n">
        <v>0.5</v>
      </c>
      <c r="K59" s="109" t="n">
        <v>46308</v>
      </c>
      <c r="L59" s="109" t="n">
        <v>46310</v>
      </c>
      <c r="M59" s="110" t="inlineStr">
        <is>
          <t>rcfworks</t>
        </is>
      </c>
      <c r="N59" s="85" t="n">
        <v>0</v>
      </c>
      <c r="O59" s="84" t="inlineStr">
        <is>
          <t>3S1-QA-03</t>
        </is>
      </c>
      <c r="P59" s="84" t="inlineStr">
        <is>
          <t>After the fill the check matches these measures for every campaign; re-running adds nothing</t>
        </is>
      </c>
      <c r="Q59" s="86" t="inlineStr">
        <is>
          <t>Spec §19, §21, §22</t>
        </is>
      </c>
      <c r="R59" s="111" t="inlineStr">
        <is>
          <t>backend/src/domain/fact-history.ts fillOrderHistory: per accepted order, one transaction, through the live writers — booked (acceptance day) with deliverables due, revisions (audit log; audit count less facts already there, oldest first), published (published date), verified (audit), cancelled last (audit). No audit entry → fallback date, counted. Revisions sent back before publication filed UNPUBLISHED (factRevisionRequested now dates its channel by the published date — same answer live). scripts/fill-fact-history.mts (npm run facts:fill -- orders [--tenant id]; production needs --confirm-production) fills then runs the check for its measures. Tests: fact-history.test.ts (6) — history plus two orders that carried on live (a live revision, a live cancellation): the check matches every campaign, dates and channels as live, nothing counted twice, a re-run adds nothing. Full suite 202 files / 3,203 tests green twice. Doc: SponsorX-Fact-Ledger.md v1.4 §8. Acceptance checked and moved to Done 2026-10-15 (rcfworks): criterion met, tests green, live in staging and production.</t>
        </is>
      </c>
    </row>
    <row r="60">
      <c r="A60" s="112" t="n">
        <v>7.5</v>
      </c>
      <c r="B60" s="113" t="inlineStr">
        <is>
          <t>3S1-OPS-02</t>
        </is>
      </c>
      <c r="C60" s="85" t="n">
        <v>1</v>
      </c>
      <c r="D60" s="86" t="inlineStr">
        <is>
          <t>Sprint 1 · Warehouse &amp; benchmarks</t>
        </is>
      </c>
      <c r="E60" s="129" t="inlineStr">
        <is>
          <t>OPS</t>
        </is>
      </c>
      <c r="F60" s="122" t="inlineStr">
        <is>
          <t>Code</t>
        </is>
      </c>
      <c r="G60" s="84" t="inlineStr">
        <is>
          <t>Retire the warehouse</t>
        </is>
      </c>
      <c r="H60" s="116" t="inlineStr">
        <is>
          <t>Stop the hourly copy, remove the warehouse settings and code, and delete Postgres-warehouse and Postgres-warehouse-production (with the owner's OK) once the facts and summaries are live.</t>
        </is>
      </c>
      <c r="I60" s="108" t="inlineStr">
        <is>
          <t>Done</t>
        </is>
      </c>
      <c r="J60" s="108" t="n">
        <v>1</v>
      </c>
      <c r="K60" s="109" t="n">
        <v>46311</v>
      </c>
      <c r="L60" s="109" t="n">
        <v>46311</v>
      </c>
      <c r="M60" s="110" t="inlineStr">
        <is>
          <t>rcfworks</t>
        </is>
      </c>
      <c r="N60" s="85" t="n">
        <v>0</v>
      </c>
      <c r="O60" s="84" t="inlineStr">
        <is>
          <t>3S1-OPS-04</t>
        </is>
      </c>
      <c r="P60" s="84" t="inlineStr">
        <is>
          <t>No warehouse service, setting or code remains; analysis reads the summaries; the design docs say so</t>
        </is>
      </c>
      <c r="Q60" s="86" t="inlineStr">
        <is>
          <t>Spec §19, §21, §22</t>
        </is>
      </c>
      <c r="R60" s="111" t="inlineStr">
        <is>
          <t>Done 2026-10-16 (rcfworks, on the user's instruction): hourly copy, backend/worker/warehouse/, its tests and the warehouse:reader script removed. The databases Postgres-warehouse and Postgres-warehouse-production stay on Railway, unused, by the user's decision; noted in stack-decision.md D4.</t>
        </is>
      </c>
    </row>
    <row r="61">
      <c r="A61" s="112" t="n">
        <v>7.6</v>
      </c>
      <c r="B61" s="113" t="inlineStr">
        <is>
          <t>3S1-OPS-03</t>
        </is>
      </c>
      <c r="C61" s="85" t="n">
        <v>1</v>
      </c>
      <c r="D61" s="86" t="inlineStr">
        <is>
          <t>Sprint 1 · Warehouse &amp; benchmarks</t>
        </is>
      </c>
      <c r="E61" s="129" t="inlineStr">
        <is>
          <t>OPS</t>
        </is>
      </c>
      <c r="F61" s="122" t="inlineStr">
        <is>
          <t>Code / Vendor console</t>
        </is>
      </c>
      <c r="G61" s="84" t="inlineStr">
        <is>
          <t>Only the app writes to the live database</t>
        </is>
      </c>
      <c r="H61" s="116" t="inlineStr">
        <is>
          <t>A dedicated login for the app with write access; people get read-only access. Corrections go through admin actions, which record their facts — so no edit can bypass the ledger.</t>
        </is>
      </c>
      <c r="I61" s="108" t="inlineStr">
        <is>
          <t>Done</t>
        </is>
      </c>
      <c r="J61" s="108" t="n">
        <v>1</v>
      </c>
      <c r="K61" s="109" t="n">
        <v>46309</v>
      </c>
      <c r="L61" s="109" t="n">
        <v>46310</v>
      </c>
      <c r="M61" s="110" t="inlineStr">
        <is>
          <t>rcfworks</t>
        </is>
      </c>
      <c r="N61" s="85" t="n">
        <v>0</v>
      </c>
      <c r="O61" s="84" t="n"/>
      <c r="P61" s="84" t="inlineStr">
        <is>
          <t>In staging and production only the app's login can write; a read-only login exists for people; the change is recorded in the deployment runbook</t>
        </is>
      </c>
      <c r="Q61" s="86" t="inlineStr">
        <is>
          <t>Spec §19, §21, §22</t>
        </is>
      </c>
      <c r="R61" s="111" t="inlineStr">
        <is>
          <t>Acceptance checked and moved to Done 2026-10-15 (rcfworks): criterion met, tests green, live in staging and production.</t>
        </is>
      </c>
    </row>
    <row r="62">
      <c r="A62" s="112" t="n">
        <v>7.35</v>
      </c>
      <c r="B62" s="113" t="inlineStr">
        <is>
          <t>3S1-QA-03</t>
        </is>
      </c>
      <c r="C62" s="85" t="n">
        <v>1</v>
      </c>
      <c r="D62" s="86" t="inlineStr">
        <is>
          <t>Sprint 1 · Warehouse &amp; benchmarks</t>
        </is>
      </c>
      <c r="E62" s="129" t="inlineStr">
        <is>
          <t>QA</t>
        </is>
      </c>
      <c r="F62" s="122" t="inlineStr">
        <is>
          <t>Code</t>
        </is>
      </c>
      <c r="G62" s="84" t="inlineStr">
        <is>
          <t>"Match the app" check</t>
        </is>
      </c>
      <c r="H62" s="116" t="inlineStr">
        <is>
          <t>For every campaign, the daily summaries compared with the app's own figures (bookings, cancellations, deliverables due/published/verified/sent back, views and engagements by label, earnings paid, invoices, ad slots sold); for every tenant, marketplace sales and refunds. Each difference named. Used by each history fill, by 3S1-OPS-04, and nightly by 3S1-QA-01.</t>
        </is>
      </c>
      <c r="I62" s="108" t="inlineStr">
        <is>
          <t>Done</t>
        </is>
      </c>
      <c r="J62" s="108" t="n">
        <v>0.5</v>
      </c>
      <c r="K62" s="109" t="n">
        <v>46308</v>
      </c>
      <c r="L62" s="109" t="n">
        <v>46310</v>
      </c>
      <c r="M62" s="110" t="inlineStr">
        <is>
          <t>rcfworks</t>
        </is>
      </c>
      <c r="N62" s="85" t="n">
        <v>0</v>
      </c>
      <c r="O62" s="84" t="inlineStr">
        <is>
          <t>3S1-BE-02</t>
        </is>
      </c>
      <c r="P62" s="84" t="inlineStr">
        <is>
          <t>After a campaign is run through the real actions the check passes; a missing fact or a changed summary is reported by campaign and measure; a script runs it read-only against any database</t>
        </is>
      </c>
      <c r="Q62" s="86" t="inlineStr">
        <is>
          <t>Spec §22</t>
        </is>
      </c>
      <c r="R62" s="111" t="inlineStr">
        <is>
          <t>backend/src/domain/fact-check.ts checkFactsAgainstApp: per campaign, summaries vs the app's records (booked, cancelled, deliverables due/published/verified, revisions from the audit log, views/engagements by label, earnings paid, invoices, ad slots sold); per tenant the marketplace's gross/net/refunded. metric_corrections not compared (the app keeps no count), held to MEASURE_COLUMNS by test. scripts/check-facts.mts (npm run facts:check [-- --tenant id]) runs both checks in a READ ONLY transaction, exits 1 on a difference. Tests: fact-app-check.test.ts (history written without facts is named measure by measure; filling with the live writers passes; a hand-edited summary and an order cancelled in the database are caught), plus the check passing in fact-wiring and phase2-line-cancellation, and for slots in edition-automation. The app deletes none of these records, so a difference is real. Full suite 201 files / 3,197 tests green twice. Doc: SponsorX-Fact-Ledger.md v1.3 §7. Acceptance checked and moved to Done 2026-10-15 (rcfworks): criterion met, tests green, live in staging and production.</t>
        </is>
      </c>
    </row>
    <row r="63">
      <c r="A63" s="112" t="n">
        <v>7.41</v>
      </c>
      <c r="B63" s="113" t="inlineStr">
        <is>
          <t>3S1-DATA-06</t>
        </is>
      </c>
      <c r="C63" s="85" t="n">
        <v>1</v>
      </c>
      <c r="D63" s="86" t="inlineStr">
        <is>
          <t>Sprint 1 · Warehouse &amp; benchmarks</t>
        </is>
      </c>
      <c r="E63" s="129" t="inlineStr">
        <is>
          <t>DATA</t>
        </is>
      </c>
      <c r="F63" s="122" t="inlineStr">
        <is>
          <t>Code</t>
        </is>
      </c>
      <c r="G63" s="84" t="inlineStr">
        <is>
          <t>Fill history: views, payments and invoices</t>
        </is>
      </c>
      <c r="H63" s="116" t="inlineStr">
        <is>
          <t>Re-runnable fill through the live fact writers: daily views and engagements (final figure per day and label; earlier corrections counted from the audit log), earnings paid, Zoho invoices issued and paid.</t>
        </is>
      </c>
      <c r="I63" s="108" t="inlineStr">
        <is>
          <t>Done</t>
        </is>
      </c>
      <c r="J63" s="108" t="n">
        <v>0.5</v>
      </c>
      <c r="K63" s="109" t="n">
        <v>46308</v>
      </c>
      <c r="L63" s="109" t="n">
        <v>46310</v>
      </c>
      <c r="M63" s="110" t="inlineStr">
        <is>
          <t>rcfworks</t>
        </is>
      </c>
      <c r="N63" s="85" t="n">
        <v>0</v>
      </c>
      <c r="O63" s="84" t="inlineStr">
        <is>
          <t>3S1-QA-03</t>
        </is>
      </c>
      <c r="P63" s="84" t="inlineStr">
        <is>
          <t>After the fill the check matches these measures for every campaign; re-running adds nothing</t>
        </is>
      </c>
      <c r="Q63" s="86" t="inlineStr">
        <is>
          <t>Spec §21</t>
        </is>
      </c>
      <c r="R63" s="111" t="inlineStr">
        <is>
          <t>backend/src/domain/fact-history.ts: fillViewHistory (each MetricDaily row through factMetricRecorded; corrections = value changes in its metric.record audit entries less corrections the facts already count — catches a pre-ledger figure corrected live, which the live writer cannot count), fillPaymentHistory (PAID earnings, paid day), fillInvoiceHistory (factInvoice; void records nothing). Fixed: factMetricRecorded now compares only facts holding a figure, so a corrections-only fact is never mistaken for an old figure (a re-run had re-recorded 4 facts). npm run facts:fill -- views payments invoices. Tests: fact-history-money.test.ts (5) — history plus a live correction, a live payment and a live Zoho invoice: check matches, days right, corrections counted once, nothing doubled, re-run adds nothing. Full suite 203 files / 3,208 tests green twice. Doc: SponsorX-Fact-Ledger.md v1.5 §8. Acceptance checked and moved to Done 2026-10-15 (rcfworks): criterion met, tests green, live in staging and production.</t>
        </is>
      </c>
    </row>
    <row r="64">
      <c r="A64" s="112" t="n">
        <v>7.42</v>
      </c>
      <c r="B64" s="113" t="inlineStr">
        <is>
          <t>3S1-DATA-07</t>
        </is>
      </c>
      <c r="C64" s="85" t="n">
        <v>1</v>
      </c>
      <c r="D64" s="86" t="inlineStr">
        <is>
          <t>Sprint 1 · Warehouse &amp; benchmarks</t>
        </is>
      </c>
      <c r="E64" s="129" t="inlineStr">
        <is>
          <t>DATA</t>
        </is>
      </c>
      <c r="F64" s="122" t="inlineStr">
        <is>
          <t>Code</t>
        </is>
      </c>
      <c r="G64" s="84" t="inlineStr">
        <is>
          <t>Fill history: NEXT ad slots and the marketplace</t>
        </is>
      </c>
      <c r="H64" s="116" t="inlineStr">
        <is>
          <t>Re-runnable fill: NEXT ad slots sold (a cancelled edition's released slots rebuilt from the cancelled-sale record, sale and reversal), marketplace lines contracted and unwound, marketplace refunds sent.</t>
        </is>
      </c>
      <c r="I64" s="108" t="inlineStr">
        <is>
          <t>Done</t>
        </is>
      </c>
      <c r="J64" s="108" t="n">
        <v>0.5</v>
      </c>
      <c r="K64" s="109" t="n">
        <v>46308</v>
      </c>
      <c r="L64" s="109" t="n">
        <v>46310</v>
      </c>
      <c r="M64" s="110" t="inlineStr">
        <is>
          <t>rcfworks</t>
        </is>
      </c>
      <c r="N64" s="85" t="n">
        <v>0</v>
      </c>
      <c r="O64" s="84" t="inlineStr">
        <is>
          <t>3S1-QA-03</t>
        </is>
      </c>
      <c r="P64" s="84" t="inlineStr">
        <is>
          <t>After the fill the check matches these measures for every campaign and tenant; re-running adds nothing</t>
        </is>
      </c>
      <c r="Q64" s="86" t="inlineStr">
        <is>
          <t>Spec §21</t>
        </is>
      </c>
      <c r="R64" s="111" t="inlineStr">
        <is>
          <t>backend/src/domain/fact-history.ts: fillSlotHistory (slots sold now via factAdSlotSold; each CancelledAdSale rebuilt — sold on its adSlot.sell audit day, one per campaign×edition, reversed on cancelledAt; skipped when recorded live), fillMarketplaceHistory (factMarketplaceContracted on contractedAt; each line with a REVERSAL journal unwound on that day; refunds SENT). npm run facts:fill -- slots marketplace. Proof: tests erase live facts and refill from history — marketplace facts identical key for key (phase2-line-cancellation); a cancelled edition's per-campaign day figures identical (edition-automation); and the campaign side (orders, deliverables, views, payments, invoices) every non-zero daily summary figure identical (fact-wiring). Full suite 203 files / 3,210 tests green twice. Acceptance checked and moved to Done 2026-10-15 (rcfworks): criterion met, tests green, live in staging and production.</t>
        </is>
      </c>
    </row>
    <row r="65">
      <c r="A65" s="112" t="n">
        <v>7.43</v>
      </c>
      <c r="B65" s="113" t="inlineStr">
        <is>
          <t>3S1-OPS-04</t>
        </is>
      </c>
      <c r="C65" s="85" t="n">
        <v>1</v>
      </c>
      <c r="D65" s="86" t="inlineStr">
        <is>
          <t>Sprint 1 · Warehouse &amp; benchmarks</t>
        </is>
      </c>
      <c r="E65" s="129" t="inlineStr">
        <is>
          <t>OPS</t>
        </is>
      </c>
      <c r="F65" s="122" t="inlineStr">
        <is>
          <t>Code / Vendor console</t>
        </is>
      </c>
      <c r="G65" s="84" t="inlineStr">
        <is>
          <t>Fill the history on staging and production</t>
        </is>
      </c>
      <c r="H65" s="116" t="inlineStr">
        <is>
          <t>Run the three fills on staging, then production with the owner's OK; the check must then pass for every campaign and tenant.</t>
        </is>
      </c>
      <c r="I65" s="108" t="inlineStr">
        <is>
          <t>Done</t>
        </is>
      </c>
      <c r="J65" s="108" t="n">
        <v>0.5</v>
      </c>
      <c r="K65" s="109" t="n">
        <v>46308</v>
      </c>
      <c r="L65" s="109" t="n">
        <v>46310</v>
      </c>
      <c r="M65" s="110" t="inlineStr">
        <is>
          <t>rcfworks</t>
        </is>
      </c>
      <c r="N65" s="85" t="n">
        <v>0</v>
      </c>
      <c r="O65" s="84" t="inlineStr">
        <is>
          <t>3S1-DATA-05, 3S1-DATA-06, 3S1-DATA-07</t>
        </is>
      </c>
      <c r="P65" s="84" t="inlineStr">
        <is>
          <t>History filled for all tenants in both environments; the check passes; a second run adds nothing</t>
        </is>
      </c>
      <c r="Q65" s="86" t="inlineStr">
        <is>
          <t>Spec §21</t>
        </is>
      </c>
      <c r="R65" s="111" t="inlineStr">
        <is>
          <t>Deployed f00d36a to staging + production by hand 2026-10-13 10:36 UTC (main green; user's OK). STAGING: check before — only gap seed_tenant_btg marketplace gross/net 580000 (no campaign orders, deliverables, metrics, earnings, invoices or sold slots at all — counted read-only); fill: 6 marketplace orders → 7 facts, 0 fallback dates; check after: both pass; second run 0. PRODUCTION (run by the user — the classifier blocks a production shell): check before already passing (no money history before the ledger); fill: 0 records in every part; check after: both pass. Acceptance checked and moved to Done 2026-10-15 (rcfworks): criterion met, tests green, live in staging and production.</t>
        </is>
      </c>
    </row>
    <row r="66">
      <c r="A66" s="112" t="n">
        <v>10.1</v>
      </c>
      <c r="B66" s="113" t="inlineStr">
        <is>
          <t>3S1-FE-01</t>
        </is>
      </c>
      <c r="C66" s="85" t="n">
        <v>1</v>
      </c>
      <c r="D66" s="86" t="inlineStr">
        <is>
          <t>Sprint 1 · Warehouse &amp; benchmarks</t>
        </is>
      </c>
      <c r="E66" s="134" t="inlineStr">
        <is>
          <t>FE</t>
        </is>
      </c>
      <c r="F66" s="122" t="inlineStr">
        <is>
          <t>Code</t>
        </is>
      </c>
      <c r="G66" s="84" t="inlineStr">
        <is>
          <t>Figures check on the integrations screen</t>
        </is>
      </c>
      <c r="H66" s="116" t="inlineStr">
        <is>
          <t>Raised by 3S1-QA-01 (2026-10-13). Show the nightly fact check on the admin integrations screen beside Zoho, webhooks and the queue, from the `facts` section of GET /operations/integration-health: last run, whether report figures match the app, since when not, the differences in words, whether emails are on.</t>
        </is>
      </c>
      <c r="I66" s="108" t="inlineStr">
        <is>
          <t>Done</t>
        </is>
      </c>
      <c r="J66" s="108" t="n">
        <v>0.5</v>
      </c>
      <c r="K66" s="109" t="n">
        <v>46309</v>
      </c>
      <c r="L66" s="109" t="n">
        <v>46309</v>
      </c>
      <c r="M66" s="110" t="inlineStr">
        <is>
          <t>HeckerCreatives</t>
        </is>
      </c>
      <c r="N66" s="85" t="n">
        <v>0</v>
      </c>
      <c r="O66" s="84" t="inlineStr">
        <is>
          <t>3S1-QA-01</t>
        </is>
      </c>
      <c r="P66" s="84" t="inlineStr">
        <is>
          <t>The integrations screen shows the section in its three states (never run; matching; not matching with its differences); BTG only</t>
        </is>
      </c>
      <c r="Q66" s="86" t="inlineStr">
        <is>
          <t>Spec §22, §23</t>
        </is>
      </c>
      <c r="R66" s="111" t="inlineStr">
        <is>
          <t>Built 2026-10-14: frontend/src/lib/fact-check-live.ts (states, unit-tested: tests/fact-check-live.test.ts, 8) and the 'Figures check · nightly' section on /admin/integrations from GET /operations/integration-health `facts`. Draws never run, matching, not matching (since when, differences in words, '…and N more' past 20) and a fourth state: the check could not run (matches null + lastError) — shown as 'not run', never as a mismatch. A mismatch or failed run joins the page's 'needs attention' summary. QA 2026-10-14: live walk as BTG admin on desktop + mobile with each state staged in FactCheckRun (another tenant's differences never shown); Finance never reaches the screen. Frontend 139 files / 1,528 tests green, lint clean, next build green. Built while the lead dev revises the fact ledger (2026-10-14) — re-walk when that lands in case the `facts` shape moves.</t>
        </is>
      </c>
    </row>
  </sheetData>
  <autoFilter ref="A4:R66"/>
  <mergeCells count="2">
    <mergeCell ref="A2:R2"/>
    <mergeCell ref="A1:R1"/>
  </mergeCells>
  <conditionalFormatting sqref="I5:I66">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6">
    <cfRule type="expression" rank="0" priority="7" equalAverage="0" aboveAverage="0" dxfId="32" text="" percent="0" bottom="0">
      <formula>$I5="Done"</formula>
    </cfRule>
  </conditionalFormatting>
  <conditionalFormatting sqref="N5:N66">
    <cfRule type="cellIs" rank="0" priority="8" equalAverage="0" operator="greaterThanOrEqual" aboveAverage="0" dxfId="33" text="" percent="0" bottom="0">
      <formula>50</formula>
    </cfRule>
  </conditionalFormatting>
  <dataValidations count="1">
    <dataValidation sqref="I5:I66"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1"/>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47 tasks across 10 sprints · the web application: virtual placements, telemetry, activations, cross-channel reporting (the game-side tasks are Phase 5)</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Define the world contract: runtime, environments and identity</t>
        </is>
      </c>
      <c r="H5" s="107" t="inlineStr">
        <is>
          <t>The rules any world must follow to work with SponsorX, written before the game exists so the game is built to them: engine-neutral (recorded per world), staging and production environments, stable world/zone/placement IDs never reused, sessions and players only as anonymous references.</t>
        </is>
      </c>
      <c r="I5" s="108" t="inlineStr">
        <is>
          <t>Done</t>
        </is>
      </c>
      <c r="J5" s="108" t="n">
        <v>3</v>
      </c>
      <c r="K5" s="109" t="n">
        <v>46311</v>
      </c>
      <c r="L5" s="109" t="n">
        <v>46311</v>
      </c>
      <c r="M5" s="110" t="inlineStr">
        <is>
          <t>rcfworks</t>
        </is>
      </c>
      <c r="N5" s="81" t="n">
        <v>0</v>
      </c>
      <c r="O5" s="80" t="inlineStr">
        <is>
          <t>Phase 3 complete</t>
        </is>
      </c>
      <c r="P5" s="80" t="inlineStr">
        <is>
          <t>Runtime-neutral contract, environment versioning and identity/session model written and approved</t>
        </is>
      </c>
      <c r="Q5" s="82" t="inlineStr">
        <is>
          <t>Spec §33</t>
        </is>
      </c>
      <c r="R5" s="111" t="inlineStr">
        <is>
          <t>Done 2026-10-16 (rcfworks): SponsorX-INFINEX-World-Contract.md — any engine, STAGING/PRODUCTION, stable IDs never reused, anonymous sessionRef/subjectRef, two callers. Approved by the user.</t>
        </is>
      </c>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Done</t>
        </is>
      </c>
      <c r="J6" s="108" t="n">
        <v>3</v>
      </c>
      <c r="K6" s="109" t="n">
        <v>46311</v>
      </c>
      <c r="L6" s="109" t="n">
        <v>46311</v>
      </c>
      <c r="M6" s="110" t="inlineStr">
        <is>
          <t>rcfworks</t>
        </is>
      </c>
      <c r="N6" s="85" t="n">
        <v>0</v>
      </c>
      <c r="O6" s="84" t="inlineStr">
        <is>
          <t>4S0-PMO-01</t>
        </is>
      </c>
      <c r="P6" s="84" t="inlineStr">
        <is>
          <t>Taxonomy documented and mapped to SponsorX entities</t>
        </is>
      </c>
      <c r="Q6" s="86" t="inlineStr">
        <is>
          <t>Spec §25, §27.1</t>
        </is>
      </c>
      <c r="R6" s="111" t="inlineStr">
        <is>
          <t>Done 2026-10-16 (rcfworks): SponsorX-Virtual-Taxonomy.md — five levels in three tables (VirtualWorld, VirtualZone, VirtualPlacement), seven placement kinds, mapped to Property VIRTUAL and InventoryItem VIRTUAL_PLACEMENT. Approved by the user.</t>
        </is>
      </c>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Code review</t>
        </is>
      </c>
      <c r="J8" s="108" t="n">
        <v>5</v>
      </c>
      <c r="K8" s="109" t="n">
        <v>46294</v>
      </c>
      <c r="L8" s="109" t="n"/>
      <c r="M8" s="110" t="inlineStr">
        <is>
          <t>rcfworks</t>
        </is>
      </c>
      <c r="N8" s="85" t="n">
        <v>0</v>
      </c>
      <c r="O8" s="84" t="inlineStr">
        <is>
          <t>4S0-PMO-02</t>
        </is>
      </c>
      <c r="P8" s="84" t="inlineStr">
        <is>
          <t>All 12 Phase 4 screens designed, with creative technical constraints specified per placement type</t>
        </is>
      </c>
      <c r="Q8" s="86" t="inlineStr">
        <is>
          <t>Spec §26</t>
        </is>
      </c>
      <c r="R8" s="111" t="inlineStr">
        <is>
          <t>Designed 2026-09-29 by Claude Design: https://claude.ai/artifact/KBMLqnbXedfz6UiXTRC6Ue — the 10 screens the Phase 4 plan defines (the row says 12), every state, desktop and phone, sample data labelled. | 2026-10-08 checked: NOT MET. The canvas has all 10 screens the plan defines (4S1-FE-01…4S8-FE-01), each in normal/empty/loading/error on desktop and phone, and the creative limits per placement type ARE specified (placement preview: video wall 16:9, 90% safe area, video 50 MB / image 20 MB; 2D billboard 4:1 or 1:1, 92%, image 20 MB; 3D object 1:1 texture, texture 8 MB / glTF 25 MB; deploy screen checks against them). Missing: the blueprint's §34 Phase 4 screens 'virtual campaign extension' and 'virtual pricing' — the 10 + these 2 = the 12 the row names. Neither has a plan task either.</t>
        </is>
      </c>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Done</t>
        </is>
      </c>
      <c r="J10" s="108" t="n">
        <v>3</v>
      </c>
      <c r="K10" s="109" t="n">
        <v>46311</v>
      </c>
      <c r="L10" s="109" t="n">
        <v>46311</v>
      </c>
      <c r="M10" s="110" t="inlineStr">
        <is>
          <t>rcfworks</t>
        </is>
      </c>
      <c r="N10" s="85" t="n">
        <v>0</v>
      </c>
      <c r="O10" s="84" t="inlineStr">
        <is>
          <t>4S0-PMO-02</t>
        </is>
      </c>
      <c r="P10" s="84" t="inlineStr">
        <is>
          <t>SponsorX can register a world and its zones against stable external IDs</t>
        </is>
      </c>
      <c r="Q10" s="86" t="inlineStr">
        <is>
          <t>Spec §28, §30</t>
        </is>
      </c>
      <c r="R10" s="111" t="inlineStr">
        <is>
          <t>Done 2026-10-16 (merged #243) (rcfworks): worlds per environment under the owner's external ID; zones upserted by external ID, all or nothing; IDs fixed by a DB trigger. SponsorX-Virtual-Registry.md §1.</t>
        </is>
      </c>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Done</t>
        </is>
      </c>
      <c r="J11" s="108" t="n">
        <v>5</v>
      </c>
      <c r="K11" s="109" t="n">
        <v>46311</v>
      </c>
      <c r="L11" s="109" t="n">
        <v>46311</v>
      </c>
      <c r="M11" s="110" t="inlineStr">
        <is>
          <t>rcfworks</t>
        </is>
      </c>
      <c r="N11" s="81" t="n">
        <v>0</v>
      </c>
      <c r="O11" s="80" t="inlineStr">
        <is>
          <t>4S1-BE-01</t>
        </is>
      </c>
      <c r="P11" s="80" t="inlineStr">
        <is>
          <t>A placement can be registered with specs, viewability rule and availability</t>
        </is>
      </c>
      <c r="Q11" s="82" t="inlineStr">
        <is>
          <t>Spec §30</t>
        </is>
      </c>
      <c r="R11" s="111" t="inlineStr">
        <is>
          <t>Done 2026-10-16 (merged #243) (rcfworks): placements with kind, specs, creative types, limits, capacity, viewability rule, price, dates; draft until on sale; specs fixed on sale. §2.</t>
        </is>
      </c>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Done</t>
        </is>
      </c>
      <c r="J12" s="108" t="n">
        <v>3</v>
      </c>
      <c r="K12" s="109" t="n">
        <v>46311</v>
      </c>
      <c r="L12" s="109" t="n">
        <v>46311</v>
      </c>
      <c r="M12" s="110" t="inlineStr">
        <is>
          <t>rcfworks</t>
        </is>
      </c>
      <c r="N12" s="85" t="n">
        <v>0</v>
      </c>
      <c r="O12" s="84" t="inlineStr">
        <is>
          <t>4S1-BE-02</t>
        </is>
      </c>
      <c r="P12" s="84" t="inlineStr">
        <is>
          <t>A virtual placement maps to a sellable SponsorX inventory record</t>
        </is>
      </c>
      <c r="Q12" s="86" t="inlineStr">
        <is>
          <t>Spec §27.1</t>
        </is>
      </c>
      <c r="R12" s="111" t="inlineStr">
        <is>
          <t>Done 2026-10-16 (merged #243) (rcfworks): on sale = one InventoryItem VIRTUAL_PLACEMENT owned by the world's property, kept in step; owner cannot edit or list it. §3.</t>
        </is>
      </c>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Done</t>
        </is>
      </c>
      <c r="J13" s="108" t="n">
        <v>3</v>
      </c>
      <c r="K13" s="109" t="n">
        <v>46311</v>
      </c>
      <c r="L13" s="109" t="n">
        <v>46311</v>
      </c>
      <c r="M13" s="110" t="inlineStr">
        <is>
          <t>rcfworks</t>
        </is>
      </c>
      <c r="N13" s="81" t="n">
        <v>0</v>
      </c>
      <c r="O13" s="80" t="inlineStr">
        <is>
          <t>4S1-BE-02</t>
        </is>
      </c>
      <c r="P13" s="80" t="inlineStr">
        <is>
          <t>Overlapping purchases of the same placement are rejected</t>
        </is>
      </c>
      <c r="Q13" s="82" t="inlineStr">
        <is>
          <t>Spec §30</t>
        </is>
      </c>
      <c r="R13" s="111" t="inlineStr">
        <is>
          <t>Done 2026-10-16 (merged #244) (rcfworks): PlacementWindow books whole days inside a draft campaign at the weekly price pro rata; DB exclusion constraint refuses overlaps per placement and slot; released on campaign cancel; no retire with bookings ahead. SponsorX-Virtual-Registry.md §4.</t>
        </is>
      </c>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Done</t>
        </is>
      </c>
      <c r="J17" s="108" t="n">
        <v>5</v>
      </c>
      <c r="K17" s="109" t="n">
        <v>46311</v>
      </c>
      <c r="L17" s="109" t="n">
        <v>46311</v>
      </c>
      <c r="M17" s="110" t="inlineStr">
        <is>
          <t>rcfworks</t>
        </is>
      </c>
      <c r="N17" s="81" t="n">
        <v>0</v>
      </c>
      <c r="O17" s="80" t="inlineStr">
        <is>
          <t>4S1-BE-03</t>
        </is>
      </c>
      <c r="P17" s="80" t="inlineStr">
        <is>
          <t>A deployment record ties campaign, placement, asset version and schedule</t>
        </is>
      </c>
      <c r="Q17" s="82" t="inlineStr">
        <is>
          <t>Spec §27.2, §30</t>
        </is>
      </c>
      <c r="R17" s="111" t="inlineStr">
        <is>
          <t>Done 2026-10-16 (merged #250) (rcfworks): CreativeDeployment ties window (campaign, placement), validated creative version and dates inside the window; DRAFT→APPROVED→ENDED; DB refuses overlapping approved deployments; bumps sequence and world manifestVersion. Registry doc §6.</t>
        </is>
      </c>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Done</t>
        </is>
      </c>
      <c r="J18" s="108" t="n">
        <v>3</v>
      </c>
      <c r="K18" s="109" t="n">
        <v>46311</v>
      </c>
      <c r="L18" s="109" t="n">
        <v>46311</v>
      </c>
      <c r="M18" s="110" t="inlineStr">
        <is>
          <t>rcfworks</t>
        </is>
      </c>
      <c r="N18" s="85" t="n">
        <v>0</v>
      </c>
      <c r="O18" s="84" t="inlineStr">
        <is>
          <t>4S2-BE-01</t>
        </is>
      </c>
      <c r="P18" s="84" t="inlineStr">
        <is>
          <t>An asset failing the placement's technical constraints is rejected at upload</t>
        </is>
      </c>
      <c r="Q18" s="86" t="inlineStr">
        <is>
          <t>Spec §27.2</t>
        </is>
      </c>
      <c r="R18" s="111" t="inlineStr">
        <is>
          <t>Done 2026-10-16 (merged #250) (rcfworks): creative uploaded direct to the private bucket and checked on register against the placement (type, exact pixels, size, video length) from the stored file (size, checksum, image pixels and format via sharp); failing = REJECTED with reasons, file deleted. §5.</t>
        </is>
      </c>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Done</t>
        </is>
      </c>
      <c r="J19" s="108" t="n">
        <v>5</v>
      </c>
      <c r="K19" s="109" t="n">
        <v>46311</v>
      </c>
      <c r="L19" s="109" t="n">
        <v>46311</v>
      </c>
      <c r="M19" s="110" t="inlineStr">
        <is>
          <t>rcfworks</t>
        </is>
      </c>
      <c r="N19" s="81" t="n">
        <v>0</v>
      </c>
      <c r="O19" s="80" t="inlineStr">
        <is>
          <t>4S2-BE-01</t>
        </is>
      </c>
      <c r="P19" s="80" t="inlineStr">
        <is>
          <t>Manifest returns only approved, in-window deployments for the requested world and time</t>
        </is>
      </c>
      <c r="Q19" s="82" t="inlineStr">
        <is>
          <t>Spec §28, §34</t>
        </is>
      </c>
      <c r="R19" s="111" t="inlineStr">
        <is>
          <t>Done 2026-10-16 (merged #250) (rcfworks): GET /virtual/worlds/{id}/manifest?at= — only approved, in-date deployments on booked windows, on-sale placements, validated creative, active world; manifestVersion + ETag/304. Download links 4S2-BE-04; game login 4S0-SEC-01. §7.</t>
        </is>
      </c>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Code review</t>
        </is>
      </c>
      <c r="J20" s="108" t="n">
        <v>3</v>
      </c>
      <c r="K20" s="163" t="n">
        <v>46314</v>
      </c>
      <c r="L20" s="109" t="n"/>
      <c r="M20" s="110" t="inlineStr">
        <is>
          <t>rcfworks</t>
        </is>
      </c>
      <c r="N20" s="85" t="n">
        <v>0</v>
      </c>
      <c r="O20" s="84" t="inlineStr">
        <is>
          <t>4S2-BE-03</t>
        </is>
      </c>
      <c r="P20" s="84" t="inlineStr">
        <is>
          <t>Creative is delivered through signed, short-lived CDN URLs</t>
        </is>
      </c>
      <c r="Q20" s="86" t="inlineStr">
        <is>
          <t>Spec §31</t>
        </is>
      </c>
      <c r="R20" s="111" t="inlineStr">
        <is>
          <t>2026-10-19 (rcfworks): each manifest file carries url (signed GET to the private R2 bucket, 15-min life) and urlExpiresAt. Signed at the start of each 5-min step, so every link handed out is good &gt;=10 min and a poll inside one step gets 304 with nothing signed. One virtual.creativeLinksGrant audit row per grant (keys, never links). Not edge-cached: a caching layer only if 4S8-OPS-01 needs one. tests/virtual-creative.test.ts (14).</t>
        </is>
      </c>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12" t="n">
        <v>20</v>
      </c>
      <c r="B23" s="113" t="inlineStr">
        <is>
          <t>4S3-INT-02</t>
        </is>
      </c>
      <c r="C23" s="85" t="n">
        <v>3</v>
      </c>
      <c r="D23" s="86" t="inlineStr">
        <is>
          <t>Sprint 3 · INFINEX client endpoints</t>
        </is>
      </c>
      <c r="E23" s="141" t="inlineStr">
        <is>
          <t>INT</t>
        </is>
      </c>
      <c r="F23" s="122" t="inlineStr">
        <is>
          <t>Code</t>
        </is>
      </c>
      <c r="G23" s="84" t="inlineStr">
        <is>
          <t>Client registry and heartbeat endpoint</t>
        </is>
      </c>
      <c r="H23" s="116" t="inlineStr">
        <is>
          <t>SponsorX's side: the client registry, the heartbeat endpoint and the missing-heartbeat alert, proven with the stand-in world. The game sending it is 5S1-INT-02.</t>
        </is>
      </c>
      <c r="I23" s="108" t="inlineStr">
        <is>
          <t>Blocked</t>
        </is>
      </c>
      <c r="J23" s="108" t="n">
        <v>2</v>
      </c>
      <c r="K23" s="109" t="n"/>
      <c r="L23" s="109" t="n"/>
      <c r="M23" s="110" t="n"/>
      <c r="N23" s="85" t="n">
        <v>0</v>
      </c>
      <c r="O23" s="84" t="inlineStr">
        <is>
          <t>4S2-BE-03</t>
        </is>
      </c>
      <c r="P23" s="84" t="inlineStr">
        <is>
          <t>A registered client's heartbeat is recorded and a missing heartbeat raises an alert (proven with the stand-in world)</t>
        </is>
      </c>
      <c r="Q23" s="86" t="inlineStr">
        <is>
          <t>Spec §28, §30</t>
        </is>
      </c>
      <c r="R23" s="111" t="inlineStr">
        <is>
          <t>Split 2026-10-16 (user): the game half moved to Phase 5 as 5S1-INT-02.</t>
        </is>
      </c>
    </row>
    <row r="24" ht="23.85" customHeight="1" s="75">
      <c r="A24" s="104" t="n">
        <v>21</v>
      </c>
      <c r="B24" s="105" t="inlineStr">
        <is>
          <t>4S3-INT-03</t>
        </is>
      </c>
      <c r="C24" s="81" t="n">
        <v>3</v>
      </c>
      <c r="D24" s="82" t="inlineStr">
        <is>
          <t>Sprint 3 · INFINEX client endpoints</t>
        </is>
      </c>
      <c r="E24" s="138" t="inlineStr">
        <is>
          <t>INT</t>
        </is>
      </c>
      <c r="F24" s="120" t="inlineStr">
        <is>
          <t>Code</t>
        </is>
      </c>
      <c r="G24" s="80" t="inlineStr">
        <is>
          <t>Client configuration endpoint</t>
        </is>
      </c>
      <c r="H24" s="107" t="inlineStr">
        <is>
          <t>SponsorX's side: feature flags, telemetry limits and schema versions served per client, so behaviour changes without a client release. The game honouring them is 5S1-INT-03.</t>
        </is>
      </c>
      <c r="I24" s="108" t="inlineStr">
        <is>
          <t>Blocked</t>
        </is>
      </c>
      <c r="J24" s="108" t="n">
        <v>1</v>
      </c>
      <c r="K24" s="109" t="n"/>
      <c r="L24" s="109" t="n"/>
      <c r="M24" s="110" t="n"/>
      <c r="N24" s="81" t="n">
        <v>0</v>
      </c>
      <c r="O24" s="80" t="inlineStr">
        <is>
          <t>4S2-BE-03</t>
        </is>
      </c>
      <c r="P24" s="80" t="inlineStr">
        <is>
          <t>Config is served per client with its telemetry limits, and the stand-in world honours them</t>
        </is>
      </c>
      <c r="Q24" s="82" t="inlineStr">
        <is>
          <t>Spec §28</t>
        </is>
      </c>
      <c r="R24" s="111" t="inlineStr">
        <is>
          <t>Split 2026-10-16 (user): the game half moved to Phase 5 as 5S1-INT-03.</t>
        </is>
      </c>
    </row>
    <row r="25" ht="23.85" customHeight="1" s="75">
      <c r="A25" s="104" t="n">
        <v>23</v>
      </c>
      <c r="B25" s="105" t="inlineStr">
        <is>
          <t>4S4-BE-01</t>
        </is>
      </c>
      <c r="C25" s="81" t="n">
        <v>4</v>
      </c>
      <c r="D25" s="82" t="inlineStr">
        <is>
          <t>Sprint 4 · Telemetry ingestion</t>
        </is>
      </c>
      <c r="E25" s="139" t="inlineStr">
        <is>
          <t>BE</t>
        </is>
      </c>
      <c r="F25" s="120" t="inlineStr">
        <is>
          <t>Code</t>
        </is>
      </c>
      <c r="G25" s="80" t="inlineStr">
        <is>
          <t>Telemetry batch ingestion endpoint</t>
        </is>
      </c>
      <c r="H25" s="107" t="inlineStr">
        <is>
          <t>Batched events with service authentication. Validates schema, timestamp, placement-campaign relationship, signature and replay indicators.</t>
        </is>
      </c>
      <c r="I25" s="108" t="inlineStr">
        <is>
          <t>Blocked</t>
        </is>
      </c>
      <c r="J25" s="108" t="n">
        <v>5</v>
      </c>
      <c r="K25" s="109" t="n"/>
      <c r="L25" s="109" t="n"/>
      <c r="M25" s="110" t="n"/>
      <c r="N25" s="81" t="n">
        <v>0</v>
      </c>
      <c r="O25" s="80" t="inlineStr">
        <is>
          <t>4S0-SEC-01</t>
        </is>
      </c>
      <c r="P25" s="80" t="inlineStr">
        <is>
          <t>Batch endpoint supports idempotent event IDs and rejects malformed or unauthorised events</t>
        </is>
      </c>
      <c r="Q25" s="82" t="inlineStr">
        <is>
          <t>Spec §28, §34</t>
        </is>
      </c>
      <c r="R25" s="111" t="n"/>
    </row>
    <row r="26" ht="32.8" customHeight="1" s="75">
      <c r="A26" s="112" t="n">
        <v>24</v>
      </c>
      <c r="B26" s="113" t="inlineStr">
        <is>
          <t>4S4-BE-02</t>
        </is>
      </c>
      <c r="C26" s="85" t="n">
        <v>4</v>
      </c>
      <c r="D26" s="86" t="inlineStr">
        <is>
          <t>Sprint 4 · Telemetry ingestion</t>
        </is>
      </c>
      <c r="E26" s="137" t="inlineStr">
        <is>
          <t>BE</t>
        </is>
      </c>
      <c r="F26" s="122" t="inlineStr">
        <is>
          <t>Code</t>
        </is>
      </c>
      <c r="G26" s="84" t="inlineStr">
        <is>
          <t>Event schema and versioning</t>
        </is>
      </c>
      <c r="H26" s="116" t="inlineStr">
        <is>
          <t>The shared contract: event_id, schema_version, event_type, occurred_at, world/zone/placement, session, dwell, interaction type. Versioned so client and server can evolve apart.</t>
        </is>
      </c>
      <c r="I26" s="108" t="inlineStr">
        <is>
          <t>Blocked</t>
        </is>
      </c>
      <c r="J26" s="108" t="n">
        <v>3</v>
      </c>
      <c r="K26" s="109" t="n"/>
      <c r="L26" s="109" t="n"/>
      <c r="M26" s="110" t="n"/>
      <c r="N26" s="85" t="n">
        <v>0</v>
      </c>
      <c r="O26" s="84" t="inlineStr">
        <is>
          <t>4S4-BE-01</t>
        </is>
      </c>
      <c r="P26" s="84" t="inlineStr">
        <is>
          <t>Schema is versioned and a mismatched version is rejected with a clear error</t>
        </is>
      </c>
      <c r="Q26" s="86" t="inlineStr">
        <is>
          <t>Spec §29</t>
        </is>
      </c>
      <c r="R26" s="111" t="n"/>
    </row>
    <row r="27" ht="23.85" customHeight="1" s="75">
      <c r="A27" s="104" t="n">
        <v>25</v>
      </c>
      <c r="B27" s="105" t="inlineStr">
        <is>
          <t>4S4-BE-03</t>
        </is>
      </c>
      <c r="C27" s="81" t="n">
        <v>4</v>
      </c>
      <c r="D27" s="82" t="inlineStr">
        <is>
          <t>Sprint 4 · Telemetry ingestion</t>
        </is>
      </c>
      <c r="E27" s="139" t="inlineStr">
        <is>
          <t>BE</t>
        </is>
      </c>
      <c r="F27" s="120" t="inlineStr">
        <is>
          <t>Code</t>
        </is>
      </c>
      <c r="G27" s="80" t="inlineStr">
        <is>
          <t>Idempotent de-duplication</t>
        </is>
      </c>
      <c r="H27" s="107" t="inlineStr">
        <is>
          <t>Clients retry. Networks duplicate. Duplicate telemetry must never inflate a sponsor's numbers — this is billing data.</t>
        </is>
      </c>
      <c r="I27" s="108" t="inlineStr">
        <is>
          <t>Blocked</t>
        </is>
      </c>
      <c r="J27" s="108" t="n">
        <v>5</v>
      </c>
      <c r="K27" s="109" t="n"/>
      <c r="L27" s="109" t="n"/>
      <c r="M27" s="110" t="n"/>
      <c r="N27" s="81" t="n">
        <v>0</v>
      </c>
      <c r="O27" s="80" t="inlineStr">
        <is>
          <t>4S4-BE-01</t>
        </is>
      </c>
      <c r="P27" s="80" t="inlineStr">
        <is>
          <t>Repeated duplicate telemetry does not inflate sponsor reports</t>
        </is>
      </c>
      <c r="Q27" s="82" t="inlineStr">
        <is>
          <t>Spec §34</t>
        </is>
      </c>
      <c r="R27" s="111" t="n"/>
    </row>
    <row r="28" ht="23.85" customHeight="1" s="75">
      <c r="A28" s="112" t="n">
        <v>26</v>
      </c>
      <c r="B28" s="113" t="inlineStr">
        <is>
          <t>4S4-OPS-01</t>
        </is>
      </c>
      <c r="C28" s="85" t="n">
        <v>4</v>
      </c>
      <c r="D28" s="86" t="inlineStr">
        <is>
          <t>Sprint 4 · Telemetry ingestion</t>
        </is>
      </c>
      <c r="E28" s="123" t="inlineStr">
        <is>
          <t>OPS</t>
        </is>
      </c>
      <c r="F28" s="124" t="inlineStr">
        <is>
          <t>Vendor console</t>
        </is>
      </c>
      <c r="G28" s="84" t="inlineStr">
        <is>
          <t>Event streaming and buffering</t>
        </is>
      </c>
      <c r="H28" s="116" t="inlineStr">
        <is>
          <t>A queue in front of ingestion so a traffic burst in-world does not drop sponsorship data.</t>
        </is>
      </c>
      <c r="I28" s="108" t="inlineStr">
        <is>
          <t>Blocked</t>
        </is>
      </c>
      <c r="J28" s="108" t="n">
        <v>5</v>
      </c>
      <c r="K28" s="109" t="n"/>
      <c r="L28" s="109" t="n"/>
      <c r="M28" s="110" t="n"/>
      <c r="N28" s="85" t="n">
        <v>0</v>
      </c>
      <c r="O28" s="84" t="inlineStr">
        <is>
          <t>4S4-BE-01</t>
        </is>
      </c>
      <c r="P28" s="84" t="inlineStr">
        <is>
          <t>Ingestion sustains the agreed burst rate with buffering and no event loss</t>
        </is>
      </c>
      <c r="Q28" s="86" t="inlineStr">
        <is>
          <t>Spec §31, §38</t>
        </is>
      </c>
      <c r="R28" s="111" t="n"/>
    </row>
    <row r="29" ht="23.85" customHeight="1" s="75">
      <c r="A29" s="104" t="n">
        <v>27</v>
      </c>
      <c r="B29" s="105" t="inlineStr">
        <is>
          <t>4S4-DATA-01</t>
        </is>
      </c>
      <c r="C29" s="81" t="n">
        <v>4</v>
      </c>
      <c r="D29" s="82" t="inlineStr">
        <is>
          <t>Sprint 4 · Telemetry ingestion</t>
        </is>
      </c>
      <c r="E29" s="143" t="inlineStr">
        <is>
          <t>DATA</t>
        </is>
      </c>
      <c r="F29" s="120" t="inlineStr">
        <is>
          <t>Code</t>
        </is>
      </c>
      <c r="G29" s="80" t="inlineStr">
        <is>
          <t>Raw event storage</t>
        </is>
      </c>
      <c r="H29" s="107" t="inlineStr">
        <is>
          <t>Durable raw telemetry, kept separate from aggregates, so any number can be recomputed from source.</t>
        </is>
      </c>
      <c r="I29" s="108" t="inlineStr">
        <is>
          <t>Blocked</t>
        </is>
      </c>
      <c r="J29" s="108" t="n">
        <v>3</v>
      </c>
      <c r="K29" s="109" t="n"/>
      <c r="L29" s="109" t="n"/>
      <c r="M29" s="110" t="n"/>
      <c r="N29" s="81" t="n">
        <v>0</v>
      </c>
      <c r="O29" s="80" t="inlineStr">
        <is>
          <t>4S4-BE-01</t>
        </is>
      </c>
      <c r="P29" s="80" t="inlineStr">
        <is>
          <t>Raw events are durably stored and aggregates are reproducible from them</t>
        </is>
      </c>
      <c r="Q29" s="82" t="inlineStr">
        <is>
          <t>Spec §30</t>
        </is>
      </c>
      <c r="R29" s="111" t="n"/>
    </row>
    <row r="30" ht="23.85" customHeight="1" s="75">
      <c r="A30" s="112" t="n">
        <v>28</v>
      </c>
      <c r="B30" s="113" t="inlineStr">
        <is>
          <t>4S5-BE-01</t>
        </is>
      </c>
      <c r="C30" s="85" t="n">
        <v>5</v>
      </c>
      <c r="D30" s="86" t="inlineStr">
        <is>
          <t>Sprint 5 · Viewability &amp; aggregates</t>
        </is>
      </c>
      <c r="E30" s="137" t="inlineStr">
        <is>
          <t>BE</t>
        </is>
      </c>
      <c r="F30" s="122" t="inlineStr">
        <is>
          <t>Code</t>
        </is>
      </c>
      <c r="G30" s="84" t="inlineStr">
        <is>
          <t>Viewability rule engine</t>
        </is>
      </c>
      <c r="H30" s="116" t="inlineStr">
        <is>
          <t>Versioned rules — minimum visible percentage and minimum dwell — decide which renders count as viewable impressions.</t>
        </is>
      </c>
      <c r="I30" s="108" t="inlineStr">
        <is>
          <t>Blocked</t>
        </is>
      </c>
      <c r="J30" s="108" t="n">
        <v>5</v>
      </c>
      <c r="K30" s="109" t="n"/>
      <c r="L30" s="109" t="n"/>
      <c r="M30" s="110" t="n"/>
      <c r="N30" s="85" t="n">
        <v>0</v>
      </c>
      <c r="O30" s="84" t="inlineStr">
        <is>
          <t>4S4-DATA-01</t>
        </is>
      </c>
      <c r="P30" s="84" t="inlineStr">
        <is>
          <t>Viewable impressions are calculated per versioned rule and remain distinct from gross renders</t>
        </is>
      </c>
      <c r="Q30" s="86" t="inlineStr">
        <is>
          <t>Spec §30, §34</t>
        </is>
      </c>
      <c r="R30" s="111" t="n"/>
    </row>
    <row r="31" ht="23.85" customHeight="1" s="75">
      <c r="A31" s="104" t="n">
        <v>29</v>
      </c>
      <c r="B31" s="105" t="inlineStr">
        <is>
          <t>4S5-DATA-01</t>
        </is>
      </c>
      <c r="C31" s="81" t="n">
        <v>5</v>
      </c>
      <c r="D31" s="82" t="inlineStr">
        <is>
          <t>Sprint 5 · Viewability &amp; aggregates</t>
        </is>
      </c>
      <c r="E31" s="143" t="inlineStr">
        <is>
          <t>DATA</t>
        </is>
      </c>
      <c r="F31" s="120" t="inlineStr">
        <is>
          <t>Code</t>
        </is>
      </c>
      <c r="G31" s="80" t="inlineStr">
        <is>
          <t>Virtual metric aggregation job</t>
        </is>
      </c>
      <c r="H31" s="107" t="inlineStr">
        <is>
          <t>Visits, gross impressions, viewable impressions, dwell, interactions, challenge metrics and session-level uniques.</t>
        </is>
      </c>
      <c r="I31" s="108" t="inlineStr">
        <is>
          <t>Blocked</t>
        </is>
      </c>
      <c r="J31" s="108" t="n">
        <v>5</v>
      </c>
      <c r="K31" s="109" t="n"/>
      <c r="L31" s="109" t="n"/>
      <c r="M31" s="110" t="n"/>
      <c r="N31" s="81" t="n">
        <v>0</v>
      </c>
      <c r="O31" s="80" t="inlineStr">
        <is>
          <t>4S5-BE-01</t>
        </is>
      </c>
      <c r="P31" s="80" t="inlineStr">
        <is>
          <t>Aggregates compute on schedule and dashboards read aggregates, never raw telemetry</t>
        </is>
      </c>
      <c r="Q31" s="82" t="inlineStr">
        <is>
          <t>Spec §27.3</t>
        </is>
      </c>
      <c r="R31" s="111" t="n"/>
    </row>
    <row r="32" ht="22.35" customHeight="1" s="75">
      <c r="A32" s="112" t="n">
        <v>30</v>
      </c>
      <c r="B32" s="113" t="inlineStr">
        <is>
          <t>4S5-DATA-02</t>
        </is>
      </c>
      <c r="C32" s="85" t="n">
        <v>5</v>
      </c>
      <c r="D32" s="86" t="inlineStr">
        <is>
          <t>Sprint 5 · Viewability &amp; aggregates</t>
        </is>
      </c>
      <c r="E32" s="129" t="inlineStr">
        <is>
          <t>DATA</t>
        </is>
      </c>
      <c r="F32" s="122" t="inlineStr">
        <is>
          <t>Code</t>
        </is>
      </c>
      <c r="G32" s="84" t="inlineStr">
        <is>
          <t>World traffic benchmarks</t>
        </is>
      </c>
      <c r="H32" s="116" t="inlineStr">
        <is>
          <t>Baseline visits, dwell and interaction rates per world and zone — the inputs to virtual pricing.</t>
        </is>
      </c>
      <c r="I32" s="108" t="inlineStr">
        <is>
          <t>Blocked</t>
        </is>
      </c>
      <c r="J32" s="108" t="n">
        <v>3</v>
      </c>
      <c r="K32" s="109" t="n"/>
      <c r="L32" s="109" t="n"/>
      <c r="M32" s="110" t="n"/>
      <c r="N32" s="85" t="n">
        <v>0</v>
      </c>
      <c r="O32" s="84" t="inlineStr">
        <is>
          <t>4S5-DATA-01</t>
        </is>
      </c>
      <c r="P32" s="84" t="inlineStr">
        <is>
          <t>Traffic benchmarks compute per world and zone</t>
        </is>
      </c>
      <c r="Q32" s="86" t="inlineStr">
        <is>
          <t>Spec §30, §32</t>
        </is>
      </c>
      <c r="R32" s="111" t="n"/>
    </row>
    <row r="33" ht="23.85" customHeight="1" s="75">
      <c r="A33" s="104" t="n">
        <v>31</v>
      </c>
      <c r="B33" s="105" t="inlineStr">
        <is>
          <t>4S5-FE-01</t>
        </is>
      </c>
      <c r="C33" s="81" t="n">
        <v>5</v>
      </c>
      <c r="D33" s="82" t="inlineStr">
        <is>
          <t>Sprint 5 · Viewability &amp; aggregates</t>
        </is>
      </c>
      <c r="E33" s="119" t="inlineStr">
        <is>
          <t>FE</t>
        </is>
      </c>
      <c r="F33" s="120" t="inlineStr">
        <is>
          <t>Code</t>
        </is>
      </c>
      <c r="G33" s="80" t="inlineStr">
        <is>
          <t>Build the virtual metrics dashboard</t>
        </is>
      </c>
      <c r="H33" s="107" t="inlineStr">
        <is>
          <t>Visits, impressions, viewable impressions, dwell, interactions, completion and the reward funnel.</t>
        </is>
      </c>
      <c r="I33" s="108" t="inlineStr">
        <is>
          <t>Blocked</t>
        </is>
      </c>
      <c r="J33" s="108" t="n">
        <v>5</v>
      </c>
      <c r="K33" s="109" t="n"/>
      <c r="L33" s="109" t="n"/>
      <c r="M33" s="110" t="n"/>
      <c r="N33" s="81" t="n">
        <v>0</v>
      </c>
      <c r="O33" s="80" t="inlineStr">
        <is>
          <t>4S5-DATA-01</t>
        </is>
      </c>
      <c r="P33" s="80" t="inlineStr">
        <is>
          <t>Dashboard renders virtual delivery with gross and viewable clearly separated</t>
        </is>
      </c>
      <c r="Q33" s="82" t="inlineStr">
        <is>
          <t>Spec §26 P4-07</t>
        </is>
      </c>
      <c r="R33" s="111" t="n"/>
    </row>
    <row r="34" ht="23.85" customHeight="1" s="75">
      <c r="A34" s="112" t="n">
        <v>32</v>
      </c>
      <c r="B34" s="113" t="inlineStr">
        <is>
          <t>4S5-BE-02</t>
        </is>
      </c>
      <c r="C34" s="85" t="n">
        <v>5</v>
      </c>
      <c r="D34" s="86" t="inlineStr">
        <is>
          <t>Sprint 5 · Viewability &amp; aggregates</t>
        </is>
      </c>
      <c r="E34" s="137" t="inlineStr">
        <is>
          <t>BE</t>
        </is>
      </c>
      <c r="F34" s="122" t="inlineStr">
        <is>
          <t>Code</t>
        </is>
      </c>
      <c r="G34" s="84" t="inlineStr">
        <is>
          <t>Virtual pricing model</t>
        </is>
      </c>
      <c r="H34" s="116" t="inlineStr">
        <is>
          <t>Rules-based and transparent first: base rate × traffic × viewability × dwell × scarcity × exclusivity × seasonality × integration depth.</t>
        </is>
      </c>
      <c r="I34" s="108" t="inlineStr">
        <is>
          <t>Blocked</t>
        </is>
      </c>
      <c r="J34" s="108" t="n">
        <v>5</v>
      </c>
      <c r="K34" s="109" t="n"/>
      <c r="L34" s="109" t="n"/>
      <c r="M34" s="110" t="n"/>
      <c r="N34" s="85" t="n">
        <v>0</v>
      </c>
      <c r="O34" s="84" t="inlineStr">
        <is>
          <t>4S5-DATA-02</t>
        </is>
      </c>
      <c r="P34" s="84" t="inlineStr">
        <is>
          <t>A virtual placement produces a recommended rate with its factor breakdown visible</t>
        </is>
      </c>
      <c r="Q34" s="86" t="inlineStr">
        <is>
          <t>Spec §32</t>
        </is>
      </c>
      <c r="R34" s="111" t="n"/>
    </row>
    <row r="35" ht="23.85" customHeight="1" s="75">
      <c r="A35" s="104" t="n">
        <v>33</v>
      </c>
      <c r="B35" s="105" t="inlineStr">
        <is>
          <t>4S6-BE-01</t>
        </is>
      </c>
      <c r="C35" s="81" t="n">
        <v>6</v>
      </c>
      <c r="D35" s="82" t="inlineStr">
        <is>
          <t>Sprint 6 · Activations &amp; rewards</t>
        </is>
      </c>
      <c r="E35" s="139" t="inlineStr">
        <is>
          <t>BE</t>
        </is>
      </c>
      <c r="F35" s="120" t="inlineStr">
        <is>
          <t>Code</t>
        </is>
      </c>
      <c r="G35" s="80" t="inlineStr">
        <is>
          <t>Activation definition model</t>
        </is>
      </c>
      <c r="H35" s="107" t="inlineStr">
        <is>
          <t>Challenges, quests, scavenger hunts, skill tests, product discovery and sponsor booths, with start conditions, completion criteria and reward triggers.</t>
        </is>
      </c>
      <c r="I35" s="108" t="inlineStr">
        <is>
          <t>Blocked</t>
        </is>
      </c>
      <c r="J35" s="108" t="n">
        <v>5</v>
      </c>
      <c r="K35" s="109" t="n"/>
      <c r="L35" s="109" t="n"/>
      <c r="M35" s="110" t="n"/>
      <c r="N35" s="81" t="n">
        <v>0</v>
      </c>
      <c r="O35" s="80" t="inlineStr">
        <is>
          <t>4S2-BE-01</t>
        </is>
      </c>
      <c r="P35" s="80" t="inlineStr">
        <is>
          <t>An activation can be defined with rules, completion criteria and a linked reward</t>
        </is>
      </c>
      <c r="Q35" s="82" t="inlineStr">
        <is>
          <t>Spec §30</t>
        </is>
      </c>
      <c r="R35" s="111" t="n"/>
    </row>
    <row r="36" ht="23.85" customHeight="1" s="75">
      <c r="A36" s="112" t="n">
        <v>34</v>
      </c>
      <c r="B36" s="113" t="inlineStr">
        <is>
          <t>4S6-BE-02</t>
        </is>
      </c>
      <c r="C36" s="85" t="n">
        <v>6</v>
      </c>
      <c r="D36" s="86" t="inlineStr">
        <is>
          <t>Sprint 6 · Activations &amp; rewards</t>
        </is>
      </c>
      <c r="E36" s="137" t="inlineStr">
        <is>
          <t>BE</t>
        </is>
      </c>
      <c r="F36" s="122" t="inlineStr">
        <is>
          <t>Code</t>
        </is>
      </c>
      <c r="G36" s="84" t="inlineStr">
        <is>
          <t>Activation start and complete flow</t>
        </is>
      </c>
      <c r="H36" s="116" t="inlineStr">
        <is>
          <t>Validate completion against activation, session and user constraints before anything is awarded.</t>
        </is>
      </c>
      <c r="I36" s="108" t="inlineStr">
        <is>
          <t>Blocked</t>
        </is>
      </c>
      <c r="J36" s="108" t="n">
        <v>5</v>
      </c>
      <c r="K36" s="109" t="n"/>
      <c r="L36" s="109" t="n"/>
      <c r="M36" s="110" t="n"/>
      <c r="N36" s="85" t="n">
        <v>0</v>
      </c>
      <c r="O36" s="84" t="inlineStr">
        <is>
          <t>4S6-BE-01</t>
        </is>
      </c>
      <c r="P36" s="84" t="inlineStr">
        <is>
          <t>Activation can start and complete, validated against its eligibility rules</t>
        </is>
      </c>
      <c r="Q36" s="86" t="inlineStr">
        <is>
          <t>Spec §27.4</t>
        </is>
      </c>
      <c r="R36" s="111" t="n"/>
    </row>
    <row r="37" ht="23.85" customHeight="1" s="75">
      <c r="A37" s="104" t="n">
        <v>35</v>
      </c>
      <c r="B37" s="105" t="inlineStr">
        <is>
          <t>4S6-BE-03</t>
        </is>
      </c>
      <c r="C37" s="81" t="n">
        <v>6</v>
      </c>
      <c r="D37" s="82" t="inlineStr">
        <is>
          <t>Sprint 6 · Activations &amp; rewards</t>
        </is>
      </c>
      <c r="E37" s="139" t="inlineStr">
        <is>
          <t>BE</t>
        </is>
      </c>
      <c r="F37" s="120" t="inlineStr">
        <is>
          <t>Code</t>
        </is>
      </c>
      <c r="G37" s="80" t="inlineStr">
        <is>
          <t>Reward trigger with exactly-once guarantee</t>
        </is>
      </c>
      <c r="H37" s="107" t="inlineStr">
        <is>
          <t>The in-world equivalent of Phase 1's single-use QR redemption, and it needs the same database-level guarantee rather than application logic.</t>
        </is>
      </c>
      <c r="I37" s="108" t="inlineStr">
        <is>
          <t>Blocked</t>
        </is>
      </c>
      <c r="J37" s="108" t="n">
        <v>5</v>
      </c>
      <c r="K37" s="109" t="n"/>
      <c r="L37" s="109" t="n"/>
      <c r="M37" s="110" t="n"/>
      <c r="N37" s="81" t="n">
        <v>0</v>
      </c>
      <c r="O37" s="80" t="inlineStr">
        <is>
          <t>4S6-BE-02</t>
        </is>
      </c>
      <c r="P37" s="80" t="inlineStr">
        <is>
          <t>An activation triggers a SponsorX reward exactly once per configured eligibility rule</t>
        </is>
      </c>
      <c r="Q37" s="82" t="inlineStr">
        <is>
          <t>Spec §34</t>
        </is>
      </c>
      <c r="R37" s="111" t="n"/>
    </row>
    <row r="38" ht="23.85" customHeight="1" s="75">
      <c r="A38" s="112" t="n">
        <v>36</v>
      </c>
      <c r="B38" s="113" t="inlineStr">
        <is>
          <t>4S6-INT-01</t>
        </is>
      </c>
      <c r="C38" s="85" t="n">
        <v>6</v>
      </c>
      <c r="D38" s="86" t="inlineStr">
        <is>
          <t>Sprint 6 · Activations &amp; rewards</t>
        </is>
      </c>
      <c r="E38" s="141" t="inlineStr">
        <is>
          <t>INT</t>
        </is>
      </c>
      <c r="F38" s="122" t="inlineStr">
        <is>
          <t>Code</t>
        </is>
      </c>
      <c r="G38" s="84" t="inlineStr">
        <is>
          <t>Wire in-world rewards to the wallet service</t>
        </is>
      </c>
      <c r="H38" s="116" t="inlineStr">
        <is>
          <t>Completion produces a claim token and deep link; the fan receives it in-world and optionally by wallet, SMS or email.</t>
        </is>
      </c>
      <c r="I38" s="108" t="inlineStr">
        <is>
          <t>Blocked</t>
        </is>
      </c>
      <c r="J38" s="108" t="n">
        <v>3</v>
      </c>
      <c r="K38" s="109" t="n"/>
      <c r="L38" s="109" t="n"/>
      <c r="M38" s="110" t="n"/>
      <c r="N38" s="85" t="n">
        <v>0</v>
      </c>
      <c r="O38" s="84" t="inlineStr">
        <is>
          <t>4S6-BE-03</t>
        </is>
      </c>
      <c r="P38" s="84" t="inlineStr">
        <is>
          <t>A completed activation delivers a reward through the existing reward and wallet services</t>
        </is>
      </c>
      <c r="Q38" s="86" t="inlineStr">
        <is>
          <t>Spec §27.4</t>
        </is>
      </c>
      <c r="R38" s="111" t="n"/>
    </row>
    <row r="39" ht="23.85" customHeight="1" s="75">
      <c r="A39" s="104" t="n">
        <v>37</v>
      </c>
      <c r="B39" s="105" t="inlineStr">
        <is>
          <t>4S6-FE-01</t>
        </is>
      </c>
      <c r="C39" s="81" t="n">
        <v>6</v>
      </c>
      <c r="D39" s="82" t="inlineStr">
        <is>
          <t>Sprint 6 · Activations &amp; rewards</t>
        </is>
      </c>
      <c r="E39" s="119" t="inlineStr">
        <is>
          <t>FE</t>
        </is>
      </c>
      <c r="F39" s="120" t="inlineStr">
        <is>
          <t>Code</t>
        </is>
      </c>
      <c r="G39" s="80" t="inlineStr">
        <is>
          <t>Build the activation builder</t>
        </is>
      </c>
      <c r="H39" s="107" t="inlineStr">
        <is>
          <t>Challenge rules, start condition, completion criteria, reward trigger and sponsor content.</t>
        </is>
      </c>
      <c r="I39" s="108" t="inlineStr">
        <is>
          <t>Blocked</t>
        </is>
      </c>
      <c r="J39" s="108" t="n">
        <v>5</v>
      </c>
      <c r="K39" s="109" t="n"/>
      <c r="L39" s="109" t="n"/>
      <c r="M39" s="110" t="n"/>
      <c r="N39" s="81" t="n">
        <v>0</v>
      </c>
      <c r="O39" s="80" t="inlineStr">
        <is>
          <t>4S0-ART-01</t>
        </is>
      </c>
      <c r="P39" s="80" t="inlineStr">
        <is>
          <t>A campaign manager can build and publish an activation without engineering help</t>
        </is>
      </c>
      <c r="Q39" s="82" t="inlineStr">
        <is>
          <t>Spec §26 P4-06</t>
        </is>
      </c>
      <c r="R39" s="111" t="n"/>
    </row>
    <row r="40" ht="23.85" customHeight="1" s="75">
      <c r="A40" s="112" t="n">
        <v>38</v>
      </c>
      <c r="B40" s="113" t="inlineStr">
        <is>
          <t>4S7-BE-01</t>
        </is>
      </c>
      <c r="C40" s="85" t="n">
        <v>7</v>
      </c>
      <c r="D40" s="86" t="inlineStr">
        <is>
          <t>Sprint 7 · Cross-channel reporting</t>
        </is>
      </c>
      <c r="E40" s="137" t="inlineStr">
        <is>
          <t>BE</t>
        </is>
      </c>
      <c r="F40" s="122" t="inlineStr">
        <is>
          <t>Code</t>
        </is>
      </c>
      <c r="G40" s="84" t="inlineStr">
        <is>
          <t>Cross-channel campaign model extension</t>
        </is>
      </c>
      <c r="H40" s="116" t="inlineStr">
        <is>
          <t>One campaign holding real-world, social, athlete, reward and INFINEX inventory together.</t>
        </is>
      </c>
      <c r="I40" s="108" t="inlineStr">
        <is>
          <t>Code review</t>
        </is>
      </c>
      <c r="J40" s="108" t="n">
        <v>5</v>
      </c>
      <c r="K40" s="163" t="n">
        <v>46314</v>
      </c>
      <c r="L40" s="109" t="n"/>
      <c r="M40" s="110" t="inlineStr">
        <is>
          <t>rcfworks</t>
        </is>
      </c>
      <c r="N40" s="85" t="n">
        <v>0</v>
      </c>
      <c r="O40" s="84" t="inlineStr">
        <is>
          <t>4S1-BE-03</t>
        </is>
      </c>
      <c r="P40" s="84" t="inlineStr">
        <is>
          <t>A single campaign can contain virtual and non-virtual inventory</t>
        </is>
      </c>
      <c r="Q40" s="86" t="inlineStr">
        <is>
          <t>Spec §25</t>
        </is>
      </c>
      <c r="R40" s="111" t="inlineStr">
        <is>
          <t>2026-10-19 (rcfworks): one campaign holds athlete orders, NEXT ad slots and INFINEX placement windows (PlacementWindow.campaignId is now a foreign key). A booking is a PLACEMENT_WINDOW_BOOKED fact (channel INFINEX, measure virtual_booked_cents, CampaignDaySummary.virtualBookedCents), reversed on release; counted once in figures, the nightly fact check, sponsor spend and the sponsor report (virtualPlacements). A campaign with only INFINEX placements skips STAFFING like an ad-only one. Migration 20261019120000_virtual_booked_fact. tests/cross-channel-campaign.test.ts.</t>
        </is>
      </c>
    </row>
    <row r="41" ht="23.85" customHeight="1" s="75">
      <c r="A41" s="104" t="n">
        <v>39</v>
      </c>
      <c r="B41" s="105" t="inlineStr">
        <is>
          <t>4S7-DATA-01</t>
        </is>
      </c>
      <c r="C41" s="81" t="n">
        <v>7</v>
      </c>
      <c r="D41" s="82" t="inlineStr">
        <is>
          <t>Sprint 7 · Cross-channel reporting</t>
        </is>
      </c>
      <c r="E41" s="143" t="inlineStr">
        <is>
          <t>DATA</t>
        </is>
      </c>
      <c r="F41" s="120" t="inlineStr">
        <is>
          <t>Code</t>
        </is>
      </c>
      <c r="G41" s="80" t="inlineStr">
        <is>
          <t>Cross-channel aggregation without double counting</t>
        </is>
      </c>
      <c r="H41" s="107" t="inlineStr">
        <is>
          <t>The hard part. A fan who scans a QR and completes an in-world challenge is one person, and must not be counted twice.</t>
        </is>
      </c>
      <c r="I41" s="108" t="inlineStr">
        <is>
          <t>Blocked</t>
        </is>
      </c>
      <c r="J41" s="108" t="n">
        <v>5</v>
      </c>
      <c r="K41" s="109" t="n"/>
      <c r="L41" s="109" t="n"/>
      <c r="M41" s="110" t="n"/>
      <c r="N41" s="81" t="n">
        <v>0</v>
      </c>
      <c r="O41" s="80" t="inlineStr">
        <is>
          <t>4S7-BE-01</t>
        </is>
      </c>
      <c r="P41" s="80" t="inlineStr">
        <is>
          <t>Cross-channel dashboard shows INFINEX metrics alongside other channels without double counting</t>
        </is>
      </c>
      <c r="Q41" s="82" t="inlineStr">
        <is>
          <t>Spec §34</t>
        </is>
      </c>
      <c r="R41" s="111" t="n"/>
    </row>
    <row r="42" ht="22.35" customHeight="1" s="75">
      <c r="A42" s="112" t="n">
        <v>40</v>
      </c>
      <c r="B42" s="113" t="inlineStr">
        <is>
          <t>4S7-FE-01</t>
        </is>
      </c>
      <c r="C42" s="85" t="n">
        <v>7</v>
      </c>
      <c r="D42" s="86" t="inlineStr">
        <is>
          <t>Sprint 7 · Cross-channel reporting</t>
        </is>
      </c>
      <c r="E42" s="121" t="inlineStr">
        <is>
          <t>FE</t>
        </is>
      </c>
      <c r="F42" s="122" t="inlineStr">
        <is>
          <t>Code</t>
        </is>
      </c>
      <c r="G42" s="84" t="inlineStr">
        <is>
          <t>Build the cross-channel campaign dashboard</t>
        </is>
      </c>
      <c r="H42" s="116" t="inlineStr">
        <is>
          <t>Compare INFINEX against social, streaming, event and athlete inventory in one view.</t>
        </is>
      </c>
      <c r="I42" s="108" t="inlineStr">
        <is>
          <t>Blocked</t>
        </is>
      </c>
      <c r="J42" s="108" t="n">
        <v>5</v>
      </c>
      <c r="K42" s="109" t="n"/>
      <c r="L42" s="109" t="n"/>
      <c r="M42" s="110" t="n"/>
      <c r="N42" s="85" t="n">
        <v>0</v>
      </c>
      <c r="O42" s="84" t="inlineStr">
        <is>
          <t>4S7-DATA-01</t>
        </is>
      </c>
      <c r="P42" s="84" t="inlineStr">
        <is>
          <t>Dashboard compares all channels on consistent metrics</t>
        </is>
      </c>
      <c r="Q42" s="86" t="inlineStr">
        <is>
          <t>Spec §26 P4-08</t>
        </is>
      </c>
      <c r="R42" s="111" t="n"/>
    </row>
    <row r="43" ht="23.85" customHeight="1" s="75">
      <c r="A43" s="104" t="n">
        <v>41</v>
      </c>
      <c r="B43" s="105" t="inlineStr">
        <is>
          <t>4S7-FE-02</t>
        </is>
      </c>
      <c r="C43" s="81" t="n">
        <v>7</v>
      </c>
      <c r="D43" s="82" t="inlineStr">
        <is>
          <t>Sprint 7 · Cross-channel reporting</t>
        </is>
      </c>
      <c r="E43" s="119" t="inlineStr">
        <is>
          <t>FE</t>
        </is>
      </c>
      <c r="F43" s="120" t="inlineStr">
        <is>
          <t>Code</t>
        </is>
      </c>
      <c r="G43" s="80" t="inlineStr">
        <is>
          <t>Build the sponsor activation report</t>
        </is>
      </c>
      <c r="H43" s="107" t="inlineStr">
        <is>
          <t>Virtual activation summary with content, engagement, rewards, screenshots and proofs, and recommended next actions.</t>
        </is>
      </c>
      <c r="I43" s="108" t="inlineStr">
        <is>
          <t>Blocked</t>
        </is>
      </c>
      <c r="J43" s="108" t="n">
        <v>5</v>
      </c>
      <c r="K43" s="109" t="n"/>
      <c r="L43" s="109" t="n"/>
      <c r="M43" s="110" t="n"/>
      <c r="N43" s="81" t="n">
        <v>0</v>
      </c>
      <c r="O43" s="80" t="inlineStr">
        <is>
          <t>4S5-FE-01</t>
        </is>
      </c>
      <c r="P43" s="80" t="inlineStr">
        <is>
          <t>A pilot sponsor receives a report with virtual delivery, interaction, reward funnel and creative proof</t>
        </is>
      </c>
      <c r="Q43" s="82" t="inlineStr">
        <is>
          <t>Spec §26 P4-11, §34</t>
        </is>
      </c>
      <c r="R43" s="111" t="n"/>
    </row>
    <row r="44" ht="22.35" customHeight="1" s="75">
      <c r="A44" s="112" t="n">
        <v>42</v>
      </c>
      <c r="B44" s="113" t="inlineStr">
        <is>
          <t>4S7-FE-03</t>
        </is>
      </c>
      <c r="C44" s="85" t="n">
        <v>7</v>
      </c>
      <c r="D44" s="86" t="inlineStr">
        <is>
          <t>Sprint 7 · Cross-channel reporting</t>
        </is>
      </c>
      <c r="E44" s="121" t="inlineStr">
        <is>
          <t>FE</t>
        </is>
      </c>
      <c r="F44" s="122" t="inlineStr">
        <is>
          <t>Code</t>
        </is>
      </c>
      <c r="G44" s="84" t="inlineStr">
        <is>
          <t>Build the world heatmap and zone insights</t>
        </is>
      </c>
      <c r="H44" s="116" t="inlineStr">
        <is>
          <t>Aggregated zone traffic and engagement, where INFINEX telemetry supports it.</t>
        </is>
      </c>
      <c r="I44" s="108" t="inlineStr">
        <is>
          <t>Blocked</t>
        </is>
      </c>
      <c r="J44" s="108" t="n">
        <v>5</v>
      </c>
      <c r="K44" s="109" t="n"/>
      <c r="L44" s="109" t="n"/>
      <c r="M44" s="110" t="n"/>
      <c r="N44" s="85" t="n">
        <v>0</v>
      </c>
      <c r="O44" s="84" t="inlineStr">
        <is>
          <t>4S5-DATA-02</t>
        </is>
      </c>
      <c r="P44" s="84" t="inlineStr">
        <is>
          <t>Heatmap renders zone-level traffic and engagement</t>
        </is>
      </c>
      <c r="Q44" s="86" t="inlineStr">
        <is>
          <t>Spec §26 P4-12</t>
        </is>
      </c>
      <c r="R44" s="111" t="n"/>
    </row>
    <row r="45" ht="23.85" customHeight="1" s="75">
      <c r="A45" s="104" t="n">
        <v>43</v>
      </c>
      <c r="B45" s="105" t="inlineStr">
        <is>
          <t>4S8-FE-01</t>
        </is>
      </c>
      <c r="C45" s="81" t="n">
        <v>8</v>
      </c>
      <c r="D45" s="82" t="inlineStr">
        <is>
          <t>Sprint 8 · Operations &amp; load</t>
        </is>
      </c>
      <c r="E45" s="119" t="inlineStr">
        <is>
          <t>FE</t>
        </is>
      </c>
      <c r="F45" s="120" t="inlineStr">
        <is>
          <t>Code</t>
        </is>
      </c>
      <c r="G45" s="80" t="inlineStr">
        <is>
          <t>Build the INFINEX operations console</t>
        </is>
      </c>
      <c r="H45" s="107" t="inlineStr">
        <is>
          <t>Health, event lag, placement failures, creative mismatch, kill switch and incident log.</t>
        </is>
      </c>
      <c r="I45" s="108" t="inlineStr">
        <is>
          <t>Blocked</t>
        </is>
      </c>
      <c r="J45" s="108" t="n">
        <v>5</v>
      </c>
      <c r="K45" s="109" t="n"/>
      <c r="L45" s="109" t="n"/>
      <c r="M45" s="110" t="n"/>
      <c r="N45" s="81" t="n">
        <v>0</v>
      </c>
      <c r="O45" s="80" t="inlineStr">
        <is>
          <t>4S3-INT-02</t>
        </is>
      </c>
      <c r="P45" s="80" t="inlineStr">
        <is>
          <t>Console displays event lag, client heartbeat, deployment failures and active incidents</t>
        </is>
      </c>
      <c r="Q45" s="82" t="inlineStr">
        <is>
          <t>Spec §26 P4-09, §34</t>
        </is>
      </c>
      <c r="R45" s="111" t="n"/>
    </row>
    <row r="46" ht="23.85" customHeight="1" s="75">
      <c r="A46" s="112" t="n">
        <v>44</v>
      </c>
      <c r="B46" s="113" t="inlineStr">
        <is>
          <t>4S8-BE-01</t>
        </is>
      </c>
      <c r="C46" s="85" t="n">
        <v>8</v>
      </c>
      <c r="D46" s="86" t="inlineStr">
        <is>
          <t>Sprint 8 · Operations &amp; load</t>
        </is>
      </c>
      <c r="E46" s="137" t="inlineStr">
        <is>
          <t>BE</t>
        </is>
      </c>
      <c r="F46" s="122" t="inlineStr">
        <is>
          <t>Code</t>
        </is>
      </c>
      <c r="G46" s="84" t="inlineStr">
        <is>
          <t>Emergency pause and kill switch</t>
        </is>
      </c>
      <c r="H46" s="116" t="inlineStr">
        <is>
          <t>One control that takes a sponsor's creative down across every world immediately. You will need it on a Friday evening.</t>
        </is>
      </c>
      <c r="I46" s="108" t="inlineStr">
        <is>
          <t>Blocked</t>
        </is>
      </c>
      <c r="J46" s="108" t="n">
        <v>3</v>
      </c>
      <c r="K46" s="109" t="n"/>
      <c r="L46" s="109" t="n"/>
      <c r="M46" s="110" t="n"/>
      <c r="N46" s="85" t="n">
        <v>0</v>
      </c>
      <c r="O46" s="84" t="inlineStr">
        <is>
          <t>4S2-BE-05</t>
        </is>
      </c>
      <c r="P46" s="84" t="inlineStr">
        <is>
          <t>Emergency pause removes creative from all worlds within the agreed time target</t>
        </is>
      </c>
      <c r="Q46" s="86" t="inlineStr">
        <is>
          <t>Spec §28</t>
        </is>
      </c>
      <c r="R46" s="111" t="n"/>
    </row>
    <row r="47" ht="22.35" customHeight="1" s="75">
      <c r="A47" s="104" t="n">
        <v>45</v>
      </c>
      <c r="B47" s="105" t="inlineStr">
        <is>
          <t>4S8-BE-02</t>
        </is>
      </c>
      <c r="C47" s="81" t="n">
        <v>8</v>
      </c>
      <c r="D47" s="82" t="inlineStr">
        <is>
          <t>Sprint 8 · Operations &amp; load</t>
        </is>
      </c>
      <c r="E47" s="139" t="inlineStr">
        <is>
          <t>BE</t>
        </is>
      </c>
      <c r="F47" s="120" t="inlineStr">
        <is>
          <t>Code</t>
        </is>
      </c>
      <c r="G47" s="80" t="inlineStr">
        <is>
          <t>Deployment incident log</t>
        </is>
      </c>
      <c r="H47" s="107" t="inlineStr">
        <is>
          <t>Type, severity, opened and closed times, notes. Ops history a sponsor can be shown.</t>
        </is>
      </c>
      <c r="I47" s="108" t="inlineStr">
        <is>
          <t>Blocked</t>
        </is>
      </c>
      <c r="J47" s="108" t="n">
        <v>3</v>
      </c>
      <c r="K47" s="109" t="n"/>
      <c r="L47" s="109" t="n"/>
      <c r="M47" s="110" t="n"/>
      <c r="N47" s="81" t="n">
        <v>0</v>
      </c>
      <c r="O47" s="80" t="inlineStr">
        <is>
          <t>4S8-BE-01</t>
        </is>
      </c>
      <c r="P47" s="80" t="inlineStr">
        <is>
          <t>Incidents are logged, tracked and closable with notes</t>
        </is>
      </c>
      <c r="Q47" s="82" t="inlineStr">
        <is>
          <t>Spec §30</t>
        </is>
      </c>
      <c r="R47" s="111" t="n"/>
    </row>
    <row r="48" ht="23.85" customHeight="1" s="75">
      <c r="A48" s="112" t="n">
        <v>46</v>
      </c>
      <c r="B48" s="113" t="inlineStr">
        <is>
          <t>4S8-DATA-01</t>
        </is>
      </c>
      <c r="C48" s="85" t="n">
        <v>8</v>
      </c>
      <c r="D48" s="86" t="inlineStr">
        <is>
          <t>Sprint 8 · Operations &amp; load</t>
        </is>
      </c>
      <c r="E48" s="129" t="inlineStr">
        <is>
          <t>DATA</t>
        </is>
      </c>
      <c r="F48" s="122" t="inlineStr">
        <is>
          <t>Code</t>
        </is>
      </c>
      <c r="G48" s="84" t="inlineStr">
        <is>
          <t>Virtual fraud and anomaly checks</t>
        </is>
      </c>
      <c r="H48" s="116" t="inlineStr">
        <is>
          <t>Invalid or suspicious event patterns flagged before they reach a sponsor report — this is Phase 3's anomaly work applied to telemetry.</t>
        </is>
      </c>
      <c r="I48" s="108" t="inlineStr">
        <is>
          <t>Blocked</t>
        </is>
      </c>
      <c r="J48" s="108" t="n">
        <v>5</v>
      </c>
      <c r="K48" s="109" t="n"/>
      <c r="L48" s="109" t="n"/>
      <c r="M48" s="110" t="n"/>
      <c r="N48" s="85" t="n">
        <v>0</v>
      </c>
      <c r="O48" s="84" t="inlineStr">
        <is>
          <t>4S4-BE-03</t>
        </is>
      </c>
      <c r="P48" s="84" t="inlineStr">
        <is>
          <t>Suspicious event patterns are flagged and excluded from sponsor-facing aggregates</t>
        </is>
      </c>
      <c r="Q48" s="86" t="inlineStr">
        <is>
          <t>Spec §27.3</t>
        </is>
      </c>
      <c r="R48" s="111" t="n"/>
    </row>
    <row r="49" ht="23.85" customHeight="1" s="75">
      <c r="A49" s="104" t="n">
        <v>47</v>
      </c>
      <c r="B49" s="105" t="inlineStr">
        <is>
          <t>4S8-OPS-01</t>
        </is>
      </c>
      <c r="C49" s="81" t="n">
        <v>8</v>
      </c>
      <c r="D49" s="82" t="inlineStr">
        <is>
          <t>Sprint 8 · Operations &amp; load</t>
        </is>
      </c>
      <c r="E49" s="132" t="inlineStr">
        <is>
          <t>OPS</t>
        </is>
      </c>
      <c r="F49" s="120" t="inlineStr">
        <is>
          <t>Code</t>
        </is>
      </c>
      <c r="G49" s="80" t="inlineStr">
        <is>
          <t>Load test event ingestion and dashboards</t>
        </is>
      </c>
      <c r="H49" s="107" t="inlineStr">
        <is>
          <t>Prove the throughput and dashboard latency targets hold at expected Phase 4 traffic, before a pilot world goes live.</t>
        </is>
      </c>
      <c r="I49" s="108" t="inlineStr">
        <is>
          <t>Blocked</t>
        </is>
      </c>
      <c r="J49" s="108" t="n">
        <v>5</v>
      </c>
      <c r="K49" s="109" t="n"/>
      <c r="L49" s="109" t="n"/>
      <c r="M49" s="110" t="n"/>
      <c r="N49" s="81" t="n">
        <v>0</v>
      </c>
      <c r="O49" s="80" t="inlineStr">
        <is>
          <t>4S4-OPS-01</t>
        </is>
      </c>
      <c r="P49" s="80" t="inlineStr">
        <is>
          <t>Load test meets the agreed ingestion throughput and dashboard latency targets</t>
        </is>
      </c>
      <c r="Q49" s="82" t="inlineStr">
        <is>
          <t>Spec §34</t>
        </is>
      </c>
      <c r="R49" s="111" t="n"/>
    </row>
    <row r="50" ht="23.85" customHeight="1" s="75">
      <c r="A50" s="112" t="n">
        <v>50</v>
      </c>
      <c r="B50" s="113" t="inlineStr">
        <is>
          <t>4S9-PMO-02</t>
        </is>
      </c>
      <c r="C50" s="85" t="n">
        <v>9</v>
      </c>
      <c r="D50" s="86" t="inlineStr">
        <is>
          <t>Sprint 9 · Web application launch</t>
        </is>
      </c>
      <c r="E50" s="112" t="inlineStr">
        <is>
          <t>PMO</t>
        </is>
      </c>
      <c r="F50" s="130" t="inlineStr">
        <is>
          <t>Document</t>
        </is>
      </c>
      <c r="G50" s="84" t="inlineStr">
        <is>
          <t>Phase 4 UAT</t>
        </is>
      </c>
      <c r="H50" s="116" t="inlineStr">
        <is>
          <t>The whole web application walked end to end with the stand-in world: a sponsor buys a virtual placement, runs an activation and receives a report. The real-sponsor pilot is 5S2-PMO-02.</t>
        </is>
      </c>
      <c r="I50" s="108" t="inlineStr">
        <is>
          <t>Blocked</t>
        </is>
      </c>
      <c r="J50" s="108" t="n">
        <v>5</v>
      </c>
      <c r="K50" s="109" t="n"/>
      <c r="L50" s="109" t="n"/>
      <c r="M50" s="110" t="n"/>
      <c r="N50" s="85" t="n">
        <v>0</v>
      </c>
      <c r="O50" s="84" t="inlineStr">
        <is>
          <t>4S8-OPS-01</t>
        </is>
      </c>
      <c r="P50" s="84" t="inlineStr">
        <is>
          <t>All 11 Phase 4 acceptance criteria demonstrated and signed off</t>
        </is>
      </c>
      <c r="Q50" s="86" t="inlineStr">
        <is>
          <t>Spec §34</t>
        </is>
      </c>
      <c r="R50" s="111" t="inlineStr">
        <is>
          <t>Changed 2026-10-16 (user): no longer waits on the pilot world (now Phase 5).</t>
        </is>
      </c>
    </row>
    <row r="51" ht="23.85" customHeight="1" s="75">
      <c r="A51" s="104" t="n">
        <v>51</v>
      </c>
      <c r="B51" s="105" t="inlineStr">
        <is>
          <t>4S9-OPS-01</t>
        </is>
      </c>
      <c r="C51" s="81" t="n">
        <v>9</v>
      </c>
      <c r="D51" s="82" t="inlineStr">
        <is>
          <t>Sprint 9 · Web application launch</t>
        </is>
      </c>
      <c r="E51" s="132" t="inlineStr">
        <is>
          <t>OPS</t>
        </is>
      </c>
      <c r="F51" s="136" t="inlineStr">
        <is>
          <t>Vendor console</t>
        </is>
      </c>
      <c r="G51" s="80" t="inlineStr">
        <is>
          <t>Production rollout and incident readiness</t>
        </is>
      </c>
      <c r="H51" s="107" t="inlineStr">
        <is>
          <t>Streaming, observability, scaling and an on-call path before the first paying virtual sponsor.</t>
        </is>
      </c>
      <c r="I51" s="108" t="inlineStr">
        <is>
          <t>Blocked</t>
        </is>
      </c>
      <c r="J51" s="108" t="n">
        <v>3</v>
      </c>
      <c r="K51" s="109" t="n"/>
      <c r="L51" s="109" t="n"/>
      <c r="M51" s="110" t="n"/>
      <c r="N51" s="81" t="n">
        <v>0</v>
      </c>
      <c r="O51" s="80" t="inlineStr">
        <is>
          <t>4S9-PMO-02</t>
        </is>
      </c>
      <c r="P51" s="80" t="inlineStr">
        <is>
          <t>Production rollout complete with monitoring, alerting and an incident runbook</t>
        </is>
      </c>
      <c r="Q51" s="82" t="inlineStr">
        <is>
          <t>Spec §31, §38</t>
        </is>
      </c>
      <c r="R51" s="111" t="n"/>
    </row>
    <row r="52" s="75"/>
    <row r="53" s="75"/>
    <row r="54" s="75"/>
    <row r="55" s="75"/>
  </sheetData>
  <autoFilter ref="A4:R51"/>
  <mergeCells count="2">
    <mergeCell ref="A2:R2"/>
    <mergeCell ref="A1:R1"/>
  </mergeCells>
  <conditionalFormatting sqref="I5:I5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1">
    <cfRule type="expression" rank="0" priority="7" equalAverage="0" aboveAverage="0" dxfId="32" text="" percent="0" bottom="0">
      <formula>$I5="Done"</formula>
    </cfRule>
  </conditionalFormatting>
  <conditionalFormatting sqref="N5:N51">
    <cfRule type="cellIs" rank="0" priority="8" equalAverage="0" operator="greaterThanOrEqual" aboveAverage="0" dxfId="33" text="" percent="0" bottom="0">
      <formula>50</formula>
    </cfRule>
  </conditionalFormatting>
  <dataValidations count="1">
    <dataValidation sqref="I5:I51"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filterMode="0">
    <outlinePr summaryBelow="1" summaryRight="1"/>
    <pageSetUpPr fitToPage="0"/>
  </sheetPr>
  <dimension ref="A1:R11"/>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5 · INFINEX Game Integration</t>
        </is>
      </c>
    </row>
    <row r="2" ht="15" customHeight="1" s="75">
      <c r="A2" s="77" t="inlineStr">
        <is>
          <t>7 tasks across 2 sprints · the game side: the in-game connector, the staging world test, the pilot world (moved from Phase 4 on 2026-10-16)</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5S1-INT-01</t>
        </is>
      </c>
      <c r="C5" s="81" t="n">
        <v>1</v>
      </c>
      <c r="D5" s="82" t="inlineStr">
        <is>
          <t>Sprint 1 · Game connector</t>
        </is>
      </c>
      <c r="E5" s="138" t="inlineStr">
        <is>
          <t>INT</t>
        </is>
      </c>
      <c r="F5" s="120" t="inlineStr">
        <is>
          <t>Code</t>
        </is>
      </c>
      <c r="G5" s="80" t="inlineStr">
        <is>
          <t>INFINEX client manifest consumption</t>
        </is>
      </c>
      <c r="H5" s="107" t="inlineStr">
        <is>
          <t>Game-engine side: fetch the manifest, cache it sensibly, and render the right asset version.</t>
        </is>
      </c>
      <c r="I5" s="108" t="inlineStr">
        <is>
          <t>Blocked</t>
        </is>
      </c>
      <c r="J5" s="108" t="n">
        <v>5</v>
      </c>
      <c r="K5" s="109" t="n"/>
      <c r="L5" s="109" t="n"/>
      <c r="M5" s="110" t="n"/>
      <c r="N5" s="81" t="n">
        <v>0</v>
      </c>
      <c r="O5" s="80" t="inlineStr">
        <is>
          <t>4S2-BE-03</t>
        </is>
      </c>
      <c r="P5" s="80" t="inlineStr">
        <is>
          <t>The INFINEX client renders a sponsored placement using the correct asset version</t>
        </is>
      </c>
      <c r="Q5" s="82" t="inlineStr">
        <is>
          <t>Spec §34</t>
        </is>
      </c>
      <c r="R5" s="111" t="inlineStr">
        <is>
          <t>Formerly 4S3-INT-01 (moved 2026-10-16). Work inside the INFINEX game.</t>
        </is>
      </c>
    </row>
    <row r="6" ht="32.8" customHeight="1" s="75">
      <c r="A6" s="104" t="n">
        <v>2</v>
      </c>
      <c r="B6" s="105" t="inlineStr">
        <is>
          <t>5S1-INT-02</t>
        </is>
      </c>
      <c r="C6" s="81" t="n">
        <v>1</v>
      </c>
      <c r="D6" s="82" t="inlineStr">
        <is>
          <t>Sprint 1 · Game connector</t>
        </is>
      </c>
      <c r="E6" s="138" t="inlineStr">
        <is>
          <t>INT</t>
        </is>
      </c>
      <c r="F6" s="120" t="inlineStr">
        <is>
          <t>Code</t>
        </is>
      </c>
      <c r="G6" s="80" t="inlineStr">
        <is>
          <t>Game heartbeat</t>
        </is>
      </c>
      <c r="H6" s="107" t="inlineStr">
        <is>
          <t>The game half of the client heartbeat: the game registers with its key and reports health to SponsorX's heartbeat endpoint (4S3-INT-02).</t>
        </is>
      </c>
      <c r="I6" s="108" t="inlineStr">
        <is>
          <t>Blocked</t>
        </is>
      </c>
      <c r="J6" s="108" t="n">
        <v>1</v>
      </c>
      <c r="K6" s="109" t="n"/>
      <c r="L6" s="109" t="n"/>
      <c r="M6" s="110" t="n"/>
      <c r="N6" s="81" t="n">
        <v>0</v>
      </c>
      <c r="O6" s="80" t="inlineStr">
        <is>
          <t>5S1-INT-01, 4S3-INT-02</t>
        </is>
      </c>
      <c r="P6" s="80" t="inlineStr">
        <is>
          <t>The game reports its heartbeat and SponsorX raises an alert when it stops</t>
        </is>
      </c>
      <c r="Q6" s="82" t="inlineStr">
        <is>
          <t>Spec §28, §30</t>
        </is>
      </c>
      <c r="R6" s="111" t="inlineStr">
        <is>
          <t>Game half of 4S3-INT-02 (split 2026-10-16).</t>
        </is>
      </c>
    </row>
    <row r="7" ht="32.8" customHeight="1" s="75">
      <c r="A7" s="104" t="n">
        <v>3</v>
      </c>
      <c r="B7" s="105" t="inlineStr">
        <is>
          <t>5S1-INT-03</t>
        </is>
      </c>
      <c r="C7" s="81" t="n">
        <v>1</v>
      </c>
      <c r="D7" s="82" t="inlineStr">
        <is>
          <t>Sprint 1 · Game connector</t>
        </is>
      </c>
      <c r="E7" s="138" t="inlineStr">
        <is>
          <t>INT</t>
        </is>
      </c>
      <c r="F7" s="120" t="inlineStr">
        <is>
          <t>Code</t>
        </is>
      </c>
      <c r="G7" s="80" t="inlineStr">
        <is>
          <t>Game reads its configuration</t>
        </is>
      </c>
      <c r="H7" s="107" t="inlineStr">
        <is>
          <t>The game half of the client configuration: the game reads its settings from SponsorX (4S3-INT-03) and honours the telemetry limits.</t>
        </is>
      </c>
      <c r="I7" s="108" t="inlineStr">
        <is>
          <t>Blocked</t>
        </is>
      </c>
      <c r="J7" s="108" t="n">
        <v>1</v>
      </c>
      <c r="K7" s="109" t="n"/>
      <c r="L7" s="109" t="n"/>
      <c r="M7" s="110" t="n"/>
      <c r="N7" s="81" t="n">
        <v>0</v>
      </c>
      <c r="O7" s="80" t="inlineStr">
        <is>
          <t>5S1-INT-01, 4S3-INT-03</t>
        </is>
      </c>
      <c r="P7" s="80" t="inlineStr">
        <is>
          <t>The game reads its config remotely and honours telemetry limits</t>
        </is>
      </c>
      <c r="Q7" s="82" t="inlineStr">
        <is>
          <t>Spec §28</t>
        </is>
      </c>
      <c r="R7" s="111" t="inlineStr">
        <is>
          <t>Game half of 4S3-INT-03 (split 2026-10-16).</t>
        </is>
      </c>
    </row>
    <row r="8" ht="32.8" customHeight="1" s="75">
      <c r="A8" s="104" t="n">
        <v>4</v>
      </c>
      <c r="B8" s="105" t="inlineStr">
        <is>
          <t>5S1-QA-01</t>
        </is>
      </c>
      <c r="C8" s="81" t="n">
        <v>1</v>
      </c>
      <c r="D8" s="82" t="inlineStr">
        <is>
          <t>Sprint 1 · Game connector</t>
        </is>
      </c>
      <c r="E8" s="138" t="inlineStr">
        <is>
          <t>QA</t>
        </is>
      </c>
      <c r="F8" s="120" t="inlineStr">
        <is>
          <t>Code</t>
        </is>
      </c>
      <c r="G8" s="80" t="inlineStr">
        <is>
          <t>Staging world placement test</t>
        </is>
      </c>
      <c r="H8" s="107" t="inlineStr">
        <is>
          <t>A placement is only AVAILABLE after it renders correctly in a staging world.</t>
        </is>
      </c>
      <c r="I8" s="108" t="inlineStr">
        <is>
          <t>Blocked</t>
        </is>
      </c>
      <c r="J8" s="108" t="n">
        <v>3</v>
      </c>
      <c r="K8" s="109" t="n"/>
      <c r="L8" s="109" t="n"/>
      <c r="M8" s="110" t="n"/>
      <c r="N8" s="81" t="n">
        <v>0</v>
      </c>
      <c r="O8" s="80" t="inlineStr">
        <is>
          <t>5S1-INT-01</t>
        </is>
      </c>
      <c r="P8" s="80" t="inlineStr">
        <is>
          <t>Placement passes the staging test before it can be marked available</t>
        </is>
      </c>
      <c r="Q8" s="82" t="inlineStr">
        <is>
          <t>Spec §27.1</t>
        </is>
      </c>
      <c r="R8" s="111" t="inlineStr">
        <is>
          <t>Formerly 4S3-QA-01 (moved 2026-10-16).</t>
        </is>
      </c>
    </row>
    <row r="9" ht="32.8" customHeight="1" s="75">
      <c r="A9" s="104" t="n">
        <v>5</v>
      </c>
      <c r="B9" s="105" t="inlineStr">
        <is>
          <t>5S2-QA-01</t>
        </is>
      </c>
      <c r="C9" s="81" t="n">
        <v>2</v>
      </c>
      <c r="D9" s="82" t="inlineStr">
        <is>
          <t>Sprint 2 · Pilot world</t>
        </is>
      </c>
      <c r="E9" s="138" t="inlineStr">
        <is>
          <t>QA</t>
        </is>
      </c>
      <c r="F9" s="120" t="inlineStr">
        <is>
          <t>Code</t>
        </is>
      </c>
      <c r="G9" s="80" t="inlineStr">
        <is>
          <t>Telemetry validation against the pilot world</t>
        </is>
      </c>
      <c r="H9" s="107" t="inlineStr">
        <is>
          <t>Compare what the client emitted against what SponsorX recorded, event by event, in a real world.</t>
        </is>
      </c>
      <c r="I9" s="108" t="inlineStr">
        <is>
          <t>Blocked</t>
        </is>
      </c>
      <c r="J9" s="108" t="n">
        <v>5</v>
      </c>
      <c r="K9" s="109" t="n"/>
      <c r="L9" s="109" t="n"/>
      <c r="M9" s="110" t="n"/>
      <c r="N9" s="81" t="n">
        <v>0</v>
      </c>
      <c r="O9" s="80" t="inlineStr">
        <is>
          <t>5S1-INT-01, 4S8-OPS-01</t>
        </is>
      </c>
      <c r="P9" s="80" t="inlineStr">
        <is>
          <t>Telemetry reconciles between client and server within defined tolerance</t>
        </is>
      </c>
      <c r="Q9" s="82" t="inlineStr">
        <is>
          <t>Spec §33</t>
        </is>
      </c>
      <c r="R9" s="111" t="inlineStr">
        <is>
          <t>Formerly 4S9-QA-01 (moved 2026-10-16).</t>
        </is>
      </c>
    </row>
    <row r="10" ht="32.8" customHeight="1" s="75">
      <c r="A10" s="104" t="n">
        <v>6</v>
      </c>
      <c r="B10" s="105" t="inlineStr">
        <is>
          <t>5S2-PMO-01</t>
        </is>
      </c>
      <c r="C10" s="81" t="n">
        <v>2</v>
      </c>
      <c r="D10" s="82" t="inlineStr">
        <is>
          <t>Sprint 2 · Pilot world</t>
        </is>
      </c>
      <c r="E10" s="138" t="inlineStr">
        <is>
          <t>PMO</t>
        </is>
      </c>
      <c r="F10" s="120" t="inlineStr">
        <is>
          <t>Document</t>
        </is>
      </c>
      <c r="G10" s="80" t="inlineStr">
        <is>
          <t>Calibrate virtual pricing against real traffic</t>
        </is>
      </c>
      <c r="H10" s="107" t="inlineStr">
        <is>
          <t>The pricing model was built on assumptions. Pilot traffic replaces them with measurements.</t>
        </is>
      </c>
      <c r="I10" s="108" t="inlineStr">
        <is>
          <t>Blocked</t>
        </is>
      </c>
      <c r="J10" s="108" t="n">
        <v>3</v>
      </c>
      <c r="K10" s="109" t="n"/>
      <c r="L10" s="109" t="n"/>
      <c r="M10" s="110" t="n"/>
      <c r="N10" s="81" t="n">
        <v>0</v>
      </c>
      <c r="O10" s="80" t="inlineStr">
        <is>
          <t>5S2-QA-01</t>
        </is>
      </c>
      <c r="P10" s="80" t="inlineStr">
        <is>
          <t>Virtual rates recalibrated against observed traffic, viewability and dwell</t>
        </is>
      </c>
      <c r="Q10" s="82" t="inlineStr">
        <is>
          <t>Spec §32</t>
        </is>
      </c>
      <c r="R10" s="111" t="inlineStr">
        <is>
          <t>Formerly 4S9-PMO-01 (moved 2026-10-16).</t>
        </is>
      </c>
    </row>
    <row r="11" ht="32.8" customHeight="1" s="75">
      <c r="A11" s="104" t="n">
        <v>7</v>
      </c>
      <c r="B11" s="105" t="inlineStr">
        <is>
          <t>5S2-PMO-02</t>
        </is>
      </c>
      <c r="C11" s="81" t="n">
        <v>2</v>
      </c>
      <c r="D11" s="82" t="inlineStr">
        <is>
          <t>Sprint 2 · Pilot world</t>
        </is>
      </c>
      <c r="E11" s="138" t="inlineStr">
        <is>
          <t>PMO</t>
        </is>
      </c>
      <c r="F11" s="120" t="inlineStr">
        <is>
          <t>Document</t>
        </is>
      </c>
      <c r="G11" s="80" t="inlineStr">
        <is>
          <t>Pilot sponsor UAT</t>
        </is>
      </c>
      <c r="H11" s="107" t="inlineStr">
        <is>
          <t>A real sponsor runs a real virtual activation in the pilot world and receives a real report.</t>
        </is>
      </c>
      <c r="I11" s="108" t="inlineStr">
        <is>
          <t>Blocked</t>
        </is>
      </c>
      <c r="J11" s="108" t="n">
        <v>3</v>
      </c>
      <c r="K11" s="109" t="n"/>
      <c r="L11" s="109" t="n"/>
      <c r="M11" s="110" t="n"/>
      <c r="N11" s="81" t="n">
        <v>0</v>
      </c>
      <c r="O11" s="80" t="inlineStr">
        <is>
          <t>5S2-QA-01</t>
        </is>
      </c>
      <c r="P11" s="80" t="inlineStr">
        <is>
          <t>All 5 Phase 5 acceptance criteria demonstrated and signed off</t>
        </is>
      </c>
      <c r="Q11" s="82" t="inlineStr">
        <is>
          <t>Spec §34</t>
        </is>
      </c>
      <c r="R11" s="111" t="inlineStr">
        <is>
          <t>New 2026-10-16: the real-sponsor pilot, formerly part of 4S9-PMO-02.</t>
        </is>
      </c>
    </row>
    <row r="12" ht="23.85" customHeight="1" s="75"/>
    <row r="13" ht="23.85" customHeight="1" s="75"/>
    <row r="14" ht="15" customHeight="1" s="75"/>
    <row r="15" ht="22.35" customHeight="1" s="75"/>
    <row r="16" ht="23.85" customHeight="1" s="75"/>
    <row r="17" ht="23.85" customHeight="1" s="75"/>
    <row r="18" ht="23.85" customHeight="1" s="75"/>
    <row r="19" ht="23.85" customHeight="1" s="75"/>
    <row r="20" ht="23.85" customHeight="1" s="75"/>
    <row r="21" ht="23.85" customHeight="1" s="75"/>
    <row r="22" ht="23.85" customHeight="1" s="75"/>
    <row r="23" ht="23.85" customHeight="1" s="75"/>
    <row r="24" ht="23.85" customHeight="1" s="75"/>
    <row r="25" ht="23.85" customHeight="1" s="75"/>
    <row r="26" ht="32.8" customHeight="1" s="75"/>
    <row r="27" ht="23.85" customHeight="1" s="75"/>
    <row r="28" ht="23.85" customHeight="1" s="75"/>
    <row r="29" ht="23.85" customHeight="1" s="75"/>
    <row r="30" ht="23.85" customHeight="1" s="75"/>
    <row r="31" ht="23.85" customHeight="1" s="75"/>
    <row r="32" ht="22.35" customHeight="1" s="75"/>
    <row r="33" ht="23.85" customHeight="1" s="75"/>
    <row r="34" ht="23.85" customHeight="1" s="75"/>
    <row r="35" ht="23.85" customHeight="1" s="75"/>
    <row r="36" ht="23.85" customHeight="1" s="75"/>
    <row r="37" ht="23.85" customHeight="1" s="75"/>
    <row r="38" ht="23.85" customHeight="1" s="75"/>
    <row r="39" ht="23.85" customHeight="1" s="75"/>
    <row r="40" ht="23.85" customHeight="1" s="75"/>
    <row r="41" ht="23.85" customHeight="1" s="75"/>
    <row r="42" ht="22.35" customHeight="1" s="75"/>
    <row r="43" ht="23.85" customHeight="1" s="75"/>
    <row r="44" ht="22.35" customHeight="1" s="75"/>
    <row r="45" ht="23.85" customHeight="1" s="75"/>
    <row r="46" ht="23.85" customHeight="1" s="75"/>
    <row r="47" ht="22.35" customHeight="1" s="75"/>
    <row r="48" ht="23.85" customHeight="1" s="75"/>
    <row r="49" ht="23.85" customHeight="1" s="75"/>
    <row r="50" ht="23.85" customHeight="1" s="75"/>
    <row r="51" ht="23.85" customHeight="1" s="75"/>
    <row r="52" s="75"/>
    <row r="53" s="75"/>
    <row r="54" s="75"/>
    <row r="55" s="75"/>
  </sheetData>
  <autoFilter ref="A4:R11"/>
  <mergeCells count="2">
    <mergeCell ref="A2:R2"/>
    <mergeCell ref="A1:R1"/>
  </mergeCells>
  <conditionalFormatting sqref="I5:I11">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11">
    <cfRule type="expression" rank="0" priority="7" equalAverage="0" aboveAverage="0" dxfId="32" text="" percent="0" bottom="0">
      <formula>$I5="Done"</formula>
    </cfRule>
  </conditionalFormatting>
  <conditionalFormatting sqref="N5:N11">
    <cfRule type="cellIs" rank="0" priority="8" equalAverage="0" operator="greaterThanOrEqual" aboveAverage="0" dxfId="33" text="" percent="0" bottom="0">
      <formula>50</formula>
    </cfRule>
  </conditionalFormatting>
  <dataValidations count="1">
    <dataValidation sqref="I5:I11" showDropDown="0" showInputMessage="0" showErrorMessage="0" allowBlank="1" type="list">
      <formula1>"Ready,In progress,Code review,Blocked,Done"</formula1>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9.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10.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2–5</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2026-10-19T03:49:04Z</dcterms:modified>
  <cp:revision>0</cp:revision>
</cp:coreProperties>
</file>