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Phase 1" sheetId="3" state="visible" r:id="rId3"/>
    <sheet name="Phase 2" sheetId="4" state="visible" r:id="rId4"/>
    <sheet name="Phase 3" sheetId="5" state="visible" r:id="rId5"/>
    <sheet name="Phase 4" sheetId="6" state="visible" r:id="rId6"/>
    <sheet name="Legal" sheetId="7" state="visible" r:id="rId7"/>
    <sheet name="Legend" sheetId="8" state="visible" r:id="rId8"/>
  </sheets>
  <definedNames>
    <definedName name="_xlnm._FilterDatabase" localSheetId="2" hidden="1">'Phase 1'!$A$4:$R$200</definedName>
    <definedName name="_xlnm._FilterDatabase" localSheetId="3" hidden="1">'Phase 2'!$A$4:$R$68</definedName>
    <definedName name="_xlnm._FilterDatabase" localSheetId="4" hidden="1">'Phase 3'!$A$4:$R$48</definedName>
    <definedName name="_xlnm._FilterDatabase" localSheetId="5" hidden="1">'Phase 4'!$A$4:$R$55</definedName>
    <definedName name="_xlnm._FilterDatabase" localSheetId="6" hidden="1">'Legal'!$A$4:$S$13</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9">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s>
  <fills count="6">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195</v>
      </c>
      <c r="D5" s="81" t="n">
        <v>457</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1'!$I$5:$I$200,"Ready")</f>
        <v/>
      </c>
      <c r="C5" s="81">
        <f>COUNTIF('Phase 1'!$I$5:$I$200,"In progress")</f>
        <v/>
      </c>
      <c r="D5" s="81">
        <f>COUNTIF('Phase 1'!$I$5:$I$200,"Code review")</f>
        <v/>
      </c>
      <c r="E5" s="81">
        <f>COUNTIF('Phase 1'!$I$5:$I$200,"Blocked")</f>
        <v/>
      </c>
      <c r="F5" s="81">
        <f>COUNTIF('Phase 1'!$I$5:$I$200,"Done")</f>
        <v/>
      </c>
      <c r="G5" s="81">
        <f>COUNTA('Phase 1'!$B$5:$B$200)</f>
        <v/>
      </c>
      <c r="H5" s="81">
        <f>SUMIF('Phase 1'!$I$5:$I$200,"&lt;&gt;Done",'Phase 1'!$J$5:$J$200)</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1'!$F$5:$F$200,"Document")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1'!$F$5:$F$200,"Zoho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1'!$F$5:$F$200,"Vendor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1'!$F$5:$F$200,"Code")</f>
        <v/>
      </c>
      <c r="C16" s="81">
        <f>COUNTIF('Phase 2'!$F$5:$F$68,"Code")</f>
        <v/>
      </c>
      <c r="D16" s="81">
        <f>COUNTIF('Phase 3'!$F$5:$F$48,"Code")</f>
        <v/>
      </c>
      <c r="E16" s="81">
        <f>COUNTIF('Phase 4'!$F$5:$F$55,"Code")</f>
        <v/>
      </c>
      <c r="F16" s="81">
        <f>SUM(B16:E16)</f>
        <v/>
      </c>
    </row>
    <row r="17" ht="15" customHeight="1" s="75">
      <c r="A17" s="99" t="inlineStr">
        <is>
          <t>Code + console</t>
        </is>
      </c>
      <c r="B17" s="81">
        <f>COUNTIF('Phase 1'!$F$5:$F$200,"Code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1'!$F$5:$F$200,"Design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1'!$F$5:$F$200,"Document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1'!$F$5:$F$200,"External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199"/>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201 tasks · 463 person-days · the loop that must work before anything else is built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In progress</t>
        </is>
      </c>
      <c r="J12" s="108" t="n">
        <v>1</v>
      </c>
      <c r="K12" s="109" t="inlineStr">
        <is>
          <t>2026-09-18</t>
        </is>
      </c>
      <c r="L12" s="109" t="inlineStr">
        <is>
          <t>2026-09-18</t>
        </is>
      </c>
      <c r="M12" s="110" t="inlineStr">
        <is>
          <t>rcfworks</t>
        </is>
      </c>
      <c r="N12" s="85" t="n">
        <v>115</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106</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3</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55</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12</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10</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In progress</t>
        </is>
      </c>
      <c r="J18" s="108" t="n">
        <v>1</v>
      </c>
      <c r="K18" s="109" t="inlineStr">
        <is>
          <t>2026-09-18</t>
        </is>
      </c>
      <c r="L18" s="109" t="n"/>
      <c r="M18" s="110" t="inlineStr">
        <is>
          <t>rcfworks</t>
        </is>
      </c>
      <c r="N18" s="85" t="n">
        <v>8</v>
      </c>
      <c r="O18" s="84" t="inlineStr">
        <is>
          <t>P0-PMO-02</t>
        </is>
      </c>
      <c r="P18" s="84" t="inlineStr">
        <is>
          <t>Private and public buckets exist with separate policies; region set explicitly</t>
        </is>
      </c>
      <c r="Q18" s="86" t="inlineStr">
        <is>
          <t>Addendum A8</t>
        </is>
      </c>
      <c r="R18" s="111" t="n"/>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7</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5</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4</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3</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2</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3</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0</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v>0</v>
      </c>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v>0</v>
      </c>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In progress</t>
        </is>
      </c>
      <c r="J30" s="108" t="n">
        <v>1</v>
      </c>
      <c r="K30" s="109" t="inlineStr">
        <is>
          <t>2026-09-11</t>
        </is>
      </c>
      <c r="L30" s="109" t="inlineStr">
        <is>
          <t>2026-09-14</t>
        </is>
      </c>
      <c r="M30" s="110" t="inlineStr">
        <is>
          <t>rcfworks</t>
        </is>
      </c>
      <c r="N30" s="85" t="n">
        <v>0</v>
      </c>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In progress</t>
        </is>
      </c>
      <c r="J31" s="108" t="n">
        <v>3</v>
      </c>
      <c r="K31" s="109" t="inlineStr">
        <is>
          <t>2026-09-11</t>
        </is>
      </c>
      <c r="L31" s="109" t="inlineStr">
        <is>
          <t>2026-09-11</t>
        </is>
      </c>
      <c r="M31" s="110" t="inlineStr">
        <is>
          <t>rcfworks</t>
        </is>
      </c>
      <c r="N31" s="81" t="n">
        <v>0</v>
      </c>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v>0</v>
      </c>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v>0</v>
      </c>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v>0</v>
      </c>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5</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v>0</v>
      </c>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v>0</v>
      </c>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v>0</v>
      </c>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0</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v>0</v>
      </c>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v>0</v>
      </c>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v>0</v>
      </c>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v>0</v>
      </c>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v>0</v>
      </c>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v>0</v>
      </c>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114</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In progress</t>
        </is>
      </c>
      <c r="J47" s="108" t="n">
        <v>5</v>
      </c>
      <c r="K47" s="109" t="inlineStr">
        <is>
          <t>2026-09-18</t>
        </is>
      </c>
      <c r="L47" s="109" t="inlineStr">
        <is>
          <t>2026-09-18</t>
        </is>
      </c>
      <c r="M47" s="110" t="inlineStr">
        <is>
          <t>rcfworks</t>
        </is>
      </c>
      <c r="N47" s="85" t="n">
        <v>104</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In progress</t>
        </is>
      </c>
      <c r="J48" s="108" t="n">
        <v>3</v>
      </c>
      <c r="K48" s="109" t="inlineStr">
        <is>
          <t>2026-09-18</t>
        </is>
      </c>
      <c r="L48" s="109" t="n"/>
      <c r="M48" s="110" t="inlineStr">
        <is>
          <t>rcfworks</t>
        </is>
      </c>
      <c r="N48" s="81" t="n">
        <v>53</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In progress</t>
        </is>
      </c>
      <c r="J49" s="108" t="n">
        <v>3</v>
      </c>
      <c r="K49" s="109" t="inlineStr">
        <is>
          <t>2026-09-18</t>
        </is>
      </c>
      <c r="L49" s="109" t="n"/>
      <c r="M49" s="110" t="inlineStr">
        <is>
          <t>rcfworks</t>
        </is>
      </c>
      <c r="N49" s="85" t="n">
        <v>51</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23</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In progress</t>
        </is>
      </c>
      <c r="J51" s="108" t="n">
        <v>1</v>
      </c>
      <c r="K51" s="109" t="inlineStr">
        <is>
          <t>2026-09-18</t>
        </is>
      </c>
      <c r="L51" s="109" t="inlineStr">
        <is>
          <t>2026-09-18</t>
        </is>
      </c>
      <c r="M51" s="110" t="inlineStr">
        <is>
          <t>rcfworks</t>
        </is>
      </c>
      <c r="N51" s="85" t="n">
        <v>6</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In progress</t>
        </is>
      </c>
      <c r="J52" s="108" t="n">
        <v>3</v>
      </c>
      <c r="K52" s="109" t="inlineStr">
        <is>
          <t>2026-09-18</t>
        </is>
      </c>
      <c r="L52" s="109" t="n"/>
      <c r="M52" s="110" t="inlineStr">
        <is>
          <t>rcfworks</t>
        </is>
      </c>
      <c r="N52" s="81" t="n">
        <v>6</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In progress</t>
        </is>
      </c>
      <c r="J53" s="108" t="n">
        <v>1</v>
      </c>
      <c r="K53" s="109" t="inlineStr">
        <is>
          <t>2026-09-18</t>
        </is>
      </c>
      <c r="L53" s="109" t="inlineStr">
        <is>
          <t>2026-09-18</t>
        </is>
      </c>
      <c r="M53" s="110" t="inlineStr">
        <is>
          <t>rcfworks</t>
        </is>
      </c>
      <c r="N53" s="85" t="n">
        <v>5</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In progress</t>
        </is>
      </c>
      <c r="J54" s="108" t="n">
        <v>1</v>
      </c>
      <c r="K54" s="109" t="inlineStr">
        <is>
          <t>2026-09-15</t>
        </is>
      </c>
      <c r="L54" s="109" t="inlineStr">
        <is>
          <t>2026-09-16</t>
        </is>
      </c>
      <c r="M54" s="110" t="inlineStr">
        <is>
          <t>rcfworks</t>
        </is>
      </c>
      <c r="N54" s="81" t="n">
        <v>4</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In progress</t>
        </is>
      </c>
      <c r="J55" s="108" t="n">
        <v>3</v>
      </c>
      <c r="K55" s="109" t="inlineStr">
        <is>
          <t>2026-09-18</t>
        </is>
      </c>
      <c r="L55" s="109" t="inlineStr">
        <is>
          <t>2026-09-18</t>
        </is>
      </c>
      <c r="M55" s="110" t="inlineStr">
        <is>
          <t>rcfworks</t>
        </is>
      </c>
      <c r="N55" s="85" t="n">
        <v>4</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In progress</t>
        </is>
      </c>
      <c r="J56" s="108" t="n">
        <v>3</v>
      </c>
      <c r="K56" s="109" t="inlineStr">
        <is>
          <t>2026-09-18</t>
        </is>
      </c>
      <c r="L56" s="109" t="n"/>
      <c r="M56" s="110" t="inlineStr">
        <is>
          <t>rcfworks</t>
        </is>
      </c>
      <c r="N56" s="81" t="n">
        <v>3</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2</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In progress</t>
        </is>
      </c>
      <c r="J58" s="108" t="n">
        <v>3</v>
      </c>
      <c r="K58" s="109" t="inlineStr">
        <is>
          <t>2026-09-18</t>
        </is>
      </c>
      <c r="L58" s="109" t="n"/>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In progress</t>
        </is>
      </c>
      <c r="J60" s="108" t="n">
        <v>3</v>
      </c>
      <c r="K60" s="109" t="inlineStr">
        <is>
          <t>2026-09-15</t>
        </is>
      </c>
      <c r="L60" s="109" t="inlineStr">
        <is>
          <t>2026-09-16</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In progress</t>
        </is>
      </c>
      <c r="J61" s="108" t="n">
        <v>3</v>
      </c>
      <c r="K61" s="109" t="inlineStr">
        <is>
          <t>2026-09-18</t>
        </is>
      </c>
      <c r="L61" s="109" t="n"/>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In progress</t>
        </is>
      </c>
      <c r="J62" s="108" t="n">
        <v>1</v>
      </c>
      <c r="K62" s="109" t="inlineStr">
        <is>
          <t>2026-09-15</t>
        </is>
      </c>
      <c r="L62" s="109" t="inlineStr">
        <is>
          <t>2026-09-16</t>
        </is>
      </c>
      <c r="M62" s="110" t="inlineStr">
        <is>
          <t>rcfworks</t>
        </is>
      </c>
      <c r="N62" s="81" t="n">
        <v>0</v>
      </c>
      <c r="O62" s="80" t="inlineStr">
        <is>
          <t>P2-BE-01</t>
        </is>
      </c>
      <c r="P62" s="80" t="inlineStr">
        <is>
          <t>src/server/, src/contracts/, worker/jobs/, prisma/sql/, tests/ all exist per Guide §02; one repo, two deployables, one lockfile</t>
        </is>
      </c>
      <c r="Q62" s="82" t="inlineStr">
        <is>
          <t>Guide §02</t>
        </is>
      </c>
      <c r="R62"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v>0</v>
      </c>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v>0</v>
      </c>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In progress</t>
        </is>
      </c>
      <c r="J65" s="108" t="n">
        <v>1</v>
      </c>
      <c r="K65" s="109" t="inlineStr">
        <is>
          <t>2026-09-18</t>
        </is>
      </c>
      <c r="L65" s="109" t="inlineStr">
        <is>
          <t>2026-09-18</t>
        </is>
      </c>
      <c r="M65" s="110" t="inlineStr">
        <is>
          <t>rcfworks</t>
        </is>
      </c>
      <c r="N65" s="85" t="n">
        <v>0</v>
      </c>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v>0</v>
      </c>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In progress</t>
        </is>
      </c>
      <c r="J67" s="108" t="n">
        <v>1</v>
      </c>
      <c r="K67" s="109" t="inlineStr">
        <is>
          <t>2026-09-15</t>
        </is>
      </c>
      <c r="L67" s="109" t="inlineStr">
        <is>
          <t>2026-09-16</t>
        </is>
      </c>
      <c r="M67" s="110" t="inlineStr">
        <is>
          <t>rcfworks</t>
        </is>
      </c>
      <c r="N67" s="85" t="n">
        <v>0</v>
      </c>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v>0</v>
      </c>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v>0</v>
      </c>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v>0</v>
      </c>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In progress</t>
        </is>
      </c>
      <c r="J71" s="108" t="n">
        <v>3</v>
      </c>
      <c r="K71" s="109" t="inlineStr">
        <is>
          <t>2026-09-18</t>
        </is>
      </c>
      <c r="L71" s="109" t="n"/>
      <c r="M71" s="110" t="inlineStr">
        <is>
          <t>rcfworks</t>
        </is>
      </c>
      <c r="N71" s="85" t="n">
        <v>0</v>
      </c>
      <c r="O71" s="84" t="inlineStr">
        <is>
          <t>P2-OPS-09</t>
        </is>
      </c>
      <c r="P71" s="84" t="inlineStr">
        <is>
          <t>Deploy, rollback, migration-failure and restore procedures written down and tested once</t>
        </is>
      </c>
      <c r="Q71" s="86" t="inlineStr">
        <is>
          <t>§38</t>
        </is>
      </c>
      <c r="R71" s="111" t="n"/>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In progress</t>
        </is>
      </c>
      <c r="J72" s="108" t="n">
        <v>1</v>
      </c>
      <c r="K72" s="109" t="inlineStr">
        <is>
          <t>2026-09-18</t>
        </is>
      </c>
      <c r="L72" s="109" t="n"/>
      <c r="M72" s="110" t="inlineStr">
        <is>
          <t>rcfworks</t>
        </is>
      </c>
      <c r="N72" s="81" t="n">
        <v>0</v>
      </c>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Ready</t>
        </is>
      </c>
      <c r="J73" s="108" t="n">
        <v>3</v>
      </c>
      <c r="K73" s="109" t="n"/>
      <c r="L73" s="109" t="n"/>
      <c r="M73" s="110" t="n"/>
      <c r="N73" s="85" t="n">
        <v>51</v>
      </c>
      <c r="O73" s="84" t="inlineStr">
        <is>
          <t>P2-BE-02</t>
        </is>
      </c>
      <c r="P73" s="84" t="inlineStr">
        <is>
          <t>All ten §11 sections captured; AthleteState DRAFT→SUBMITTED→UNDER_REVIEW→APPROVED/CHANGES_REQUESTED/REJECTED→ACTIVE/SUSPENDED enforced in the domain layer</t>
        </is>
      </c>
      <c r="Q73" s="86" t="inlineStr">
        <is>
          <t>§11, §21</t>
        </is>
      </c>
      <c r="R73" s="111" t="n"/>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Blocked</t>
        </is>
      </c>
      <c r="J74" s="108" t="n">
        <v>1</v>
      </c>
      <c r="K74" s="109" t="n"/>
      <c r="L74" s="109" t="n"/>
      <c r="M74" s="110" t="n"/>
      <c r="N74" s="81" t="n">
        <v>39</v>
      </c>
      <c r="O74" s="80" t="inlineStr">
        <is>
          <t>P3-BE-01</t>
        </is>
      </c>
      <c r="P74" s="80" t="inlineStr">
        <is>
          <t>All three §11 sections stored; restrictions are queryable for the conflict check in Phase 4</t>
        </is>
      </c>
      <c r="Q74" s="82" t="inlineStr">
        <is>
          <t>§11, §26</t>
        </is>
      </c>
      <c r="R74" s="111" t="n"/>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Ready</t>
        </is>
      </c>
      <c r="J75" s="108" t="n">
        <v>3</v>
      </c>
      <c r="K75" s="109" t="n"/>
      <c r="L75" s="109" t="n"/>
      <c r="M75" s="110" t="n"/>
      <c r="N75" s="85" t="n">
        <v>30</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Blocked</t>
        </is>
      </c>
      <c r="J76" s="108" t="n">
        <v>3</v>
      </c>
      <c r="K76" s="109" t="n"/>
      <c r="L76" s="109" t="n"/>
      <c r="M76" s="110" t="n"/>
      <c r="N76" s="81" t="n">
        <v>3</v>
      </c>
      <c r="O76" s="80" t="inlineStr">
        <is>
          <t>P3-BE-01</t>
        </is>
      </c>
      <c r="P76" s="80" t="inlineStr">
        <is>
          <t>Admin can approve, request changes or reject; every transition is audited and notifies the applicant</t>
        </is>
      </c>
      <c r="Q76" s="82" t="inlineStr">
        <is>
          <t>§13, §23</t>
        </is>
      </c>
      <c r="R76" s="111" t="n"/>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Ready</t>
        </is>
      </c>
      <c r="J77" s="108" t="n">
        <v>3</v>
      </c>
      <c r="K77" s="109" t="n"/>
      <c r="L77" s="109" t="n"/>
      <c r="M77" s="110" t="n"/>
      <c r="N77" s="85" t="n">
        <v>3</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Ready</t>
        </is>
      </c>
      <c r="J78" s="108" t="n">
        <v>1</v>
      </c>
      <c r="K78" s="109" t="n"/>
      <c r="L78" s="109" t="n"/>
      <c r="M78" s="110" t="n"/>
      <c r="N78" s="81" t="n">
        <v>2</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Updated 2026-09-18 by P0-PMO-13 (margin floor rule at 1.4x with tier-derived sell floors) - see documentation/SponsorX-Pricing-Floor-Decision.md. SX-07's old sell floor ($750) equalled its base-band top and was underwater before any tier multiplier; it is corrected here, not worked around. Per-tier floors are computed as base-band top x tier multiplier x 1.4, never hand-entered.</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Blocked</t>
        </is>
      </c>
      <c r="J79" s="108" t="n">
        <v>3</v>
      </c>
      <c r="K79" s="109" t="n"/>
      <c r="L79" s="109" t="n"/>
      <c r="M79" s="110" t="n"/>
      <c r="N79" s="85" t="n">
        <v>1</v>
      </c>
      <c r="O79" s="84" t="inlineStr">
        <is>
          <t>P3-BE-01</t>
        </is>
      </c>
      <c r="P79" s="84" t="inlineStr">
        <is>
          <t>Minor athletes require a linked Guardian; verifiedAt gates participation; unverified guardian blocks acceptance downstream</t>
        </is>
      </c>
      <c r="Q79" s="86" t="inlineStr">
        <is>
          <t>§4, §11, §37</t>
        </is>
      </c>
      <c r="R79" s="111" t="n"/>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Blocked</t>
        </is>
      </c>
      <c r="J80" s="108" t="n">
        <v>1</v>
      </c>
      <c r="K80" s="109" t="n"/>
      <c r="L80" s="109" t="n"/>
      <c r="M80" s="110" t="n"/>
      <c r="N80" s="81" t="n">
        <v>1</v>
      </c>
      <c r="O80" s="80" t="inlineStr">
        <is>
          <t>P3-BE-01</t>
        </is>
      </c>
      <c r="P80" s="80" t="inlineStr">
        <is>
          <t>AthleteSocial records platform, handle, followers, avgViews and a MetricSource label — defaulting to SELF_REPORTED</t>
        </is>
      </c>
      <c r="Q80" s="82" t="inlineStr">
        <is>
          <t>§11, §22</t>
        </is>
      </c>
      <c r="R80" s="111" t="n"/>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Blocked</t>
        </is>
      </c>
      <c r="J81" s="108" t="n">
        <v>3</v>
      </c>
      <c r="K81" s="109" t="n"/>
      <c r="L81" s="109" t="n"/>
      <c r="M81" s="110" t="n"/>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Updated 2026-09-18 by P0-PMO-13 (margin floor rule at 1.4x with tier-derived sell floors) - see documentation/SponsorX-Pricing-Floor-Decision.md. The floor is computed from the agreed rate at runtime, not from the band. The published per-tier table is the conservative rate-card view of the same formula.</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Ready</t>
        </is>
      </c>
      <c r="J82" s="108" t="n">
        <v>1</v>
      </c>
      <c r="K82" s="109" t="n"/>
      <c r="L82" s="109" t="n"/>
      <c r="M82" s="110" t="n"/>
      <c r="N82" s="81" t="n">
        <v>2</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Updated 2026-09-18 by P0-PMO-13 (margin floor rule at 1.4x with tier-derived sell floors) - see documentation/SponsorX-Pricing-Floor-Decision.md. Unblocked commercially on 2026-09-18: the line items that were missing are now decided. Every package clears the 1.4x floor across its whole range; tightest is Local Blitz at 2.2x.</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Blocked</t>
        </is>
      </c>
      <c r="J83" s="108" t="n">
        <v>3</v>
      </c>
      <c r="K83" s="109" t="n"/>
      <c r="L83" s="109" t="n"/>
      <c r="M83" s="110" t="n"/>
      <c r="N83" s="81" t="n">
        <v>0</v>
      </c>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Raised 2026-09-18 with P0-PMO-13. Hard block, not a warning. Floor = agreed athlete rate x 1.4 at runtime; the published per-tier table in the decision document is the rate-card view of the same formula. Block A fixtures already satisfy it (tightest pair 1.67x), so no fixture churn.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Blocked</t>
        </is>
      </c>
      <c r="J84" s="108" t="n">
        <v>3</v>
      </c>
      <c r="K84" s="109" t="n"/>
      <c r="L84" s="109" t="n"/>
      <c r="M84" s="110" t="n"/>
      <c r="N84" s="85" t="n">
        <v>1</v>
      </c>
      <c r="O84" s="84" t="inlineStr">
        <is>
          <t>P2-OPS-05</t>
        </is>
      </c>
      <c r="P84" s="84" t="inlineStr">
        <is>
          <t>The first 25 athletes can be imported as a job, run against staging first — never hand-seeded into production</t>
        </is>
      </c>
      <c r="Q84" s="86" t="inlineStr">
        <is>
          <t>Guide §10, §36</t>
        </is>
      </c>
      <c r="R84" s="111" t="n"/>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Blocked</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Blocked</t>
        </is>
      </c>
      <c r="J86" s="108" t="n">
        <v>1</v>
      </c>
      <c r="K86" s="109" t="n"/>
      <c r="L86" s="109" t="n"/>
      <c r="M86" s="110" t="n"/>
      <c r="N86" s="85" t="n">
        <v>0</v>
      </c>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Blocked</t>
        </is>
      </c>
      <c r="J87" s="108" t="n">
        <v>3</v>
      </c>
      <c r="K87" s="109" t="n"/>
      <c r="L87" s="109" t="n"/>
      <c r="M87" s="110" t="n"/>
      <c r="N87" s="81" t="n">
        <v>0</v>
      </c>
      <c r="O87" s="80" t="inlineStr">
        <is>
          <t>P0-DATA-03, P3-BE-01</t>
        </is>
      </c>
      <c r="P87" s="80" t="inlineStr">
        <is>
          <t>AthleteScore stores the score, the full factor JSON and method: "rules-v1" — a number without its factors is not acceptable</t>
        </is>
      </c>
      <c r="Q87" s="82" t="inlineStr">
        <is>
          <t>§14</t>
        </is>
      </c>
      <c r="R87" s="111" t="n"/>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Blocked</t>
        </is>
      </c>
      <c r="J88" s="108" t="n">
        <v>3</v>
      </c>
      <c r="K88" s="109" t="n"/>
      <c r="L88" s="109" t="n"/>
      <c r="M88" s="110" t="n"/>
      <c r="N88" s="85" t="n">
        <v>0</v>
      </c>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Blocked</t>
        </is>
      </c>
      <c r="J89" s="108" t="n">
        <v>3</v>
      </c>
      <c r="K89" s="109" t="n"/>
      <c r="L89" s="109" t="n"/>
      <c r="M89" s="110" t="n"/>
      <c r="N89" s="81" t="n">
        <v>0</v>
      </c>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Blocked</t>
        </is>
      </c>
      <c r="J90" s="108" t="n">
        <v>1</v>
      </c>
      <c r="K90" s="109" t="n"/>
      <c r="L90" s="109" t="n"/>
      <c r="M90" s="110" t="n"/>
      <c r="N90" s="85" t="n">
        <v>0</v>
      </c>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Blocked</t>
        </is>
      </c>
      <c r="J91" s="108" t="n">
        <v>1</v>
      </c>
      <c r="K91" s="109" t="n"/>
      <c r="L91" s="109" t="n"/>
      <c r="M91" s="110" t="n"/>
      <c r="N91" s="81" t="n">
        <v>0</v>
      </c>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Blocked</t>
        </is>
      </c>
      <c r="J92" s="108" t="n">
        <v>1</v>
      </c>
      <c r="K92" s="109" t="n"/>
      <c r="L92" s="109" t="n"/>
      <c r="M92" s="110" t="n"/>
      <c r="N92" s="85" t="n">
        <v>0</v>
      </c>
      <c r="O92" s="84" t="inlineStr">
        <is>
          <t>P3-INT-01, P3-BE-07</t>
        </is>
      </c>
      <c r="P92" s="84" t="inlineStr">
        <is>
          <t>Submission acknowledgement, changes-requested and approval emails all send as worker jobs</t>
        </is>
      </c>
      <c r="Q92" s="86" t="inlineStr">
        <is>
          <t>§39</t>
        </is>
      </c>
      <c r="R92" s="111" t="n"/>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v>0</v>
      </c>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Blocked</t>
        </is>
      </c>
      <c r="J94" s="108" t="n">
        <v>1</v>
      </c>
      <c r="K94" s="109" t="n"/>
      <c r="L94" s="109" t="n"/>
      <c r="M94" s="110" t="n"/>
      <c r="N94" s="85" t="n">
        <v>0</v>
      </c>
      <c r="O94" s="84" t="inlineStr">
        <is>
          <t>P3-BE-03</t>
        </is>
      </c>
      <c r="P94" s="84" t="inlineStr">
        <is>
          <t>Date of birth handling, guardian PII and the constraints from P0-LEG-06 are enforced in code, not just documented</t>
        </is>
      </c>
      <c r="Q94" s="86" t="inlineStr">
        <is>
          <t>§4, §26</t>
        </is>
      </c>
      <c r="R94" s="111" t="inlineStr">
        <is>
          <t>2026-09-15: legal dependency removed (P0-LEG-06) — legal approvals no longer gate development.</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Blocked</t>
        </is>
      </c>
      <c r="J95" s="108" t="n">
        <v>3</v>
      </c>
      <c r="K95" s="109" t="n"/>
      <c r="L95" s="109" t="n"/>
      <c r="M95" s="110" t="n"/>
      <c r="N95" s="81" t="n">
        <v>46</v>
      </c>
      <c r="O95" s="80" t="inlineStr">
        <is>
          <t>P2-BE-04</t>
        </is>
      </c>
      <c r="P95" s="80" t="inlineStr">
        <is>
          <t>Sponsor and contact records exist with Zoho external IDs and sync markers; sponsor scope restricts to own records</t>
        </is>
      </c>
      <c r="Q95" s="82" t="inlineStr">
        <is>
          <t>§20, §18</t>
        </is>
      </c>
      <c r="R95" s="111" t="n"/>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Blocked</t>
        </is>
      </c>
      <c r="J96" s="108" t="n">
        <v>3</v>
      </c>
      <c r="K96" s="109" t="n"/>
      <c r="L96" s="109" t="n"/>
      <c r="M96" s="110" t="n"/>
      <c r="N96" s="85" t="n">
        <v>45</v>
      </c>
      <c r="O96" s="84" t="inlineStr">
        <is>
          <t>P4-BE-01</t>
        </is>
      </c>
      <c r="P96" s="84" t="inlineStr">
        <is>
          <t>DRAFT→QUALIFIED→APPROVED→CAMPAIGN_CREATED→CLOSED enforced; objective, budget, package, dates, targeting and category captured</t>
        </is>
      </c>
      <c r="Q96" s="86" t="inlineStr">
        <is>
          <t>§13, §21</t>
        </is>
      </c>
      <c r="R96" s="111" t="n"/>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Blocked</t>
        </is>
      </c>
      <c r="J97" s="108" t="n">
        <v>5</v>
      </c>
      <c r="K97" s="109" t="n"/>
      <c r="L97" s="109" t="n"/>
      <c r="M97" s="110" t="n"/>
      <c r="N97" s="81" t="n">
        <v>38</v>
      </c>
      <c r="O97" s="80" t="inlineStr">
        <is>
          <t>P4-BE-02, P3-BE-05</t>
        </is>
      </c>
      <c r="P97" s="80" t="inlineStr">
        <is>
          <t>A brief returns only athletes passing sport, geography, availability, restriction and category-conflict checks; matrix rows added</t>
        </is>
      </c>
      <c r="Q97" s="82" t="inlineStr">
        <is>
          <t>§13 step 3, §26</t>
        </is>
      </c>
      <c r="R97" s="111" t="n"/>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Blocked</t>
        </is>
      </c>
      <c r="J98" s="108" t="n">
        <v>3</v>
      </c>
      <c r="K98" s="109" t="n"/>
      <c r="L98" s="109" t="n"/>
      <c r="M98" s="110" t="n"/>
      <c r="N98" s="85" t="n">
        <v>35</v>
      </c>
      <c r="O98" s="84" t="inlineStr">
        <is>
          <t>P4-BE-03</t>
        </is>
      </c>
      <c r="P98" s="84" t="inlineStr">
        <is>
          <t>INVITED→VIEWED→ACCEPTED/DECLINED/EXPIRED enforced; every transition audited</t>
        </is>
      </c>
      <c r="Q98" s="86" t="inlineStr">
        <is>
          <t>§21</t>
        </is>
      </c>
      <c r="R98" s="111" t="n"/>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Blocked</t>
        </is>
      </c>
      <c r="J99" s="108" t="n">
        <v>3</v>
      </c>
      <c r="K99" s="109" t="n"/>
      <c r="L99" s="109" t="n"/>
      <c r="M99" s="110" t="n"/>
      <c r="N99" s="81" t="n">
        <v>3</v>
      </c>
      <c r="O99" s="80" t="inlineStr">
        <is>
          <t>P4-BE-02</t>
        </is>
      </c>
      <c r="P99" s="80" t="inlineStr">
        <is>
          <t>DRAFT→STAFFING→APPROVAL→ACTIVE→REPORTING→COMPLETED/CANCELLED enforced; Campaign.budget never reachable from an athlete-scoped query</t>
        </is>
      </c>
      <c r="Q99" s="82" t="inlineStr">
        <is>
          <t>§21, Guide §04</t>
        </is>
      </c>
      <c r="R99" s="111" t="n"/>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Blocked</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Blocked</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0</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Blocked</t>
        </is>
      </c>
      <c r="J103" s="108" t="n">
        <v>1</v>
      </c>
      <c r="K103" s="109" t="n"/>
      <c r="L103" s="109" t="n"/>
      <c r="M103" s="110" t="n"/>
      <c r="N103" s="81" t="n">
        <v>0</v>
      </c>
      <c r="O103" s="80" t="inlineStr">
        <is>
          <t>P4-BE-04, P2-BE-05</t>
        </is>
      </c>
      <c r="P103" s="80" t="inlineStr">
        <is>
          <t>Invitations past their window move to EXPIRED automatically and cannot be accepted afterwards</t>
        </is>
      </c>
      <c r="Q103" s="82" t="inlineStr">
        <is>
          <t>§21</t>
        </is>
      </c>
      <c r="R103" s="111" t="n"/>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Blocked</t>
        </is>
      </c>
      <c r="J104" s="108" t="n">
        <v>5</v>
      </c>
      <c r="K104" s="109" t="n"/>
      <c r="L104" s="109" t="n"/>
      <c r="M104" s="110" t="n"/>
      <c r="N104" s="85" t="n">
        <v>0</v>
      </c>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Blocked</t>
        </is>
      </c>
      <c r="J105" s="108" t="n">
        <v>3</v>
      </c>
      <c r="K105" s="109" t="n"/>
      <c r="L105" s="109" t="n"/>
      <c r="M105" s="110" t="n"/>
      <c r="N105" s="81" t="n">
        <v>0</v>
      </c>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Blocked</t>
        </is>
      </c>
      <c r="J106" s="108" t="n">
        <v>3</v>
      </c>
      <c r="K106" s="109" t="n"/>
      <c r="L106" s="109" t="n"/>
      <c r="M106" s="110" t="n"/>
      <c r="N106" s="85" t="n">
        <v>0</v>
      </c>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Blocked</t>
        </is>
      </c>
      <c r="J107" s="108" t="n">
        <v>1</v>
      </c>
      <c r="K107" s="109" t="n"/>
      <c r="L107" s="109" t="n"/>
      <c r="M107" s="110" t="n"/>
      <c r="N107" s="81" t="n">
        <v>0</v>
      </c>
      <c r="O107" s="80" t="inlineStr">
        <is>
          <t>P3-INT-01, P4-BE-04</t>
        </is>
      </c>
      <c r="P107" s="80" t="inlineStr">
        <is>
          <t>Invitation, reminder and expiry-warning emails all send as queued jobs</t>
        </is>
      </c>
      <c r="Q107" s="82" t="inlineStr">
        <is>
          <t>§39</t>
        </is>
      </c>
      <c r="R107" s="111" t="n"/>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v>0</v>
      </c>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Blocked</t>
        </is>
      </c>
      <c r="J109" s="108" t="n">
        <v>3</v>
      </c>
      <c r="K109" s="109" t="n"/>
      <c r="L109" s="109" t="n"/>
      <c r="M109" s="110" t="n"/>
      <c r="N109" s="81" t="n">
        <v>0</v>
      </c>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v>0</v>
      </c>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Blocked</t>
        </is>
      </c>
      <c r="J111" s="108" t="n">
        <v>5</v>
      </c>
      <c r="K111" s="109" t="n"/>
      <c r="L111" s="109" t="n"/>
      <c r="M111" s="110" t="n"/>
      <c r="N111" s="81" t="n">
        <v>29</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2026-09-15: legal dependency removed (P0-LEG-02) — legal approvals no longer gate development.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Blocked</t>
        </is>
      </c>
      <c r="J112" s="108" t="n">
        <v>3</v>
      </c>
      <c r="K112" s="109" t="n"/>
      <c r="L112" s="109" t="n"/>
      <c r="M112" s="110" t="n"/>
      <c r="N112" s="85" t="n">
        <v>27</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Blocked</t>
        </is>
      </c>
      <c r="J113" s="108" t="n">
        <v>3</v>
      </c>
      <c r="K113" s="109" t="n"/>
      <c r="L113" s="109" t="n"/>
      <c r="M113" s="110" t="n"/>
      <c r="N113" s="81" t="n">
        <v>25</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Blocked</t>
        </is>
      </c>
      <c r="J114" s="108" t="n">
        <v>3</v>
      </c>
      <c r="K114" s="109" t="n"/>
      <c r="L114" s="109" t="n"/>
      <c r="M114" s="110" t="n"/>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Blocked</t>
        </is>
      </c>
      <c r="J115" s="108" t="n">
        <v>3</v>
      </c>
      <c r="K115" s="109" t="n"/>
      <c r="L115" s="109" t="n"/>
      <c r="M115" s="110" t="n"/>
      <c r="N115" s="81" t="n">
        <v>3</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Blocked</t>
        </is>
      </c>
      <c r="J116" s="108" t="n">
        <v>3</v>
      </c>
      <c r="K116" s="109" t="n"/>
      <c r="L116" s="109" t="n"/>
      <c r="M116" s="110" t="n"/>
      <c r="N116" s="85" t="n">
        <v>1</v>
      </c>
      <c r="O116" s="84" t="inlineStr">
        <is>
          <t>P4-BE-06</t>
        </is>
      </c>
      <c r="P116" s="84" t="inlineStr">
        <is>
          <t>DRAFT→SENT→ACCEPTED/REJECTED→ACTIVE→COMPLETED/CANCELLED enforced; commercial terms snapshotted at send time, not read live</t>
        </is>
      </c>
      <c r="Q116" s="86" t="inlineStr">
        <is>
          <t>§21</t>
        </is>
      </c>
      <c r="R116" s="111" t="n"/>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Blocked</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v>0</v>
      </c>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Blocked</t>
        </is>
      </c>
      <c r="J119" s="108" t="n">
        <v>3</v>
      </c>
      <c r="K119" s="109" t="n"/>
      <c r="L119" s="109" t="n"/>
      <c r="M119" s="110" t="n"/>
      <c r="N119" s="81" t="n">
        <v>0</v>
      </c>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Blocked</t>
        </is>
      </c>
      <c r="J120" s="108" t="n">
        <v>3</v>
      </c>
      <c r="K120" s="109" t="n"/>
      <c r="L120" s="109" t="n"/>
      <c r="M120" s="110" t="n"/>
      <c r="N120" s="85" t="n">
        <v>0</v>
      </c>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Blocked</t>
        </is>
      </c>
      <c r="J121" s="108" t="n">
        <v>3</v>
      </c>
      <c r="K121" s="109" t="n"/>
      <c r="L121" s="109" t="n"/>
      <c r="M121" s="110" t="n"/>
      <c r="N121" s="81" t="n">
        <v>0</v>
      </c>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Blocked</t>
        </is>
      </c>
      <c r="J122" s="108" t="n">
        <v>3</v>
      </c>
      <c r="K122" s="109" t="n"/>
      <c r="L122" s="109" t="n"/>
      <c r="M122" s="110" t="n"/>
      <c r="N122" s="85" t="n">
        <v>0</v>
      </c>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Blocked</t>
        </is>
      </c>
      <c r="J123" s="108" t="n">
        <v>3</v>
      </c>
      <c r="K123" s="109" t="n"/>
      <c r="L123" s="109" t="n"/>
      <c r="M123" s="110" t="n"/>
      <c r="N123" s="81" t="n">
        <v>0</v>
      </c>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Blocked</t>
        </is>
      </c>
      <c r="J124" s="108" t="n">
        <v>5</v>
      </c>
      <c r="K124" s="109" t="n"/>
      <c r="L124" s="109" t="n"/>
      <c r="M124" s="110" t="n"/>
      <c r="N124" s="85" t="n">
        <v>0</v>
      </c>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Blocked</t>
        </is>
      </c>
      <c r="J125" s="108" t="n">
        <v>1</v>
      </c>
      <c r="K125" s="109" t="n"/>
      <c r="L125" s="109" t="n"/>
      <c r="M125" s="110" t="n"/>
      <c r="N125" s="81" t="n">
        <v>0</v>
      </c>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v>0</v>
      </c>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Blocked</t>
        </is>
      </c>
      <c r="J127" s="108" t="n">
        <v>1</v>
      </c>
      <c r="K127" s="109" t="n"/>
      <c r="L127" s="109" t="n"/>
      <c r="M127" s="110" t="n"/>
      <c r="N127" s="81" t="n">
        <v>0</v>
      </c>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Ready</t>
        </is>
      </c>
      <c r="J128" s="108" t="n">
        <v>3</v>
      </c>
      <c r="K128" s="109" t="n"/>
      <c r="L128" s="109" t="n"/>
      <c r="M128" s="110" t="n"/>
      <c r="N128" s="85" t="n">
        <v>14</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Blocked</t>
        </is>
      </c>
      <c r="J129" s="108" t="n">
        <v>3</v>
      </c>
      <c r="K129" s="109" t="n"/>
      <c r="L129" s="109" t="n"/>
      <c r="M129" s="110" t="n"/>
      <c r="N129" s="81" t="n">
        <v>10</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Blocked</t>
        </is>
      </c>
      <c r="J130" s="108" t="n">
        <v>3</v>
      </c>
      <c r="K130" s="109" t="n"/>
      <c r="L130" s="109" t="n"/>
      <c r="M130" s="110" t="n"/>
      <c r="N130" s="85" t="n">
        <v>5</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Blocked</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Blocked</t>
        </is>
      </c>
      <c r="J132" s="108" t="n">
        <v>3</v>
      </c>
      <c r="K132" s="109" t="n"/>
      <c r="L132" s="109" t="n"/>
      <c r="M132" s="110" t="n"/>
      <c r="N132" s="85" t="n">
        <v>2</v>
      </c>
      <c r="O132" s="84" t="inlineStr">
        <is>
          <t>P5-BE-05</t>
        </is>
      </c>
      <c r="P132" s="84" t="inlineStr">
        <is>
          <t>A 302 redirect fires immediately; the LinkEvent write happens after the response — the fan never waits on our write</t>
        </is>
      </c>
      <c r="Q132" s="86" t="inlineStr">
        <is>
          <t>Guide §06</t>
        </is>
      </c>
      <c r="R132" s="111" t="n"/>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Blocked</t>
        </is>
      </c>
      <c r="J133" s="108" t="n">
        <v>3</v>
      </c>
      <c r="K133" s="109" t="n"/>
      <c r="L133" s="109" t="n"/>
      <c r="M133" s="110" t="n"/>
      <c r="N133" s="81" t="n">
        <v>2</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Blocked</t>
        </is>
      </c>
      <c r="J134" s="108" t="n">
        <v>1</v>
      </c>
      <c r="K134" s="109" t="n"/>
      <c r="L134" s="109" t="n"/>
      <c r="M134" s="110" t="n"/>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Blocked</t>
        </is>
      </c>
      <c r="J135" s="108" t="n">
        <v>1</v>
      </c>
      <c r="K135" s="109" t="n"/>
      <c r="L135" s="109" t="n"/>
      <c r="M135" s="110" t="n"/>
      <c r="N135" s="81" t="n">
        <v>0</v>
      </c>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Blocked</t>
        </is>
      </c>
      <c r="J136" s="108" t="n">
        <v>3</v>
      </c>
      <c r="K136" s="109" t="n"/>
      <c r="L136" s="109" t="n"/>
      <c r="M136" s="110" t="n"/>
      <c r="N136" s="85" t="n">
        <v>0</v>
      </c>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n"/>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Blocked</t>
        </is>
      </c>
      <c r="J137" s="108" t="n">
        <v>1</v>
      </c>
      <c r="K137" s="109" t="n"/>
      <c r="L137" s="109" t="n"/>
      <c r="M137" s="110" t="n"/>
      <c r="N137" s="81" t="n">
        <v>0</v>
      </c>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Blocked</t>
        </is>
      </c>
      <c r="J138" s="108" t="n">
        <v>5</v>
      </c>
      <c r="K138" s="109" t="n"/>
      <c r="L138" s="109" t="n"/>
      <c r="M138" s="110" t="n"/>
      <c r="N138" s="85" t="n">
        <v>0</v>
      </c>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Blocked</t>
        </is>
      </c>
      <c r="J139" s="108" t="n">
        <v>3</v>
      </c>
      <c r="K139" s="109" t="n"/>
      <c r="L139" s="109" t="n"/>
      <c r="M139" s="110" t="n"/>
      <c r="N139" s="81" t="n">
        <v>0</v>
      </c>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Blocked</t>
        </is>
      </c>
      <c r="J140" s="108" t="n">
        <v>3</v>
      </c>
      <c r="K140" s="109" t="n"/>
      <c r="L140" s="109" t="n"/>
      <c r="M140" s="110" t="n"/>
      <c r="N140" s="85" t="n">
        <v>0</v>
      </c>
      <c r="O140" s="84" t="inlineStr">
        <is>
          <t>P6-SEC-01, P2-BE-05</t>
        </is>
      </c>
      <c r="P140" s="84" t="inlineStr">
        <is>
          <t>Claims with consent enqueue zoho.pushLead; claims without consent never do</t>
        </is>
      </c>
      <c r="Q140" s="86" t="inlineStr">
        <is>
          <t>§18</t>
        </is>
      </c>
      <c r="R140" s="111" t="n"/>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v>0</v>
      </c>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v>0</v>
      </c>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Blocked</t>
        </is>
      </c>
      <c r="J143" s="108" t="n">
        <v>3</v>
      </c>
      <c r="K143" s="109" t="n"/>
      <c r="L143" s="109" t="n"/>
      <c r="M143" s="110" t="n"/>
      <c r="N143" s="81" t="n">
        <v>0</v>
      </c>
      <c r="O143" s="80" t="inlineStr">
        <is>
          <t>P6-SEC-01</t>
        </is>
      </c>
      <c r="P143" s="80" t="inlineStr">
        <is>
          <t>Sponsors receive only the fields consent permits; the restriction is enforced in select, not in the UI</t>
        </is>
      </c>
      <c r="Q143" s="82" t="inlineStr">
        <is>
          <t>§26, Memory 04</t>
        </is>
      </c>
      <c r="R143" s="111" t="n"/>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Blocked</t>
        </is>
      </c>
      <c r="J144" s="108" t="n">
        <v>3</v>
      </c>
      <c r="K144" s="109" t="n"/>
      <c r="L144" s="109" t="n"/>
      <c r="M144" s="110" t="n"/>
      <c r="N144" s="85" t="n">
        <v>11</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Blocked</t>
        </is>
      </c>
      <c r="J145" s="108" t="n">
        <v>3</v>
      </c>
      <c r="K145" s="109" t="n"/>
      <c r="L145" s="109" t="n"/>
      <c r="M145" s="110" t="n"/>
      <c r="N145" s="81" t="n">
        <v>8</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Ready</t>
        </is>
      </c>
      <c r="J146" s="108" t="n">
        <v>3</v>
      </c>
      <c r="K146" s="109" t="n"/>
      <c r="L146" s="109" t="n"/>
      <c r="M146" s="110" t="n"/>
      <c r="N146" s="85" t="n">
        <v>6</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Blocked</t>
        </is>
      </c>
      <c r="J147" s="108" t="n">
        <v>5</v>
      </c>
      <c r="K147" s="109" t="n"/>
      <c r="L147" s="109" t="n"/>
      <c r="M147" s="110" t="n"/>
      <c r="N147" s="81" t="n">
        <v>4</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Blocked</t>
        </is>
      </c>
      <c r="J148" s="108" t="n">
        <v>3</v>
      </c>
      <c r="K148" s="109" t="n"/>
      <c r="L148" s="109" t="n"/>
      <c r="M148" s="110" t="n"/>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Blocked</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Blocked</t>
        </is>
      </c>
      <c r="J150" s="108" t="n">
        <v>3</v>
      </c>
      <c r="K150" s="109" t="n"/>
      <c r="L150" s="109" t="n"/>
      <c r="M150" s="110" t="n"/>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Closing an approved deliverable makes the athlete's earning eligible, automatically and audited.</t>
        </is>
      </c>
      <c r="I151" s="108" t="inlineStr">
        <is>
          <t>Blocked</t>
        </is>
      </c>
      <c r="J151" s="108" t="n">
        <v>3</v>
      </c>
      <c r="K151" s="109" t="n"/>
      <c r="L151" s="109" t="n"/>
      <c r="M151" s="110" t="n"/>
      <c r="N151" s="81" t="n">
        <v>0</v>
      </c>
      <c r="O151" s="80" t="inlineStr">
        <is>
          <t>P7-BE-01, P5-BE-08</t>
        </is>
      </c>
      <c r="P151" s="80" t="inlineStr">
        <is>
          <t>Closing an accepted deliverable makes the associated earning ELIGIBLE; the transition is audited</t>
        </is>
      </c>
      <c r="Q151" s="82" t="inlineStr">
        <is>
          <t>§13 step 11</t>
        </is>
      </c>
      <c r="R151" s="111" t="n"/>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Ready</t>
        </is>
      </c>
      <c r="J152" s="108" t="n">
        <v>3</v>
      </c>
      <c r="K152" s="109" t="n"/>
      <c r="L152" s="109" t="n"/>
      <c r="M152" s="110" t="n"/>
      <c r="N152" s="85" t="n">
        <v>0</v>
      </c>
      <c r="O152" s="84" t="inlineStr">
        <is>
          <t>P2-BE-05</t>
        </is>
      </c>
      <c r="P152" s="84" t="inlineStr">
        <is>
          <t>Invoice and payment status flow Zoho → SponsorX and attach to the campaign; SponsorX never becomes the invoice system of record</t>
        </is>
      </c>
      <c r="Q152" s="86" t="inlineStr">
        <is>
          <t>§18</t>
        </is>
      </c>
      <c r="R152" s="111" t="n"/>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Blocked</t>
        </is>
      </c>
      <c r="J153" s="108" t="n">
        <v>3</v>
      </c>
      <c r="K153" s="109" t="n"/>
      <c r="L153" s="109" t="n"/>
      <c r="M153" s="110" t="n"/>
      <c r="N153" s="81" t="n">
        <v>0</v>
      </c>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n"/>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Blocked</t>
        </is>
      </c>
      <c r="J154" s="108" t="n">
        <v>3</v>
      </c>
      <c r="K154" s="109" t="n"/>
      <c r="L154" s="109" t="n"/>
      <c r="M154" s="110" t="n"/>
      <c r="N154" s="85" t="n">
        <v>0</v>
      </c>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Blocked</t>
        </is>
      </c>
      <c r="J155" s="108" t="n">
        <v>1</v>
      </c>
      <c r="K155" s="109" t="n"/>
      <c r="L155" s="109" t="n"/>
      <c r="M155" s="110" t="n"/>
      <c r="N155" s="81" t="n">
        <v>0</v>
      </c>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Blocked</t>
        </is>
      </c>
      <c r="J156" s="108" t="n">
        <v>3</v>
      </c>
      <c r="K156" s="109" t="n"/>
      <c r="L156" s="109" t="n"/>
      <c r="M156" s="110" t="n"/>
      <c r="N156" s="85" t="n">
        <v>0</v>
      </c>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Blocked</t>
        </is>
      </c>
      <c r="J157" s="108" t="n">
        <v>5</v>
      </c>
      <c r="K157" s="109" t="n"/>
      <c r="L157" s="109" t="n"/>
      <c r="M157" s="110" t="n"/>
      <c r="N157" s="81" t="n">
        <v>0</v>
      </c>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Blocked</t>
        </is>
      </c>
      <c r="J158" s="108" t="n">
        <v>5</v>
      </c>
      <c r="K158" s="109" t="n"/>
      <c r="L158" s="109" t="n"/>
      <c r="M158" s="110" t="n"/>
      <c r="N158" s="85" t="n">
        <v>0</v>
      </c>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Blocked</t>
        </is>
      </c>
      <c r="J159" s="108" t="n">
        <v>3</v>
      </c>
      <c r="K159" s="109" t="n"/>
      <c r="L159" s="109" t="n"/>
      <c r="M159" s="110" t="n"/>
      <c r="N159" s="81" t="n">
        <v>0</v>
      </c>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v>0</v>
      </c>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v>0</v>
      </c>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Blocked</t>
        </is>
      </c>
      <c r="J162" s="108" t="n">
        <v>1</v>
      </c>
      <c r="K162" s="109" t="n"/>
      <c r="L162" s="109" t="n"/>
      <c r="M162" s="110" t="n"/>
      <c r="N162" s="85" t="n">
        <v>0</v>
      </c>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Blocked</t>
        </is>
      </c>
      <c r="J163" s="108" t="n">
        <v>1</v>
      </c>
      <c r="K163" s="109" t="n"/>
      <c r="L163" s="109" t="n"/>
      <c r="M163" s="110" t="n"/>
      <c r="N163" s="81" t="n">
        <v>0</v>
      </c>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Ready</t>
        </is>
      </c>
      <c r="J164" s="108" t="n">
        <v>5</v>
      </c>
      <c r="K164" s="109" t="n"/>
      <c r="L164" s="109" t="n"/>
      <c r="M164" s="110" t="n"/>
      <c r="N164" s="85" t="n">
        <v>8</v>
      </c>
      <c r="O164" s="84" t="inlineStr">
        <is>
          <t>P0-PMO-08, P2-BE-05</t>
        </is>
      </c>
      <c r="P164" s="84" t="inlineStr">
        <is>
          <t>Accounts, Contacts, Deals and Tasks push from the worker with External_Id as the dedupe key</t>
        </is>
      </c>
      <c r="Q164" s="86" t="inlineStr">
        <is>
          <t>§18</t>
        </is>
      </c>
      <c r="R164" s="111" t="n"/>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Blocked</t>
        </is>
      </c>
      <c r="J165" s="108" t="n">
        <v>3</v>
      </c>
      <c r="K165" s="109" t="n"/>
      <c r="L165" s="109" t="n"/>
      <c r="M165" s="110" t="n"/>
      <c r="N165" s="81" t="n">
        <v>3</v>
      </c>
      <c r="O165" s="80" t="inlineStr">
        <is>
          <t>P8-INT-01</t>
        </is>
      </c>
      <c r="P165" s="80" t="inlineStr">
        <is>
          <t>The route verifies the signature, writes to our own database and enqueues — it never calls Zoho</t>
        </is>
      </c>
      <c r="Q165" s="82" t="inlineStr">
        <is>
          <t>Guide §07</t>
        </is>
      </c>
      <c r="R165" s="111" t="n"/>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3</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Blocked</t>
        </is>
      </c>
      <c r="J167" s="108" t="n">
        <v>1</v>
      </c>
      <c r="K167" s="109" t="n"/>
      <c r="L167" s="109" t="n"/>
      <c r="M167" s="110" t="n"/>
      <c r="N167" s="81" t="n">
        <v>2</v>
      </c>
      <c r="O167" s="80" t="inlineStr">
        <is>
          <t>P8-INT-03</t>
        </is>
      </c>
      <c r="P167" s="80" t="inlineStr">
        <is>
          <t>Every inbound attempt is recorded as RECEIVED / REJECTED / APPLIED, valid or not</t>
        </is>
      </c>
      <c r="Q167" s="82" t="inlineStr">
        <is>
          <t>§20</t>
        </is>
      </c>
      <c r="R167" s="111" t="n"/>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Blocked</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n"/>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Blocked</t>
        </is>
      </c>
      <c r="J169" s="108" t="n">
        <v>3</v>
      </c>
      <c r="K169" s="109" t="n"/>
      <c r="L169" s="109" t="n"/>
      <c r="M169" s="110" t="n"/>
      <c r="N169" s="81" t="n">
        <v>1</v>
      </c>
      <c r="O169" s="80" t="inlineStr">
        <is>
          <t>P8-INT-01</t>
        </is>
      </c>
      <c r="P169" s="80" t="inlineStr">
        <is>
          <t>A write that originated in Zoho and whose hash is unchanged is dropped as an echo — the ping-pong loop cannot start</t>
        </is>
      </c>
      <c r="Q169" s="82" t="inlineStr">
        <is>
          <t>Guide §07</t>
        </is>
      </c>
      <c r="R169" s="111" t="n"/>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n"/>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Blocked</t>
        </is>
      </c>
      <c r="J172" s="108" t="n">
        <v>3</v>
      </c>
      <c r="K172" s="109" t="n"/>
      <c r="L172" s="109" t="n"/>
      <c r="M172" s="110" t="n"/>
      <c r="N172" s="85" t="n">
        <v>1</v>
      </c>
      <c r="O172" s="84" t="inlineStr">
        <is>
          <t>all phase BE tasks</t>
        </is>
      </c>
      <c r="P172" s="84" t="inlineStr">
        <is>
          <t>Every resource added across Phases 3–7 has its rows; the suite is a required CI check</t>
        </is>
      </c>
      <c r="Q172" s="86" t="inlineStr">
        <is>
          <t>§30, Guide §09</t>
        </is>
      </c>
      <c r="R172" s="111" t="n"/>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v>0</v>
      </c>
      <c r="O173" s="80" t="inlineStr">
        <is>
          <t>P3-DATA-01</t>
        </is>
      </c>
      <c r="P173" s="80" t="inlineStr">
        <is>
          <t>The real first-25 athlete cohort and first sponsors exist in staging for UAT</t>
        </is>
      </c>
      <c r="Q173" s="82" t="inlineStr">
        <is>
          <t>§36</t>
        </is>
      </c>
      <c r="R173" s="111" t="n"/>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v>0</v>
      </c>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Blocked</t>
        </is>
      </c>
      <c r="J175" s="108" t="n">
        <v>3</v>
      </c>
      <c r="K175" s="109" t="n"/>
      <c r="L175" s="109" t="n"/>
      <c r="M175" s="110" t="n"/>
      <c r="N175" s="81" t="n">
        <v>0</v>
      </c>
      <c r="O175" s="80" t="inlineStr">
        <is>
          <t>P8-INT-02</t>
        </is>
      </c>
      <c r="P175" s="80" t="inlineStr">
        <is>
          <t>A scheduled job detects and reports drift between the two systems rather than silently diverging</t>
        </is>
      </c>
      <c r="Q175" s="82" t="inlineStr">
        <is>
          <t>§18</t>
        </is>
      </c>
      <c r="R175" s="111" t="n"/>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Blocked</t>
        </is>
      </c>
      <c r="J176" s="108" t="n">
        <v>3</v>
      </c>
      <c r="K176" s="109" t="n"/>
      <c r="L176" s="109" t="n"/>
      <c r="M176" s="110" t="n"/>
      <c r="N176" s="85" t="n">
        <v>0</v>
      </c>
      <c r="O176" s="84" t="inlineStr">
        <is>
          <t>P8-INT-01</t>
        </is>
      </c>
      <c r="P176" s="84" t="inlineStr">
        <is>
          <t>Inquiries create Zoho Leads; campaign closure creates a renewal Deal</t>
        </is>
      </c>
      <c r="Q176" s="86" t="inlineStr">
        <is>
          <t>§18, §13 step 12</t>
        </is>
      </c>
      <c r="R176" s="111" t="n"/>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Blocked</t>
        </is>
      </c>
      <c r="J177" s="108" t="n">
        <v>3</v>
      </c>
      <c r="K177" s="109" t="n"/>
      <c r="L177" s="109" t="n"/>
      <c r="M177" s="110" t="n"/>
      <c r="N177" s="81" t="n">
        <v>0</v>
      </c>
      <c r="O177" s="80" t="inlineStr">
        <is>
          <t>P8-INT-01</t>
        </is>
      </c>
      <c r="P177" s="80" t="inlineStr">
        <is>
          <t>Existing Zoho records import as a job, run against staging first, and the job is kept — it will run more than once</t>
        </is>
      </c>
      <c r="Q177" s="82" t="inlineStr">
        <is>
          <t>Guide §10</t>
        </is>
      </c>
      <c r="R177" s="111" t="n"/>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v>0</v>
      </c>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Ready</t>
        </is>
      </c>
      <c r="J179" s="108" t="n">
        <v>1</v>
      </c>
      <c r="K179" s="109" t="n"/>
      <c r="L179" s="109" t="n"/>
      <c r="M179" s="110" t="n"/>
      <c r="N179" s="81" t="n">
        <v>0</v>
      </c>
      <c r="O179" s="80" t="inlineStr">
        <is>
          <t>P2-BE-07</t>
        </is>
      </c>
      <c r="P179" s="80" t="inlineStr">
        <is>
          <t>openapi.json is complete, generated from Zod contracts, and covers every /api/v1 endpoint</t>
        </is>
      </c>
      <c r="Q179" s="82" t="inlineStr">
        <is>
          <t>§38, Addendum A2</t>
        </is>
      </c>
      <c r="R179" s="111" t="inlineStr">
        <is>
          <t>Unblocked 2026-09-16: sole dependency P2-BE-07 moved to Done.</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v>0</v>
      </c>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v>0</v>
      </c>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v>0</v>
      </c>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v>0</v>
      </c>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0</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v>0</v>
      </c>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Blocked</t>
        </is>
      </c>
      <c r="J186" s="108" t="n">
        <v>3</v>
      </c>
      <c r="K186" s="109" t="n"/>
      <c r="L186" s="109" t="n"/>
      <c r="M186" s="110" t="n"/>
      <c r="N186" s="85" t="n">
        <v>0</v>
      </c>
      <c r="O186" s="84" t="inlineStr">
        <is>
          <t>P8-SEC-01</t>
        </is>
      </c>
      <c r="P186" s="84" t="inlineStr">
        <is>
          <t>No query in the codebase can reach another tenant's data — proven by test</t>
        </is>
      </c>
      <c r="Q186" s="86" t="inlineStr">
        <is>
          <t>§26, §30</t>
        </is>
      </c>
      <c r="R186" s="111" t="n"/>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v>0</v>
      </c>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v>0</v>
      </c>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v>0</v>
      </c>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v>0</v>
      </c>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n"/>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n"/>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Blocked</t>
        </is>
      </c>
      <c r="J198" s="108" t="n">
        <v>1</v>
      </c>
      <c r="K198" s="109" t="n"/>
      <c r="L198" s="109" t="n"/>
      <c r="M198" s="110" t="n"/>
      <c r="N198" s="85" t="n">
        <v>0</v>
      </c>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Blocked</t>
        </is>
      </c>
      <c r="J199" s="108" t="n">
        <v>1</v>
      </c>
      <c r="K199" s="109" t="n"/>
      <c r="L199" s="109" t="n"/>
      <c r="M199" s="110" t="n"/>
      <c r="N199" s="81" t="n">
        <v>0</v>
      </c>
      <c r="O199" s="80" t="inlineStr">
        <is>
          <t>P6-SEC-01, P3-INT-01</t>
        </is>
      </c>
      <c r="P199" s="80" t="inlineStr">
        <is>
          <t>An unsubscribe link in every fan email works without login and in one tap; withdrawal is recorded against the same consent record with a timestamp; a withdrawn fan is excluded from P6-INT-01's lead push at query level, not in the UI</t>
        </is>
      </c>
      <c r="Q199" s="82" t="inlineStr">
        <is>
          <t>§16, §26</t>
        </is>
      </c>
      <c r="R199" s="111" t="inlineStr">
        <is>
          <t>Raised 2026-09-16 from the P1-ART-05 fan landing design. Blocks nothing today, but the consent copy cannot ship as written until this exists - the alternative is narrowing the promise.</t>
        </is>
      </c>
    </row>
  </sheetData>
  <autoFilter ref="A4:R200"/>
  <mergeCells count="2">
    <mergeCell ref="A2:R2"/>
    <mergeCell ref="A1:R1"/>
  </mergeCells>
  <conditionalFormatting sqref="I5:I20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00">
    <cfRule type="expression" rank="0" priority="7" equalAverage="0" aboveAverage="0" dxfId="32" text="" percent="0" bottom="0">
      <formula>$I5="Done"</formula>
    </cfRule>
  </conditionalFormatting>
  <conditionalFormatting sqref="N5:N200">
    <cfRule type="cellIs" rank="0" priority="8" equalAverage="0" operator="greaterThanOrEqual" aboveAverage="0" dxfId="33" text="" percent="0" bottom="0">
      <formula>50</formula>
    </cfRule>
  </conditionalFormatting>
  <dataValidations count="1">
    <dataValidation sqref="I5:I20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2026-09-21T04:25:20Z</dcterms:modified>
  <cp:revision>0</cp:revision>
</cp:coreProperties>
</file>